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drawings/drawing1.xml" ContentType="application/vnd.openxmlformats-officedocument.drawing+xml"/>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drawings/drawing2.xml" ContentType="application/vnd.openxmlformats-officedocument.drawing+xml"/>
  <Override PartName="/xl/customProperty6.bin" ContentType="application/vnd.openxmlformats-officedocument.spreadsheetml.customProperty"/>
  <Override PartName="/xl/customProperty7.bin" ContentType="application/vnd.openxmlformats-officedocument.spreadsheetml.customProperty"/>
  <Override PartName="/xl/drawings/drawing3.xml" ContentType="application/vnd.openxmlformats-officedocument.drawing+xml"/>
  <Override PartName="/xl/customProperty8.bin" ContentType="application/vnd.openxmlformats-officedocument.spreadsheetml.customProperty"/>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ml.chartshapes+xml"/>
  <Override PartName="/xl/customProperty9.bin" ContentType="application/vnd.openxmlformats-officedocument.spreadsheetml.customProperty"/>
  <Override PartName="/xl/customProperty10.bin" ContentType="application/vnd.openxmlformats-officedocument.spreadsheetml.customProperty"/>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8.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9.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0.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1.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2.xml" ContentType="application/vnd.openxmlformats-officedocument.drawingml.chartshapes+xml"/>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customProperty14.bin" ContentType="application/vnd.openxmlformats-officedocument.spreadsheetml.customProperty"/>
  <Override PartName="/xl/customProperty15.bin" ContentType="application/vnd.openxmlformats-officedocument.spreadsheetml.customProperty"/>
  <Override PartName="/xl/customProperty16.bin" ContentType="application/vnd.openxmlformats-officedocument.spreadsheetml.customProperty"/>
  <Override PartName="/xl/customProperty17.bin" ContentType="application/vnd.openxmlformats-officedocument.spreadsheetml.customProperty"/>
  <Override PartName="/xl/drawings/drawing13.xml" ContentType="application/vnd.openxmlformats-officedocument.drawing+xml"/>
  <Override PartName="/xl/customProperty18.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kshatSethi\Downloads\"/>
    </mc:Choice>
  </mc:AlternateContent>
  <xr:revisionPtr revIDLastSave="0" documentId="8_{4E662A3A-C2A9-4F66-BFE6-A28D968EA461}" xr6:coauthVersionLast="47" xr6:coauthVersionMax="47" xr10:uidLastSave="{00000000-0000-0000-0000-000000000000}"/>
  <bookViews>
    <workbookView xWindow="-110" yWindow="-110" windowWidth="19420" windowHeight="10300" xr2:uid="{320EF6A7-0E78-415E-9430-E5A42626105D}"/>
  </bookViews>
  <sheets>
    <sheet name="RPL&gt;&gt;" sheetId="1" r:id="rId1"/>
    <sheet name="RPL1" sheetId="2" r:id="rId2"/>
    <sheet name="RPL2" sheetId="3" r:id="rId3"/>
    <sheet name="QE&gt;&gt;" sheetId="4" r:id="rId4"/>
    <sheet name="QE1" sheetId="5" r:id="rId5"/>
    <sheet name="NWC&gt;&gt;" sheetId="6" r:id="rId6"/>
    <sheet name="NWC1" sheetId="7" r:id="rId7"/>
    <sheet name="NWC2" sheetId="8" r:id="rId8"/>
    <sheet name="DDL" sheetId="9" r:id="rId9"/>
    <sheet name="NWC_Metrics" sheetId="10" r:id="rId10"/>
    <sheet name="PL&gt;&gt;" sheetId="11" r:id="rId11"/>
    <sheet name="PL1" sheetId="12" r:id="rId12"/>
    <sheet name="PL Leads&gt;&gt;" sheetId="13" r:id="rId13"/>
    <sheet name="PL2" sheetId="14" r:id="rId14"/>
    <sheet name="BS&gt;&gt;" sheetId="15" r:id="rId15"/>
    <sheet name="BS1" sheetId="16" r:id="rId16"/>
    <sheet name="BS Leads&gt;&gt;" sheetId="17" r:id="rId17"/>
    <sheet name="BS2" sheetId="18" r:id="rId18"/>
    <sheet name="Equity RF" sheetId="19" r:id="rId19"/>
    <sheet name="TB" sheetId="20" r:id="rId20"/>
    <sheet name="ADJ" sheetId="21" r:id="rId21"/>
  </sheets>
  <definedNames>
    <definedName name="_xlnm._FilterDatabase" localSheetId="19" hidden="1">TB!$A$1:$AR$116</definedName>
    <definedName name="_xlnm.Print_Area" localSheetId="20">ADJ!$B$1:$AP$95</definedName>
    <definedName name="_xlnm.Print_Area" localSheetId="15">'BS1'!$B$1:$AN$40</definedName>
    <definedName name="_xlnm.Print_Area" localSheetId="17">'BS2'!$B$1:$AN$78</definedName>
    <definedName name="_xlnm.Print_Area" localSheetId="8">DDL!$B$1:$AN$27</definedName>
    <definedName name="_xlnm.Print_Area" localSheetId="18">'Equity RF'!$B$1:$AN$27</definedName>
    <definedName name="_xlnm.Print_Area" localSheetId="9">NWC_Metrics!$B$1:$AS$45</definedName>
    <definedName name="_xlnm.Print_Area" localSheetId="6">'NWC1'!$B$1:$AS$79</definedName>
    <definedName name="_xlnm.Print_Area" localSheetId="7">'NWC2'!$B$1:$AS$50</definedName>
    <definedName name="_xlnm.Print_Area" localSheetId="11">'PL1'!$B$1:$AR$41</definedName>
    <definedName name="_xlnm.Print_Area" localSheetId="13">'PL2'!$B$1:$AR$140</definedName>
    <definedName name="_xlnm.Print_Area" localSheetId="4">'QE1'!$B$1:$AT$101</definedName>
    <definedName name="_xlnm.Print_Area" localSheetId="1">'RPL1'!$B$1:$AR$35</definedName>
    <definedName name="_xlnm.Print_Area" localSheetId="2">'RPL2'!$B$1:$X$29</definedName>
    <definedName name="_xlnm.Print_Area" localSheetId="19">TB!$A$1:$AR$137</definedName>
    <definedName name="Print_Area_Reset" localSheetId="20">OFFSET(Full_Print,0,0,Last_Row)</definedName>
    <definedName name="Print_Area_Reset" localSheetId="17">OFFSET(Full_Print,0,0,Last_Row)</definedName>
    <definedName name="Print_Area_Reset" localSheetId="18">OFFSET(Full_Print,0,0,Last_Row)</definedName>
    <definedName name="Print_Area_Reset" localSheetId="9">OFFSET(Full_Print,0,0,Last_Row)</definedName>
    <definedName name="Print_Area_Reset" localSheetId="13">OFFSET(Full_Print,0,0,Last_Row)</definedName>
    <definedName name="Print_Area_Reset" localSheetId="19">OFFSET(Full_Print,0,0,Last_Row)</definedName>
    <definedName name="Print_Area_Reset">OFFSET(Full_Print,0,0,Last_Row)</definedName>
    <definedName name="PrintRange1">[0]!IQRCIQIDH405("Chart of Accounts","F",2,"J")</definedName>
    <definedName name="PrintRange2">[0]!IQRCIQIDH405("Account Balances","F",2,"J")</definedName>
    <definedName name="PrintRange6">[0]!IQRCIQIDH405("Debtors Inquiry","F",2,"L")</definedName>
    <definedName name="PrintRange8">[0]!IQRCIQIDH405("P&amp;L Forecast","F",2,"T")</definedName>
    <definedName name="PrintRange9">[0]!IQRCIQIDH405("Trial Balance","F",2,"M")</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21" l="1"/>
  <c r="C8" i="21"/>
  <c r="C66" i="21" s="1"/>
  <c r="G8" i="21"/>
  <c r="H8" i="21"/>
  <c r="I8" i="21"/>
  <c r="J8" i="21"/>
  <c r="K8" i="21"/>
  <c r="L8" i="21"/>
  <c r="M8" i="21"/>
  <c r="N8" i="21"/>
  <c r="O8" i="21"/>
  <c r="P8" i="21"/>
  <c r="Q8" i="21"/>
  <c r="R8" i="21"/>
  <c r="S8" i="21"/>
  <c r="T8" i="21"/>
  <c r="U8" i="21"/>
  <c r="V8" i="21"/>
  <c r="W8" i="21"/>
  <c r="X8" i="21"/>
  <c r="Y8" i="21"/>
  <c r="Z8" i="21"/>
  <c r="AA8" i="21"/>
  <c r="AB8" i="21"/>
  <c r="AC8" i="21"/>
  <c r="AD8" i="21"/>
  <c r="AE8" i="21"/>
  <c r="AF8" i="21"/>
  <c r="AG8" i="21"/>
  <c r="AH8" i="21"/>
  <c r="AI8" i="21"/>
  <c r="AJ8" i="21"/>
  <c r="AK8" i="21"/>
  <c r="AO7" i="21" s="1"/>
  <c r="AM8" i="21"/>
  <c r="AN8" i="21"/>
  <c r="AO8" i="21"/>
  <c r="AM9" i="21"/>
  <c r="AN9" i="21"/>
  <c r="AO9" i="21"/>
  <c r="AM10" i="21"/>
  <c r="AN10" i="21"/>
  <c r="AO10" i="21"/>
  <c r="G11" i="21"/>
  <c r="H11" i="21"/>
  <c r="I11" i="21"/>
  <c r="J11" i="21"/>
  <c r="K11" i="21"/>
  <c r="L11" i="21"/>
  <c r="M11" i="21"/>
  <c r="N11" i="21"/>
  <c r="O11" i="21"/>
  <c r="P11" i="21"/>
  <c r="Q11" i="21"/>
  <c r="R11" i="21"/>
  <c r="S11" i="21"/>
  <c r="T11" i="21"/>
  <c r="U11" i="21"/>
  <c r="V11" i="21"/>
  <c r="W11" i="21"/>
  <c r="X11" i="21"/>
  <c r="Y11" i="21"/>
  <c r="Z11" i="21"/>
  <c r="AA11" i="21"/>
  <c r="AB11" i="21"/>
  <c r="AC11" i="21"/>
  <c r="AD11" i="21"/>
  <c r="AE11" i="21"/>
  <c r="AF11" i="21"/>
  <c r="AG11" i="21"/>
  <c r="AH11" i="21"/>
  <c r="AI11" i="21"/>
  <c r="AJ11" i="21"/>
  <c r="AK11" i="21"/>
  <c r="G12" i="21"/>
  <c r="H12" i="21"/>
  <c r="I12" i="21"/>
  <c r="J12" i="21"/>
  <c r="K12" i="21"/>
  <c r="L12" i="21"/>
  <c r="M12" i="21"/>
  <c r="M15" i="21" s="1"/>
  <c r="M58" i="21" s="1"/>
  <c r="N12" i="21"/>
  <c r="O12" i="21"/>
  <c r="P12" i="21"/>
  <c r="Q12" i="21"/>
  <c r="R12" i="21"/>
  <c r="S12" i="21"/>
  <c r="T12" i="21"/>
  <c r="U12" i="21"/>
  <c r="U15" i="21" s="1"/>
  <c r="U58" i="21" s="1"/>
  <c r="V12" i="21"/>
  <c r="W12" i="21"/>
  <c r="X12" i="21"/>
  <c r="Y12" i="21"/>
  <c r="Z12" i="21"/>
  <c r="AA12" i="21"/>
  <c r="AB12" i="21"/>
  <c r="AC12" i="21"/>
  <c r="AC15" i="21" s="1"/>
  <c r="AC58" i="21" s="1"/>
  <c r="AD12" i="21"/>
  <c r="AE12" i="21"/>
  <c r="AF12" i="21"/>
  <c r="AG12" i="21"/>
  <c r="AH12" i="21"/>
  <c r="AI12" i="21"/>
  <c r="AJ12" i="21"/>
  <c r="AK12" i="21"/>
  <c r="AK15" i="21" s="1"/>
  <c r="AK58" i="21" s="1"/>
  <c r="G13" i="21"/>
  <c r="H13" i="21"/>
  <c r="I13" i="21"/>
  <c r="J13" i="21"/>
  <c r="K13" i="21"/>
  <c r="L13" i="21"/>
  <c r="M13" i="21"/>
  <c r="N13" i="21"/>
  <c r="O13" i="21"/>
  <c r="P13" i="21"/>
  <c r="Q13" i="21"/>
  <c r="R13" i="21"/>
  <c r="R15" i="21" s="1"/>
  <c r="S13" i="21"/>
  <c r="T13" i="21"/>
  <c r="U13" i="21"/>
  <c r="V13" i="21"/>
  <c r="W13" i="21"/>
  <c r="X13" i="21"/>
  <c r="Y13" i="21"/>
  <c r="Z13" i="21"/>
  <c r="AA13" i="21"/>
  <c r="AB13" i="21"/>
  <c r="AC13" i="21"/>
  <c r="AD13" i="21"/>
  <c r="AE13" i="21"/>
  <c r="AE15" i="21" s="1"/>
  <c r="AE60" i="21" s="1"/>
  <c r="AF13" i="21"/>
  <c r="AF15" i="21" s="1"/>
  <c r="AG13" i="21"/>
  <c r="AG15" i="21" s="1"/>
  <c r="AH13" i="21"/>
  <c r="AH15" i="21" s="1"/>
  <c r="AI13" i="21"/>
  <c r="AJ13" i="21"/>
  <c r="AK13" i="21"/>
  <c r="AM14" i="21"/>
  <c r="AN14" i="21"/>
  <c r="AO14" i="21"/>
  <c r="G15" i="21"/>
  <c r="H15" i="21"/>
  <c r="I15" i="21"/>
  <c r="K15" i="21"/>
  <c r="O15" i="21"/>
  <c r="O60" i="21" s="1"/>
  <c r="P15" i="21"/>
  <c r="P60" i="21" s="1"/>
  <c r="Q15" i="21"/>
  <c r="S15" i="21"/>
  <c r="W15" i="21"/>
  <c r="X15" i="21"/>
  <c r="Y15" i="21"/>
  <c r="AA15" i="21"/>
  <c r="AA58" i="21" s="1"/>
  <c r="AI15" i="21"/>
  <c r="AM18" i="21"/>
  <c r="AN18" i="21"/>
  <c r="AO18" i="21"/>
  <c r="AM19" i="21"/>
  <c r="AN19" i="21"/>
  <c r="AN25" i="21" s="1"/>
  <c r="AN61" i="21" s="1"/>
  <c r="AO19" i="21"/>
  <c r="AM20" i="21"/>
  <c r="AN20" i="21"/>
  <c r="AO20" i="21"/>
  <c r="AM21" i="21"/>
  <c r="AN21" i="21"/>
  <c r="AO21" i="21"/>
  <c r="AO25" i="21" s="1"/>
  <c r="AO61" i="21" s="1"/>
  <c r="AM22" i="21"/>
  <c r="AN22" i="21"/>
  <c r="AO22" i="21"/>
  <c r="AM23" i="21"/>
  <c r="AN23" i="21"/>
  <c r="AO23" i="21"/>
  <c r="AM24" i="21"/>
  <c r="AN24" i="21"/>
  <c r="AO24" i="21"/>
  <c r="G25" i="21"/>
  <c r="H25" i="21"/>
  <c r="I25" i="21"/>
  <c r="J25" i="21"/>
  <c r="K25" i="21"/>
  <c r="L25" i="21"/>
  <c r="M25" i="21"/>
  <c r="N25" i="21"/>
  <c r="N61" i="21" s="1"/>
  <c r="O25" i="21"/>
  <c r="P25" i="21"/>
  <c r="Q25" i="21"/>
  <c r="R25" i="21"/>
  <c r="S25" i="21"/>
  <c r="T25" i="21"/>
  <c r="U25" i="21"/>
  <c r="V25" i="21"/>
  <c r="V61" i="21" s="1"/>
  <c r="W25" i="21"/>
  <c r="X25" i="21"/>
  <c r="Y25" i="21"/>
  <c r="Z25" i="21"/>
  <c r="AA25" i="21"/>
  <c r="AB25" i="21"/>
  <c r="AC25" i="21"/>
  <c r="AD25" i="21"/>
  <c r="AD61" i="21" s="1"/>
  <c r="AE25" i="21"/>
  <c r="AF25" i="21"/>
  <c r="AG25" i="21"/>
  <c r="AH25" i="21"/>
  <c r="AI25" i="21"/>
  <c r="AJ25" i="21"/>
  <c r="AK25" i="21"/>
  <c r="AM25" i="21"/>
  <c r="AM61" i="21" s="1"/>
  <c r="AM28" i="21"/>
  <c r="AM45" i="21" s="1"/>
  <c r="AM62" i="21" s="1"/>
  <c r="AN28" i="21"/>
  <c r="AO28" i="21"/>
  <c r="AM29" i="21"/>
  <c r="AN29" i="21"/>
  <c r="AO29" i="21"/>
  <c r="AO45" i="21" s="1"/>
  <c r="AO62" i="21" s="1"/>
  <c r="AM30" i="21"/>
  <c r="AN30" i="21"/>
  <c r="AO30" i="21"/>
  <c r="AM31" i="21"/>
  <c r="AN31" i="21"/>
  <c r="AO31" i="21"/>
  <c r="AM32" i="21"/>
  <c r="AN32" i="21"/>
  <c r="AO32" i="21"/>
  <c r="AM33" i="21"/>
  <c r="AN33" i="21"/>
  <c r="AO33" i="21"/>
  <c r="AM36" i="21"/>
  <c r="AN36" i="21"/>
  <c r="AO36" i="21"/>
  <c r="AM37" i="21"/>
  <c r="AN37" i="21"/>
  <c r="AO37" i="21"/>
  <c r="AM38" i="21"/>
  <c r="AN38" i="21"/>
  <c r="AO38" i="21"/>
  <c r="AM39" i="21"/>
  <c r="AN39" i="21"/>
  <c r="AO39" i="21"/>
  <c r="AM40" i="21"/>
  <c r="AN40" i="21"/>
  <c r="AO40" i="21"/>
  <c r="AM41" i="21"/>
  <c r="AN41" i="21"/>
  <c r="AO41" i="21"/>
  <c r="AM42" i="21"/>
  <c r="AN42" i="21"/>
  <c r="AO42" i="21"/>
  <c r="AM43" i="21"/>
  <c r="AN43" i="21"/>
  <c r="AO43" i="21"/>
  <c r="AM44" i="21"/>
  <c r="AN44" i="21"/>
  <c r="AO44" i="21"/>
  <c r="G45" i="21"/>
  <c r="G62" i="21" s="1"/>
  <c r="H45" i="21"/>
  <c r="I45" i="21"/>
  <c r="J45" i="21"/>
  <c r="K45" i="21"/>
  <c r="L45" i="21"/>
  <c r="M45" i="21"/>
  <c r="N45" i="21"/>
  <c r="O45" i="21"/>
  <c r="O62" i="21" s="1"/>
  <c r="P45" i="21"/>
  <c r="Q45" i="21"/>
  <c r="R45" i="21"/>
  <c r="S45" i="21"/>
  <c r="T45" i="21"/>
  <c r="U45" i="21"/>
  <c r="V45" i="21"/>
  <c r="W45" i="21"/>
  <c r="W62" i="21" s="1"/>
  <c r="X45" i="21"/>
  <c r="Y45" i="21"/>
  <c r="Z45" i="21"/>
  <c r="AA45" i="21"/>
  <c r="AB45" i="21"/>
  <c r="AC45" i="21"/>
  <c r="AD45" i="21"/>
  <c r="AE45" i="21"/>
  <c r="AE62" i="21" s="1"/>
  <c r="AF45" i="21"/>
  <c r="AG45" i="21"/>
  <c r="AH45" i="21"/>
  <c r="AI45" i="21"/>
  <c r="AJ45" i="21"/>
  <c r="AK45" i="21"/>
  <c r="AN45" i="21"/>
  <c r="AN62" i="21" s="1"/>
  <c r="AM48" i="21"/>
  <c r="AM57" i="21" s="1"/>
  <c r="AM63" i="21" s="1"/>
  <c r="AN48" i="21"/>
  <c r="AN57" i="21" s="1"/>
  <c r="AN63" i="21" s="1"/>
  <c r="AO48" i="21"/>
  <c r="AM49" i="21"/>
  <c r="AN49" i="21"/>
  <c r="AO49" i="21"/>
  <c r="AM50" i="21"/>
  <c r="AN50" i="21"/>
  <c r="AO50" i="21"/>
  <c r="AM51" i="21"/>
  <c r="AN51" i="21"/>
  <c r="AO51" i="21"/>
  <c r="AM52" i="21"/>
  <c r="AN52" i="21"/>
  <c r="AO52" i="21"/>
  <c r="AO57" i="21" s="1"/>
  <c r="AO63" i="21" s="1"/>
  <c r="AM53" i="21"/>
  <c r="AN53" i="21"/>
  <c r="AO53" i="21"/>
  <c r="AM54" i="21"/>
  <c r="AN54" i="21"/>
  <c r="AO54" i="21"/>
  <c r="AM55" i="21"/>
  <c r="AN55" i="21"/>
  <c r="AO55" i="21"/>
  <c r="AM56" i="21"/>
  <c r="AN56" i="21"/>
  <c r="AO56" i="21"/>
  <c r="G57" i="21"/>
  <c r="H57" i="21"/>
  <c r="I57" i="21"/>
  <c r="J57" i="21"/>
  <c r="J63" i="21" s="1"/>
  <c r="K57" i="21"/>
  <c r="L57" i="21"/>
  <c r="M57" i="21"/>
  <c r="N57" i="21"/>
  <c r="O57" i="21"/>
  <c r="P57" i="21"/>
  <c r="Q57" i="21"/>
  <c r="R57" i="21"/>
  <c r="R63" i="21" s="1"/>
  <c r="S57" i="21"/>
  <c r="T57" i="21"/>
  <c r="U57" i="21"/>
  <c r="V57" i="21"/>
  <c r="W57" i="21"/>
  <c r="X57" i="21"/>
  <c r="Y57" i="21"/>
  <c r="Z57" i="21"/>
  <c r="Z63" i="21" s="1"/>
  <c r="AA57" i="21"/>
  <c r="AB57" i="21"/>
  <c r="AC57" i="21"/>
  <c r="AD57" i="21"/>
  <c r="AE57" i="21"/>
  <c r="AF57" i="21"/>
  <c r="AG57" i="21"/>
  <c r="AH57" i="21"/>
  <c r="AH63" i="21" s="1"/>
  <c r="AI57" i="21"/>
  <c r="AJ57" i="21"/>
  <c r="AK57" i="21"/>
  <c r="H58" i="21"/>
  <c r="I58" i="21"/>
  <c r="K58" i="21"/>
  <c r="Q58" i="21"/>
  <c r="S58" i="21"/>
  <c r="X58" i="21"/>
  <c r="Y58" i="21"/>
  <c r="AI58" i="21"/>
  <c r="G60" i="21"/>
  <c r="H60" i="21"/>
  <c r="I60" i="21"/>
  <c r="K60" i="21"/>
  <c r="Q60" i="21"/>
  <c r="S60" i="21"/>
  <c r="W60" i="21"/>
  <c r="X60" i="21"/>
  <c r="Y60" i="21"/>
  <c r="AA60" i="21"/>
  <c r="AI60" i="21"/>
  <c r="G61" i="21"/>
  <c r="H61" i="21"/>
  <c r="I61" i="21"/>
  <c r="J61" i="21"/>
  <c r="K61" i="21"/>
  <c r="L61" i="21"/>
  <c r="M61" i="21"/>
  <c r="O61" i="21"/>
  <c r="P61" i="21"/>
  <c r="Q61" i="21"/>
  <c r="R61" i="21"/>
  <c r="S61" i="21"/>
  <c r="T61" i="21"/>
  <c r="U61" i="21"/>
  <c r="W61" i="21"/>
  <c r="X61" i="21"/>
  <c r="Y61" i="21"/>
  <c r="Z61" i="21"/>
  <c r="AA61" i="21"/>
  <c r="AB61" i="21"/>
  <c r="AC61" i="21"/>
  <c r="AE61" i="21"/>
  <c r="AF61" i="21"/>
  <c r="AG61" i="21"/>
  <c r="AH61" i="21"/>
  <c r="AI61" i="21"/>
  <c r="AJ61" i="21"/>
  <c r="AK61" i="21"/>
  <c r="H62" i="21"/>
  <c r="I62" i="21"/>
  <c r="J62" i="21"/>
  <c r="K62" i="21"/>
  <c r="L62" i="21"/>
  <c r="M62" i="21"/>
  <c r="N62" i="21"/>
  <c r="P62" i="21"/>
  <c r="Q62" i="21"/>
  <c r="R62" i="21"/>
  <c r="S62" i="21"/>
  <c r="T62" i="21"/>
  <c r="U62" i="21"/>
  <c r="V62" i="21"/>
  <c r="X62" i="21"/>
  <c r="Y62" i="21"/>
  <c r="Z62" i="21"/>
  <c r="AA62" i="21"/>
  <c r="AB62" i="21"/>
  <c r="AC62" i="21"/>
  <c r="AD62" i="21"/>
  <c r="AF62" i="21"/>
  <c r="AG62" i="21"/>
  <c r="AH62" i="21"/>
  <c r="AI62" i="21"/>
  <c r="AJ62" i="21"/>
  <c r="AK62" i="21"/>
  <c r="G63" i="21"/>
  <c r="H63" i="21"/>
  <c r="I63" i="21"/>
  <c r="K63" i="21"/>
  <c r="L63" i="21"/>
  <c r="M63" i="21"/>
  <c r="N63" i="21"/>
  <c r="O63" i="21"/>
  <c r="P63" i="21"/>
  <c r="Q63" i="21"/>
  <c r="S63" i="21"/>
  <c r="T63" i="21"/>
  <c r="U63" i="21"/>
  <c r="V63" i="21"/>
  <c r="W63" i="21"/>
  <c r="X63" i="21"/>
  <c r="Y63" i="21"/>
  <c r="AA63" i="21"/>
  <c r="AB63" i="21"/>
  <c r="AC63" i="21"/>
  <c r="AD63" i="21"/>
  <c r="AE63" i="21"/>
  <c r="AF63" i="21"/>
  <c r="AG63" i="21"/>
  <c r="AI63" i="21"/>
  <c r="AJ63" i="21"/>
  <c r="AK63" i="21"/>
  <c r="G66" i="21"/>
  <c r="H66" i="21"/>
  <c r="I66" i="21"/>
  <c r="J66" i="21"/>
  <c r="K66" i="21"/>
  <c r="L66" i="21"/>
  <c r="M66" i="21"/>
  <c r="N66" i="21"/>
  <c r="O66" i="21"/>
  <c r="P66" i="21"/>
  <c r="Q66" i="21"/>
  <c r="R66" i="21"/>
  <c r="S66" i="21"/>
  <c r="T66" i="21"/>
  <c r="U66" i="21"/>
  <c r="V66" i="21"/>
  <c r="W66" i="21"/>
  <c r="X66" i="21"/>
  <c r="Y66" i="21"/>
  <c r="Z66" i="21"/>
  <c r="AA66" i="21"/>
  <c r="AB66" i="21"/>
  <c r="AC66" i="21"/>
  <c r="AD66" i="21"/>
  <c r="AE66" i="21"/>
  <c r="AF66" i="21"/>
  <c r="AG66" i="21"/>
  <c r="AH66" i="21"/>
  <c r="AI66" i="21"/>
  <c r="AJ66" i="21"/>
  <c r="AK66" i="21"/>
  <c r="AO66" i="21" s="1"/>
  <c r="AM66" i="21"/>
  <c r="AN66" i="21"/>
  <c r="G67" i="21"/>
  <c r="H67" i="21"/>
  <c r="I67" i="21"/>
  <c r="J67" i="21"/>
  <c r="K67" i="21"/>
  <c r="K69" i="21" s="1"/>
  <c r="K77" i="21" s="1"/>
  <c r="K98" i="21" s="1"/>
  <c r="L67" i="21"/>
  <c r="M67" i="21"/>
  <c r="N67" i="21"/>
  <c r="O67" i="21"/>
  <c r="P67" i="21"/>
  <c r="Q67" i="21"/>
  <c r="R67" i="21"/>
  <c r="S67" i="21"/>
  <c r="S69" i="21" s="1"/>
  <c r="S77" i="21" s="1"/>
  <c r="S98" i="21" s="1"/>
  <c r="T67" i="21"/>
  <c r="U67" i="21"/>
  <c r="V67" i="21"/>
  <c r="W67" i="21"/>
  <c r="X67" i="21"/>
  <c r="Y67" i="21"/>
  <c r="Z67" i="21"/>
  <c r="AA67" i="21"/>
  <c r="AA69" i="21" s="1"/>
  <c r="AA77" i="21" s="1"/>
  <c r="AA98" i="21" s="1"/>
  <c r="AB67" i="21"/>
  <c r="AC67" i="21"/>
  <c r="AD67" i="21"/>
  <c r="AN67" i="21" s="1"/>
  <c r="AN69" i="21" s="1"/>
  <c r="AE67" i="21"/>
  <c r="AF67" i="21"/>
  <c r="AG67" i="21"/>
  <c r="AH67" i="21"/>
  <c r="AI67" i="21"/>
  <c r="AI69" i="21" s="1"/>
  <c r="AI77" i="21" s="1"/>
  <c r="AI98" i="21" s="1"/>
  <c r="AJ67" i="21"/>
  <c r="AK67" i="21"/>
  <c r="AO67" i="21" s="1"/>
  <c r="AO69" i="21" s="1"/>
  <c r="AM67" i="21"/>
  <c r="G68" i="21"/>
  <c r="H68" i="21"/>
  <c r="I68" i="21"/>
  <c r="I69" i="21" s="1"/>
  <c r="I77" i="21" s="1"/>
  <c r="I98" i="21" s="1"/>
  <c r="J68" i="21"/>
  <c r="K68" i="21"/>
  <c r="L68" i="21"/>
  <c r="L69" i="21" s="1"/>
  <c r="L77" i="21" s="1"/>
  <c r="L98" i="21" s="1"/>
  <c r="M68" i="21"/>
  <c r="N68" i="21"/>
  <c r="O68" i="21"/>
  <c r="P68" i="21"/>
  <c r="Q68" i="21"/>
  <c r="Q69" i="21" s="1"/>
  <c r="Q77" i="21" s="1"/>
  <c r="Q98" i="21" s="1"/>
  <c r="R68" i="21"/>
  <c r="AM68" i="21" s="1"/>
  <c r="AM69" i="21" s="1"/>
  <c r="S68" i="21"/>
  <c r="T68" i="21"/>
  <c r="T69" i="21" s="1"/>
  <c r="T77" i="21" s="1"/>
  <c r="T98" i="21" s="1"/>
  <c r="U68" i="21"/>
  <c r="V68" i="21"/>
  <c r="W68" i="21"/>
  <c r="X68" i="21"/>
  <c r="Y68" i="21"/>
  <c r="Y69" i="21" s="1"/>
  <c r="Y77" i="21" s="1"/>
  <c r="Y98" i="21" s="1"/>
  <c r="Z68" i="21"/>
  <c r="AA68" i="21"/>
  <c r="AB68" i="21"/>
  <c r="AB69" i="21" s="1"/>
  <c r="AB77" i="21" s="1"/>
  <c r="AB98" i="21" s="1"/>
  <c r="AC68" i="21"/>
  <c r="AD68" i="21"/>
  <c r="AE68" i="21"/>
  <c r="AF68" i="21"/>
  <c r="AG68" i="21"/>
  <c r="AG69" i="21" s="1"/>
  <c r="AG77" i="21" s="1"/>
  <c r="AG98" i="21" s="1"/>
  <c r="AH68" i="21"/>
  <c r="AI68" i="21"/>
  <c r="AJ68" i="21"/>
  <c r="AJ69" i="21" s="1"/>
  <c r="AJ77" i="21" s="1"/>
  <c r="AJ98" i="21" s="1"/>
  <c r="AK68" i="21"/>
  <c r="AN68" i="21"/>
  <c r="AO68" i="21"/>
  <c r="G69" i="21"/>
  <c r="G77" i="21" s="1"/>
  <c r="G98" i="21" s="1"/>
  <c r="H69" i="21"/>
  <c r="J69" i="21"/>
  <c r="M69" i="21"/>
  <c r="N69" i="21"/>
  <c r="O69" i="21"/>
  <c r="O77" i="21" s="1"/>
  <c r="O98" i="21" s="1"/>
  <c r="P69" i="21"/>
  <c r="R69" i="21"/>
  <c r="U69" i="21"/>
  <c r="V69" i="21"/>
  <c r="W69" i="21"/>
  <c r="W77" i="21" s="1"/>
  <c r="W98" i="21" s="1"/>
  <c r="X69" i="21"/>
  <c r="Z69" i="21"/>
  <c r="AC69" i="21"/>
  <c r="AD69" i="21"/>
  <c r="AE69" i="21"/>
  <c r="AE77" i="21" s="1"/>
  <c r="AE98" i="21" s="1"/>
  <c r="AF69" i="21"/>
  <c r="AH69" i="21"/>
  <c r="AK69" i="21"/>
  <c r="G72" i="21"/>
  <c r="G76" i="21" s="1"/>
  <c r="H72" i="21"/>
  <c r="I72" i="21"/>
  <c r="J72" i="21"/>
  <c r="K72" i="21"/>
  <c r="L72" i="21"/>
  <c r="M72" i="21"/>
  <c r="M76" i="21" s="1"/>
  <c r="M77" i="21" s="1"/>
  <c r="M98" i="21" s="1"/>
  <c r="N72" i="21"/>
  <c r="N76" i="21" s="1"/>
  <c r="N77" i="21" s="1"/>
  <c r="N98" i="21" s="1"/>
  <c r="O72" i="21"/>
  <c r="P72" i="21"/>
  <c r="Q72" i="21"/>
  <c r="R72" i="21"/>
  <c r="S72" i="21"/>
  <c r="T72" i="21"/>
  <c r="U72" i="21"/>
  <c r="U76" i="21" s="1"/>
  <c r="U77" i="21" s="1"/>
  <c r="U98" i="21" s="1"/>
  <c r="V72" i="21"/>
  <c r="V76" i="21" s="1"/>
  <c r="V77" i="21" s="1"/>
  <c r="V98" i="21" s="1"/>
  <c r="W72" i="21"/>
  <c r="X72" i="21"/>
  <c r="Y72" i="21"/>
  <c r="Z72" i="21"/>
  <c r="AA72" i="21"/>
  <c r="AB72" i="21"/>
  <c r="AC72" i="21"/>
  <c r="AC76" i="21" s="1"/>
  <c r="AC77" i="21" s="1"/>
  <c r="AC98" i="21" s="1"/>
  <c r="AD72" i="21"/>
  <c r="AD76" i="21" s="1"/>
  <c r="AD77" i="21" s="1"/>
  <c r="AD98" i="21" s="1"/>
  <c r="AE72" i="21"/>
  <c r="AF72" i="21"/>
  <c r="AG72" i="21"/>
  <c r="AH72" i="21"/>
  <c r="AI72" i="21"/>
  <c r="AJ72" i="21"/>
  <c r="AK72" i="21"/>
  <c r="AO72" i="21" s="1"/>
  <c r="AO76" i="21" s="1"/>
  <c r="AM72" i="21"/>
  <c r="AM76" i="21" s="1"/>
  <c r="AN72" i="21"/>
  <c r="AM73" i="21"/>
  <c r="AN73" i="21"/>
  <c r="AO73" i="21"/>
  <c r="AM74" i="21"/>
  <c r="AN74" i="21"/>
  <c r="AN76" i="21" s="1"/>
  <c r="AO74" i="21"/>
  <c r="AM75" i="21"/>
  <c r="AN75" i="21"/>
  <c r="AO75" i="21"/>
  <c r="H76" i="21"/>
  <c r="I76" i="21"/>
  <c r="J76" i="21"/>
  <c r="J77" i="21" s="1"/>
  <c r="J98" i="21" s="1"/>
  <c r="K76" i="21"/>
  <c r="L76" i="21"/>
  <c r="O76" i="21"/>
  <c r="P76" i="21"/>
  <c r="Q76" i="21"/>
  <c r="R76" i="21"/>
  <c r="R77" i="21" s="1"/>
  <c r="R98" i="21" s="1"/>
  <c r="S76" i="21"/>
  <c r="T76" i="21"/>
  <c r="W76" i="21"/>
  <c r="X76" i="21"/>
  <c r="Y76" i="21"/>
  <c r="Z76" i="21"/>
  <c r="Z77" i="21" s="1"/>
  <c r="Z98" i="21" s="1"/>
  <c r="AA76" i="21"/>
  <c r="AB76" i="21"/>
  <c r="AE76" i="21"/>
  <c r="AF76" i="21"/>
  <c r="AG76" i="21"/>
  <c r="AH76" i="21"/>
  <c r="AH77" i="21" s="1"/>
  <c r="AH98" i="21" s="1"/>
  <c r="AI76" i="21"/>
  <c r="AJ76" i="21"/>
  <c r="H77" i="21"/>
  <c r="H98" i="21" s="1"/>
  <c r="P77" i="21"/>
  <c r="P98" i="21" s="1"/>
  <c r="X77" i="21"/>
  <c r="X98" i="21" s="1"/>
  <c r="AF77" i="21"/>
  <c r="AF98" i="21" s="1"/>
  <c r="AM80" i="21"/>
  <c r="AM94" i="21" s="1"/>
  <c r="AM97" i="21" s="1"/>
  <c r="AN80" i="21"/>
  <c r="AO80" i="21"/>
  <c r="AM81" i="21"/>
  <c r="AN81" i="21"/>
  <c r="AO81" i="21"/>
  <c r="AM82" i="21"/>
  <c r="AN82" i="21"/>
  <c r="AN94" i="21" s="1"/>
  <c r="AN97" i="21" s="1"/>
  <c r="AO82" i="21"/>
  <c r="AM83" i="21"/>
  <c r="AN83" i="21"/>
  <c r="AO83" i="21"/>
  <c r="AM84" i="21"/>
  <c r="AN84" i="21"/>
  <c r="AO84" i="21"/>
  <c r="AM85" i="21"/>
  <c r="AN85" i="21"/>
  <c r="AO85" i="21"/>
  <c r="AM88" i="21"/>
  <c r="AN88" i="21"/>
  <c r="AO88" i="21"/>
  <c r="AM89" i="21"/>
  <c r="AN89" i="21"/>
  <c r="AO89" i="21"/>
  <c r="AO94" i="21" s="1"/>
  <c r="AO97" i="21" s="1"/>
  <c r="AM90" i="21"/>
  <c r="AN90" i="21"/>
  <c r="AO90" i="21"/>
  <c r="AM91" i="21"/>
  <c r="AN91" i="21"/>
  <c r="AO91" i="21"/>
  <c r="AM92" i="21"/>
  <c r="AN92" i="21"/>
  <c r="AO92" i="21"/>
  <c r="AM93" i="21"/>
  <c r="AN93" i="21"/>
  <c r="AO93" i="21"/>
  <c r="G94" i="21"/>
  <c r="H94" i="21"/>
  <c r="I94" i="21"/>
  <c r="J94" i="21"/>
  <c r="J97" i="21" s="1"/>
  <c r="K94" i="21"/>
  <c r="L94" i="21"/>
  <c r="L97" i="21" s="1"/>
  <c r="M94" i="21"/>
  <c r="M97" i="21" s="1"/>
  <c r="N94" i="21"/>
  <c r="O94" i="21"/>
  <c r="P94" i="21"/>
  <c r="Q94" i="21"/>
  <c r="R94" i="21"/>
  <c r="R97" i="21" s="1"/>
  <c r="S94" i="21"/>
  <c r="T94" i="21"/>
  <c r="T97" i="21" s="1"/>
  <c r="U94" i="21"/>
  <c r="U97" i="21" s="1"/>
  <c r="V94" i="21"/>
  <c r="W94" i="21"/>
  <c r="X94" i="21"/>
  <c r="Y94" i="21"/>
  <c r="Z94" i="21"/>
  <c r="Z97" i="21" s="1"/>
  <c r="AA94" i="21"/>
  <c r="AB94" i="21"/>
  <c r="AB97" i="21" s="1"/>
  <c r="AC94" i="21"/>
  <c r="AC97" i="21" s="1"/>
  <c r="AD94" i="21"/>
  <c r="AE94" i="21"/>
  <c r="AF94" i="21"/>
  <c r="AG94" i="21"/>
  <c r="AH94" i="21"/>
  <c r="AH97" i="21" s="1"/>
  <c r="AI94" i="21"/>
  <c r="AJ94" i="21"/>
  <c r="AJ97" i="21" s="1"/>
  <c r="AK94" i="21"/>
  <c r="AK97" i="21" s="1"/>
  <c r="G97" i="21"/>
  <c r="H97" i="21"/>
  <c r="I97" i="21"/>
  <c r="K97" i="21"/>
  <c r="N97" i="21"/>
  <c r="O97" i="21"/>
  <c r="P97" i="21"/>
  <c r="Q97" i="21"/>
  <c r="S97" i="21"/>
  <c r="V97" i="21"/>
  <c r="W97" i="21"/>
  <c r="X97" i="21"/>
  <c r="Y97" i="21"/>
  <c r="AA97" i="21"/>
  <c r="AD97" i="21"/>
  <c r="AE97" i="21"/>
  <c r="AF97" i="21"/>
  <c r="AG97" i="21"/>
  <c r="AI97" i="21"/>
  <c r="AP2" i="20"/>
  <c r="AQ2" i="20"/>
  <c r="AR2" i="20"/>
  <c r="AP3" i="20"/>
  <c r="AQ3" i="20"/>
  <c r="AR3" i="20"/>
  <c r="AP4" i="20"/>
  <c r="AQ4" i="20"/>
  <c r="AR4" i="20"/>
  <c r="AP5" i="20"/>
  <c r="AQ5" i="20"/>
  <c r="AR5" i="20"/>
  <c r="AP6" i="20"/>
  <c r="AQ6" i="20"/>
  <c r="AR6" i="20"/>
  <c r="AP7" i="20"/>
  <c r="AQ7" i="20"/>
  <c r="AR7" i="20"/>
  <c r="AP8" i="20"/>
  <c r="AQ8" i="20"/>
  <c r="AR8" i="20"/>
  <c r="AP9" i="20"/>
  <c r="AQ9" i="20"/>
  <c r="AR9" i="20"/>
  <c r="AP10" i="20"/>
  <c r="AQ10" i="20"/>
  <c r="AR10" i="20"/>
  <c r="AP11" i="20"/>
  <c r="AQ11" i="20"/>
  <c r="AR11" i="20"/>
  <c r="AP12" i="20"/>
  <c r="AQ12" i="20"/>
  <c r="AR12" i="20"/>
  <c r="AP13" i="20"/>
  <c r="AQ13" i="20"/>
  <c r="AR13" i="20"/>
  <c r="AP14" i="20"/>
  <c r="AQ14" i="20"/>
  <c r="AR14" i="20"/>
  <c r="AP15" i="20"/>
  <c r="AQ15" i="20"/>
  <c r="AR15" i="20"/>
  <c r="AP16" i="20"/>
  <c r="AQ16" i="20"/>
  <c r="AR16" i="20"/>
  <c r="AP17" i="20"/>
  <c r="AQ17" i="20"/>
  <c r="AR17" i="20"/>
  <c r="AP18" i="20"/>
  <c r="AQ18" i="20"/>
  <c r="AR18" i="20"/>
  <c r="AP19" i="20"/>
  <c r="AQ19" i="20"/>
  <c r="AR19" i="20"/>
  <c r="AP20" i="20"/>
  <c r="AQ20" i="20"/>
  <c r="AR20" i="20"/>
  <c r="AP21" i="20"/>
  <c r="AQ21" i="20"/>
  <c r="AR21" i="20"/>
  <c r="AP22" i="20"/>
  <c r="AQ22" i="20"/>
  <c r="AR22" i="20"/>
  <c r="AP23" i="20"/>
  <c r="AQ23" i="20"/>
  <c r="AR23" i="20"/>
  <c r="AP24" i="20"/>
  <c r="AQ24" i="20"/>
  <c r="AR24" i="20"/>
  <c r="AP25" i="20"/>
  <c r="AQ25" i="20"/>
  <c r="AR25" i="20"/>
  <c r="AP26" i="20"/>
  <c r="AQ26" i="20"/>
  <c r="AR26" i="20"/>
  <c r="AP27" i="20"/>
  <c r="AQ27" i="20"/>
  <c r="AR27" i="20"/>
  <c r="AP28" i="20"/>
  <c r="AQ28" i="20"/>
  <c r="AR28" i="20"/>
  <c r="AP29" i="20"/>
  <c r="AQ29" i="20"/>
  <c r="AR29" i="20"/>
  <c r="AP30" i="20"/>
  <c r="AQ30" i="20"/>
  <c r="AR30" i="20"/>
  <c r="AP31" i="20"/>
  <c r="AQ31" i="20"/>
  <c r="AR31" i="20"/>
  <c r="AP32" i="20"/>
  <c r="AQ32" i="20"/>
  <c r="AR32" i="20"/>
  <c r="AP33" i="20"/>
  <c r="AQ33" i="20"/>
  <c r="AR33" i="20"/>
  <c r="AP34" i="20"/>
  <c r="AQ34" i="20"/>
  <c r="AR34" i="20"/>
  <c r="AP35" i="20"/>
  <c r="AQ35" i="20"/>
  <c r="AR35" i="20"/>
  <c r="AP36" i="20"/>
  <c r="AQ36" i="20"/>
  <c r="AR36" i="20"/>
  <c r="AP37" i="20"/>
  <c r="AQ37" i="20"/>
  <c r="AR37" i="20"/>
  <c r="AP38" i="20"/>
  <c r="AQ38" i="20"/>
  <c r="AR38" i="20"/>
  <c r="AP39" i="20"/>
  <c r="AQ39" i="20"/>
  <c r="AR39" i="20"/>
  <c r="AP40" i="20"/>
  <c r="AQ40" i="20"/>
  <c r="AR40" i="20"/>
  <c r="AP41" i="20"/>
  <c r="AQ41" i="20"/>
  <c r="AR41" i="20"/>
  <c r="AP42" i="20"/>
  <c r="AQ42" i="20"/>
  <c r="AR42" i="20"/>
  <c r="AP43" i="20"/>
  <c r="AQ43" i="20"/>
  <c r="AR43" i="20"/>
  <c r="AP44" i="20"/>
  <c r="AQ44" i="20"/>
  <c r="AR44" i="20"/>
  <c r="AP45" i="20"/>
  <c r="AQ45" i="20"/>
  <c r="AR45" i="20"/>
  <c r="AP46" i="20"/>
  <c r="AQ46" i="20"/>
  <c r="AR46" i="20"/>
  <c r="AP47" i="20"/>
  <c r="AQ47" i="20"/>
  <c r="AR47" i="20"/>
  <c r="AP48" i="20"/>
  <c r="AQ48" i="20"/>
  <c r="AR48" i="20"/>
  <c r="AP49" i="20"/>
  <c r="AQ49" i="20"/>
  <c r="AR49" i="20"/>
  <c r="AP50" i="20"/>
  <c r="AQ50" i="20"/>
  <c r="AR50" i="20"/>
  <c r="AP51" i="20"/>
  <c r="AQ51" i="20"/>
  <c r="AR51" i="20"/>
  <c r="AP52" i="20"/>
  <c r="AQ52" i="20"/>
  <c r="AR52" i="20"/>
  <c r="AP53" i="20"/>
  <c r="AQ53" i="20"/>
  <c r="AR53" i="20"/>
  <c r="AP54" i="20"/>
  <c r="AQ54" i="20"/>
  <c r="AR54" i="20"/>
  <c r="AP55" i="20"/>
  <c r="AQ55" i="20"/>
  <c r="AR55" i="20"/>
  <c r="AP56" i="20"/>
  <c r="AQ56" i="20"/>
  <c r="AR56" i="20"/>
  <c r="AP57" i="20"/>
  <c r="AQ57" i="20"/>
  <c r="AR57" i="20"/>
  <c r="AP58" i="20"/>
  <c r="AQ58" i="20"/>
  <c r="AR58" i="20"/>
  <c r="AP59" i="20"/>
  <c r="AQ59" i="20"/>
  <c r="AR59" i="20"/>
  <c r="AP60" i="20"/>
  <c r="AQ60" i="20"/>
  <c r="AR60" i="20"/>
  <c r="AP61" i="20"/>
  <c r="AQ61" i="20"/>
  <c r="AR61" i="20"/>
  <c r="AP62" i="20"/>
  <c r="AQ62" i="20"/>
  <c r="AR62" i="20"/>
  <c r="AP63" i="20"/>
  <c r="AQ63" i="20"/>
  <c r="AR63" i="20"/>
  <c r="AP64" i="20"/>
  <c r="AQ64" i="20"/>
  <c r="AR64" i="20"/>
  <c r="AP65" i="20"/>
  <c r="AQ65" i="20"/>
  <c r="AR65" i="20"/>
  <c r="AP66" i="20"/>
  <c r="AQ66" i="20"/>
  <c r="AR66" i="20"/>
  <c r="AP67" i="20"/>
  <c r="AQ67" i="20"/>
  <c r="AR67" i="20"/>
  <c r="AP68" i="20"/>
  <c r="AQ68" i="20"/>
  <c r="AR68" i="20"/>
  <c r="AP69" i="20"/>
  <c r="AQ69" i="20"/>
  <c r="AR69" i="20"/>
  <c r="AP70" i="20"/>
  <c r="AQ70" i="20"/>
  <c r="AR70" i="20"/>
  <c r="AP71" i="20"/>
  <c r="AQ71" i="20"/>
  <c r="AR71" i="20"/>
  <c r="AP72" i="20"/>
  <c r="AQ72" i="20"/>
  <c r="AR72" i="20"/>
  <c r="AP73" i="20"/>
  <c r="AQ73" i="20"/>
  <c r="AR73" i="20"/>
  <c r="AP74" i="20"/>
  <c r="AQ74" i="20"/>
  <c r="AR74" i="20"/>
  <c r="AP75" i="20"/>
  <c r="AQ75" i="20"/>
  <c r="AR75" i="20"/>
  <c r="AP76" i="20"/>
  <c r="AQ76" i="20"/>
  <c r="AR76" i="20"/>
  <c r="AP77" i="20"/>
  <c r="AQ77" i="20"/>
  <c r="AR77" i="20"/>
  <c r="AP78" i="20"/>
  <c r="AQ78" i="20"/>
  <c r="AR78" i="20"/>
  <c r="AP79" i="20"/>
  <c r="AQ79" i="20"/>
  <c r="AR79" i="20"/>
  <c r="AP80" i="20"/>
  <c r="AQ80" i="20"/>
  <c r="AR80" i="20"/>
  <c r="AP81" i="20"/>
  <c r="AQ81" i="20"/>
  <c r="AR81" i="20"/>
  <c r="AP82" i="20"/>
  <c r="AQ82" i="20"/>
  <c r="AR82" i="20"/>
  <c r="AP83" i="20"/>
  <c r="AQ83" i="20"/>
  <c r="AR83" i="20"/>
  <c r="AP84" i="20"/>
  <c r="AQ84" i="20"/>
  <c r="AR84" i="20"/>
  <c r="AP85" i="20"/>
  <c r="AQ85" i="20"/>
  <c r="AR85" i="20"/>
  <c r="AP86" i="20"/>
  <c r="AQ86" i="20"/>
  <c r="AR86" i="20"/>
  <c r="AP87" i="20"/>
  <c r="AQ87" i="20"/>
  <c r="AR87" i="20"/>
  <c r="AP88" i="20"/>
  <c r="AQ88" i="20"/>
  <c r="AR88" i="20"/>
  <c r="AP89" i="20"/>
  <c r="AQ89" i="20"/>
  <c r="AR89" i="20"/>
  <c r="AP90" i="20"/>
  <c r="AQ90" i="20"/>
  <c r="AR90" i="20"/>
  <c r="AP91" i="20"/>
  <c r="AQ91" i="20"/>
  <c r="AR91" i="20"/>
  <c r="AP92" i="20"/>
  <c r="AQ92" i="20"/>
  <c r="AR92" i="20"/>
  <c r="AP93" i="20"/>
  <c r="AQ93" i="20"/>
  <c r="AR93" i="20"/>
  <c r="AP94" i="20"/>
  <c r="AQ94" i="20"/>
  <c r="AR94" i="20"/>
  <c r="AP95" i="20"/>
  <c r="AQ95" i="20"/>
  <c r="AR95" i="20"/>
  <c r="AP96" i="20"/>
  <c r="AQ96" i="20"/>
  <c r="AR96" i="20"/>
  <c r="AP97" i="20"/>
  <c r="AQ97" i="20"/>
  <c r="AR97" i="20"/>
  <c r="AP98" i="20"/>
  <c r="AQ98" i="20"/>
  <c r="AR98" i="20"/>
  <c r="AP99" i="20"/>
  <c r="AQ99" i="20"/>
  <c r="AR99" i="20"/>
  <c r="AP100" i="20"/>
  <c r="AQ100" i="20"/>
  <c r="AR100" i="20"/>
  <c r="AP101" i="20"/>
  <c r="AQ101" i="20"/>
  <c r="AR101" i="20"/>
  <c r="AP102" i="20"/>
  <c r="AQ102" i="20"/>
  <c r="AR102" i="20"/>
  <c r="AP103" i="20"/>
  <c r="AQ103" i="20"/>
  <c r="AR103" i="20"/>
  <c r="AP104" i="20"/>
  <c r="AQ104" i="20"/>
  <c r="AR104" i="20"/>
  <c r="AP105" i="20"/>
  <c r="AQ105" i="20"/>
  <c r="AR105" i="20"/>
  <c r="AP106" i="20"/>
  <c r="AQ106" i="20"/>
  <c r="AR106" i="20"/>
  <c r="AP107" i="20"/>
  <c r="AQ107" i="20"/>
  <c r="AR107" i="20"/>
  <c r="AP108" i="20"/>
  <c r="AQ108" i="20"/>
  <c r="AR108" i="20"/>
  <c r="AP109" i="20"/>
  <c r="AQ109" i="20"/>
  <c r="AR109" i="20"/>
  <c r="AP110" i="20"/>
  <c r="AQ110" i="20"/>
  <c r="AR110" i="20"/>
  <c r="AP111" i="20"/>
  <c r="AQ111" i="20"/>
  <c r="AR111" i="20"/>
  <c r="AP112" i="20"/>
  <c r="AQ112" i="20"/>
  <c r="AR112" i="20"/>
  <c r="AP113" i="20"/>
  <c r="AQ113" i="20"/>
  <c r="AR113" i="20"/>
  <c r="AP114" i="20"/>
  <c r="AQ114" i="20"/>
  <c r="AR114" i="20"/>
  <c r="AP115" i="20"/>
  <c r="AQ115" i="20"/>
  <c r="AR115" i="20"/>
  <c r="AP116" i="20"/>
  <c r="AQ116" i="20"/>
  <c r="AR116" i="20"/>
  <c r="K118" i="20"/>
  <c r="W118" i="20"/>
  <c r="AI118" i="20"/>
  <c r="K122" i="20"/>
  <c r="L122" i="20"/>
  <c r="M122" i="20"/>
  <c r="N122" i="20"/>
  <c r="O122" i="20"/>
  <c r="P122" i="20"/>
  <c r="Q122" i="20"/>
  <c r="R122" i="20"/>
  <c r="S122" i="20"/>
  <c r="T122" i="20"/>
  <c r="U122" i="20"/>
  <c r="V122" i="20"/>
  <c r="W122" i="20"/>
  <c r="X122" i="20"/>
  <c r="Y122" i="20"/>
  <c r="Z122" i="20"/>
  <c r="AA122" i="20"/>
  <c r="AB122" i="20"/>
  <c r="AC122" i="20"/>
  <c r="AD122" i="20"/>
  <c r="AE122" i="20"/>
  <c r="AF122" i="20"/>
  <c r="AG122" i="20"/>
  <c r="AH122" i="20"/>
  <c r="AI122" i="20"/>
  <c r="AJ122" i="20"/>
  <c r="AK122" i="20"/>
  <c r="AL122" i="20"/>
  <c r="AM122" i="20"/>
  <c r="AN122" i="20"/>
  <c r="AO122" i="20"/>
  <c r="K123" i="20"/>
  <c r="L123" i="20"/>
  <c r="M123" i="20"/>
  <c r="N123" i="20"/>
  <c r="O123" i="20"/>
  <c r="P123" i="20"/>
  <c r="Q123" i="20"/>
  <c r="R123" i="20"/>
  <c r="S123" i="20"/>
  <c r="T123" i="20"/>
  <c r="U123" i="20"/>
  <c r="V123" i="20"/>
  <c r="W123" i="20"/>
  <c r="X123" i="20"/>
  <c r="Y123" i="20"/>
  <c r="Z123" i="20"/>
  <c r="AA123" i="20"/>
  <c r="AB123" i="20"/>
  <c r="AC123" i="20"/>
  <c r="AD123" i="20"/>
  <c r="AE123" i="20"/>
  <c r="AF123" i="20"/>
  <c r="AG123" i="20"/>
  <c r="AH123" i="20"/>
  <c r="AI123" i="20"/>
  <c r="AJ123" i="20"/>
  <c r="AK123" i="20"/>
  <c r="AL123" i="20"/>
  <c r="AM123" i="20"/>
  <c r="AN123" i="20"/>
  <c r="AO123" i="20"/>
  <c r="K124" i="20"/>
  <c r="L124" i="20"/>
  <c r="M124" i="20"/>
  <c r="N124" i="20"/>
  <c r="O124" i="20"/>
  <c r="P124" i="20"/>
  <c r="Q124" i="20"/>
  <c r="R124" i="20"/>
  <c r="S124" i="20"/>
  <c r="T124" i="20"/>
  <c r="U124" i="20"/>
  <c r="V124" i="20"/>
  <c r="W124" i="20"/>
  <c r="X124" i="20"/>
  <c r="Y124" i="20"/>
  <c r="Z124" i="20"/>
  <c r="AA124" i="20"/>
  <c r="AB124" i="20"/>
  <c r="AC124" i="20"/>
  <c r="AD124" i="20"/>
  <c r="AE124" i="20"/>
  <c r="AF124" i="20"/>
  <c r="AG124" i="20"/>
  <c r="AH124" i="20"/>
  <c r="AI124" i="20"/>
  <c r="AJ124" i="20"/>
  <c r="AK124" i="20"/>
  <c r="AL124" i="20"/>
  <c r="AM124" i="20"/>
  <c r="AN124" i="20"/>
  <c r="AO124" i="20"/>
  <c r="K125" i="20"/>
  <c r="AI125" i="20"/>
  <c r="K129" i="20"/>
  <c r="L129" i="20"/>
  <c r="M129" i="20"/>
  <c r="M131" i="20" s="1"/>
  <c r="N129" i="20"/>
  <c r="O129" i="20"/>
  <c r="P129" i="20"/>
  <c r="P131" i="20" s="1"/>
  <c r="Q129" i="20"/>
  <c r="R129" i="20"/>
  <c r="S129" i="20"/>
  <c r="T129" i="20"/>
  <c r="U129" i="20"/>
  <c r="U131" i="20" s="1"/>
  <c r="V129" i="20"/>
  <c r="W129" i="20"/>
  <c r="X129" i="20"/>
  <c r="X131" i="20" s="1"/>
  <c r="Y129" i="20"/>
  <c r="Z129" i="20"/>
  <c r="AA129" i="20"/>
  <c r="AB129" i="20"/>
  <c r="AC129" i="20"/>
  <c r="AC131" i="20" s="1"/>
  <c r="AD129" i="20"/>
  <c r="AE129" i="20"/>
  <c r="AF129" i="20"/>
  <c r="AF131" i="20" s="1"/>
  <c r="AG129" i="20"/>
  <c r="AH129" i="20"/>
  <c r="AI129" i="20"/>
  <c r="AI131" i="20" s="1"/>
  <c r="AJ129" i="20"/>
  <c r="AJ131" i="20" s="1"/>
  <c r="AK129" i="20"/>
  <c r="AK131" i="20" s="1"/>
  <c r="AL129" i="20"/>
  <c r="AM129" i="20"/>
  <c r="AN129" i="20"/>
  <c r="AN131" i="20" s="1"/>
  <c r="AO129" i="20"/>
  <c r="K131" i="20"/>
  <c r="L131" i="20"/>
  <c r="N131" i="20"/>
  <c r="O131" i="20"/>
  <c r="Q131" i="20"/>
  <c r="R131" i="20"/>
  <c r="S131" i="20"/>
  <c r="T131" i="20"/>
  <c r="V131" i="20"/>
  <c r="W131" i="20"/>
  <c r="Y131" i="20"/>
  <c r="Z131" i="20"/>
  <c r="AA131" i="20"/>
  <c r="AB131" i="20"/>
  <c r="AD131" i="20"/>
  <c r="AE131" i="20"/>
  <c r="AG131" i="20"/>
  <c r="AH131" i="20"/>
  <c r="AL131" i="20"/>
  <c r="AM131" i="20"/>
  <c r="AO131" i="20"/>
  <c r="K133" i="20"/>
  <c r="L133" i="20"/>
  <c r="M133" i="20"/>
  <c r="N133" i="20"/>
  <c r="O133" i="20"/>
  <c r="O135" i="20" s="1"/>
  <c r="P133" i="20"/>
  <c r="Q133" i="20"/>
  <c r="R133" i="20"/>
  <c r="R135" i="20" s="1"/>
  <c r="S133" i="20"/>
  <c r="T133" i="20"/>
  <c r="U133" i="20"/>
  <c r="V133" i="20"/>
  <c r="W133" i="20"/>
  <c r="X133" i="20"/>
  <c r="Y133" i="20"/>
  <c r="Z133" i="20"/>
  <c r="Z135" i="20" s="1"/>
  <c r="AA133" i="20"/>
  <c r="AB133" i="20"/>
  <c r="AC133" i="20"/>
  <c r="AD133" i="20"/>
  <c r="AE133" i="20"/>
  <c r="AE135" i="20" s="1"/>
  <c r="AF133" i="20"/>
  <c r="AG133" i="20"/>
  <c r="AH133" i="20"/>
  <c r="AH135" i="20" s="1"/>
  <c r="AI133" i="20"/>
  <c r="AJ133" i="20"/>
  <c r="AK133" i="20"/>
  <c r="AK135" i="20" s="1"/>
  <c r="AL133" i="20"/>
  <c r="AL135" i="20" s="1"/>
  <c r="AM133" i="20"/>
  <c r="AM135" i="20" s="1"/>
  <c r="AN133" i="20"/>
  <c r="AO133" i="20"/>
  <c r="K135" i="20"/>
  <c r="L135" i="20"/>
  <c r="M135" i="20"/>
  <c r="N135" i="20"/>
  <c r="P135" i="20"/>
  <c r="Q135" i="20"/>
  <c r="S135" i="20"/>
  <c r="T135" i="20"/>
  <c r="U135" i="20"/>
  <c r="V135" i="20"/>
  <c r="X135" i="20"/>
  <c r="Y135" i="20"/>
  <c r="AA135" i="20"/>
  <c r="AB135" i="20"/>
  <c r="AC135" i="20"/>
  <c r="AD135" i="20"/>
  <c r="AF135" i="20"/>
  <c r="AG135" i="20"/>
  <c r="AI135" i="20"/>
  <c r="AJ135" i="20"/>
  <c r="AN135" i="20"/>
  <c r="AO135" i="20"/>
  <c r="C7" i="19"/>
  <c r="C8" i="19"/>
  <c r="E8" i="19"/>
  <c r="F8" i="19"/>
  <c r="G8" i="19"/>
  <c r="H8" i="19"/>
  <c r="I8" i="19"/>
  <c r="J8" i="19"/>
  <c r="K8" i="19"/>
  <c r="L8" i="19"/>
  <c r="M8" i="19"/>
  <c r="N8" i="19"/>
  <c r="O8" i="19"/>
  <c r="P8" i="19"/>
  <c r="Q8" i="19"/>
  <c r="R8" i="19"/>
  <c r="S8" i="19"/>
  <c r="T8" i="19"/>
  <c r="U8" i="19"/>
  <c r="V8" i="19"/>
  <c r="W8" i="19"/>
  <c r="X8" i="19"/>
  <c r="Y8" i="19"/>
  <c r="Z8" i="19"/>
  <c r="AA8" i="19"/>
  <c r="AB8" i="19"/>
  <c r="AL8" i="19" s="1"/>
  <c r="AC8" i="19"/>
  <c r="AD8" i="19"/>
  <c r="AE8" i="19"/>
  <c r="AF8" i="19"/>
  <c r="AG8" i="19"/>
  <c r="AH8" i="19"/>
  <c r="AI8" i="19"/>
  <c r="AM8" i="19" s="1"/>
  <c r="AK8" i="19"/>
  <c r="E9" i="19"/>
  <c r="F9" i="19"/>
  <c r="G9" i="19"/>
  <c r="H9" i="19"/>
  <c r="I9" i="19"/>
  <c r="J9" i="19"/>
  <c r="J10" i="19" s="1"/>
  <c r="K9" i="19"/>
  <c r="L9" i="19"/>
  <c r="M9" i="19"/>
  <c r="M10" i="19" s="1"/>
  <c r="N9" i="19"/>
  <c r="O9" i="19"/>
  <c r="P9" i="19"/>
  <c r="Q9" i="19"/>
  <c r="R9" i="19"/>
  <c r="R10" i="19" s="1"/>
  <c r="S9" i="19"/>
  <c r="T9" i="19"/>
  <c r="U9" i="19"/>
  <c r="U10" i="19" s="1"/>
  <c r="V9" i="19"/>
  <c r="W9" i="19"/>
  <c r="X9" i="19"/>
  <c r="Y9" i="19"/>
  <c r="Y10" i="19" s="1"/>
  <c r="Z9" i="19"/>
  <c r="Z10" i="19" s="1"/>
  <c r="AA9" i="19"/>
  <c r="AB9" i="19"/>
  <c r="AC9" i="19"/>
  <c r="AC10" i="19" s="1"/>
  <c r="AD9" i="19"/>
  <c r="AD10" i="19" s="1"/>
  <c r="AE9" i="19"/>
  <c r="AF9" i="19"/>
  <c r="AG9" i="19"/>
  <c r="AG10" i="19" s="1"/>
  <c r="AH9" i="19"/>
  <c r="AH10" i="19" s="1"/>
  <c r="AI9" i="19"/>
  <c r="E10" i="19"/>
  <c r="F10" i="19"/>
  <c r="G10" i="19"/>
  <c r="H10" i="19"/>
  <c r="I10" i="19"/>
  <c r="K10" i="19"/>
  <c r="L10" i="19"/>
  <c r="N10" i="19"/>
  <c r="O10" i="19"/>
  <c r="P10" i="19"/>
  <c r="Q10" i="19"/>
  <c r="S10" i="19"/>
  <c r="T10" i="19"/>
  <c r="V10" i="19"/>
  <c r="W10" i="19"/>
  <c r="X10" i="19"/>
  <c r="AA10" i="19"/>
  <c r="AB10" i="19"/>
  <c r="AE10" i="19"/>
  <c r="AF10" i="19"/>
  <c r="AI10" i="19"/>
  <c r="E12" i="19"/>
  <c r="F12" i="19"/>
  <c r="F14" i="19" s="1"/>
  <c r="G12" i="19"/>
  <c r="H12" i="19"/>
  <c r="I12" i="19"/>
  <c r="J12" i="19"/>
  <c r="K12" i="19"/>
  <c r="L12" i="19"/>
  <c r="M12" i="19"/>
  <c r="N12" i="19"/>
  <c r="N14" i="19" s="1"/>
  <c r="O12" i="19"/>
  <c r="P12" i="19"/>
  <c r="Q12" i="19"/>
  <c r="R12" i="19"/>
  <c r="S12" i="19"/>
  <c r="T12" i="19"/>
  <c r="U12" i="19"/>
  <c r="V12" i="19"/>
  <c r="V14" i="19" s="1"/>
  <c r="W12" i="19"/>
  <c r="X12" i="19"/>
  <c r="Y12" i="19"/>
  <c r="Z12" i="19"/>
  <c r="AA12" i="19"/>
  <c r="AB12" i="19"/>
  <c r="AC12" i="19"/>
  <c r="AD12" i="19"/>
  <c r="AD14" i="19" s="1"/>
  <c r="AE12" i="19"/>
  <c r="AF12" i="19"/>
  <c r="AG12" i="19"/>
  <c r="AH12" i="19"/>
  <c r="AI12" i="19"/>
  <c r="E13" i="19"/>
  <c r="F13" i="19"/>
  <c r="G13" i="19"/>
  <c r="H13" i="19"/>
  <c r="I13" i="19"/>
  <c r="J13" i="19"/>
  <c r="K13" i="19"/>
  <c r="L13" i="19"/>
  <c r="L14" i="19" s="1"/>
  <c r="M13" i="19"/>
  <c r="N13" i="19"/>
  <c r="O13" i="19"/>
  <c r="P13" i="19"/>
  <c r="Q13" i="19"/>
  <c r="R13" i="19"/>
  <c r="S13" i="19"/>
  <c r="T13" i="19"/>
  <c r="T14" i="19" s="1"/>
  <c r="U13" i="19"/>
  <c r="V13" i="19"/>
  <c r="W13" i="19"/>
  <c r="W14" i="19" s="1"/>
  <c r="X13" i="19"/>
  <c r="Y13" i="19"/>
  <c r="Z13" i="19"/>
  <c r="AA13" i="19"/>
  <c r="AA14" i="19" s="1"/>
  <c r="AB13" i="19"/>
  <c r="AB14" i="19" s="1"/>
  <c r="AC13" i="19"/>
  <c r="AD13" i="19"/>
  <c r="AE13" i="19"/>
  <c r="AE14" i="19" s="1"/>
  <c r="AF13" i="19"/>
  <c r="AF14" i="19" s="1"/>
  <c r="AG13" i="19"/>
  <c r="AH13" i="19"/>
  <c r="AI13" i="19"/>
  <c r="AI14" i="19" s="1"/>
  <c r="E14" i="19"/>
  <c r="G14" i="19"/>
  <c r="H14" i="19"/>
  <c r="I14" i="19"/>
  <c r="J14" i="19"/>
  <c r="K14" i="19"/>
  <c r="M14" i="19"/>
  <c r="O14" i="19"/>
  <c r="P14" i="19"/>
  <c r="Q14" i="19"/>
  <c r="R14" i="19"/>
  <c r="S14" i="19"/>
  <c r="U14" i="19"/>
  <c r="X14" i="19"/>
  <c r="Y14" i="19"/>
  <c r="Z14" i="19"/>
  <c r="Z24" i="19" s="1"/>
  <c r="AC14" i="19"/>
  <c r="AG14" i="19"/>
  <c r="AH14" i="19"/>
  <c r="AH24" i="19" s="1"/>
  <c r="E16" i="19"/>
  <c r="F16" i="19"/>
  <c r="G16" i="19"/>
  <c r="H16" i="19"/>
  <c r="H17" i="19" s="1"/>
  <c r="I16" i="19"/>
  <c r="J16" i="19"/>
  <c r="K16" i="19"/>
  <c r="K17" i="19" s="1"/>
  <c r="L16" i="19"/>
  <c r="M16" i="19"/>
  <c r="N16" i="19"/>
  <c r="O16" i="19"/>
  <c r="P16" i="19"/>
  <c r="P17" i="19" s="1"/>
  <c r="Q16" i="19"/>
  <c r="R16" i="19"/>
  <c r="S16" i="19"/>
  <c r="S17" i="19" s="1"/>
  <c r="T16" i="19"/>
  <c r="U16" i="19"/>
  <c r="V16" i="19"/>
  <c r="W16" i="19"/>
  <c r="W17" i="19" s="1"/>
  <c r="X16" i="19"/>
  <c r="X17" i="19" s="1"/>
  <c r="Y16" i="19"/>
  <c r="Z16" i="19"/>
  <c r="AA16" i="19"/>
  <c r="AA17" i="19" s="1"/>
  <c r="AB16" i="19"/>
  <c r="AC16" i="19"/>
  <c r="AD16" i="19"/>
  <c r="AE16" i="19"/>
  <c r="AE17" i="19" s="1"/>
  <c r="AF16" i="19"/>
  <c r="AF17" i="19" s="1"/>
  <c r="AG16" i="19"/>
  <c r="AH16" i="19"/>
  <c r="AI16" i="19"/>
  <c r="AI17" i="19" s="1"/>
  <c r="E17" i="19"/>
  <c r="F17" i="19"/>
  <c r="G17" i="19"/>
  <c r="I17" i="19"/>
  <c r="J17" i="19"/>
  <c r="L17" i="19"/>
  <c r="M17" i="19"/>
  <c r="N17" i="19"/>
  <c r="O17" i="19"/>
  <c r="Q17" i="19"/>
  <c r="R17" i="19"/>
  <c r="T17" i="19"/>
  <c r="U17" i="19"/>
  <c r="V17" i="19"/>
  <c r="Y17" i="19"/>
  <c r="Z17" i="19"/>
  <c r="AB17" i="19"/>
  <c r="AC17" i="19"/>
  <c r="AD17" i="19"/>
  <c r="AG17" i="19"/>
  <c r="AH17" i="19"/>
  <c r="AK22" i="19"/>
  <c r="F24" i="19"/>
  <c r="H24" i="19"/>
  <c r="I24" i="19"/>
  <c r="N24" i="19"/>
  <c r="P24" i="19"/>
  <c r="Q24" i="19"/>
  <c r="V24" i="19"/>
  <c r="Y24" i="19"/>
  <c r="AD24" i="19"/>
  <c r="AK25" i="19"/>
  <c r="AL25" i="19"/>
  <c r="AM25" i="19"/>
  <c r="C7" i="18"/>
  <c r="C8" i="18"/>
  <c r="E8" i="18"/>
  <c r="F8" i="18"/>
  <c r="G8" i="18"/>
  <c r="H8" i="18"/>
  <c r="I8" i="18"/>
  <c r="J8" i="18"/>
  <c r="K8" i="18"/>
  <c r="L8" i="18"/>
  <c r="M8" i="18"/>
  <c r="N8" i="18"/>
  <c r="O8" i="18"/>
  <c r="P8" i="18"/>
  <c r="Q8" i="18"/>
  <c r="R8" i="18"/>
  <c r="S8" i="18"/>
  <c r="T8" i="18"/>
  <c r="U8" i="18"/>
  <c r="V8" i="18"/>
  <c r="W8" i="18"/>
  <c r="X8" i="18"/>
  <c r="Y8" i="18"/>
  <c r="Z8" i="18"/>
  <c r="AA8" i="18"/>
  <c r="AB8" i="18"/>
  <c r="AL8" i="18" s="1"/>
  <c r="AC8" i="18"/>
  <c r="AD8" i="18"/>
  <c r="AE8" i="18"/>
  <c r="AF8" i="18"/>
  <c r="AG8" i="18"/>
  <c r="AH8" i="18"/>
  <c r="AI8" i="18"/>
  <c r="AM8" i="18" s="1"/>
  <c r="AK8" i="18"/>
  <c r="E9" i="18"/>
  <c r="F9" i="18"/>
  <c r="G9" i="18"/>
  <c r="H9" i="18"/>
  <c r="I9" i="18"/>
  <c r="J9" i="18"/>
  <c r="J11" i="18" s="1"/>
  <c r="K9" i="18"/>
  <c r="L9" i="18"/>
  <c r="M9" i="18"/>
  <c r="N9" i="18"/>
  <c r="O9" i="18"/>
  <c r="P9" i="18"/>
  <c r="AK9" i="18" s="1"/>
  <c r="Q9" i="18"/>
  <c r="R9" i="18"/>
  <c r="R11" i="18" s="1"/>
  <c r="S9" i="18"/>
  <c r="T9" i="18"/>
  <c r="U9" i="18"/>
  <c r="V9" i="18"/>
  <c r="W9" i="18"/>
  <c r="X9" i="18"/>
  <c r="Y9" i="18"/>
  <c r="Z9" i="18"/>
  <c r="Z11" i="18" s="1"/>
  <c r="AA9" i="18"/>
  <c r="AB9" i="18"/>
  <c r="AC9" i="18"/>
  <c r="AD9" i="18"/>
  <c r="AE9" i="18"/>
  <c r="AF9" i="18"/>
  <c r="AG9" i="18"/>
  <c r="AH9" i="18"/>
  <c r="AH11" i="18" s="1"/>
  <c r="AI9" i="18"/>
  <c r="AL9" i="18"/>
  <c r="AM9" i="18"/>
  <c r="E10" i="18"/>
  <c r="F10" i="18"/>
  <c r="G10" i="18"/>
  <c r="H10" i="18"/>
  <c r="H11" i="18" s="1"/>
  <c r="I10" i="18"/>
  <c r="J10" i="18"/>
  <c r="K10" i="18"/>
  <c r="K11" i="18" s="1"/>
  <c r="L10" i="18"/>
  <c r="M10" i="18"/>
  <c r="N10" i="18"/>
  <c r="O10" i="18"/>
  <c r="P10" i="18"/>
  <c r="Q10" i="18"/>
  <c r="R10" i="18"/>
  <c r="S10" i="18"/>
  <c r="S11" i="18" s="1"/>
  <c r="T10" i="18"/>
  <c r="U10" i="18"/>
  <c r="V10" i="18"/>
  <c r="W10" i="18"/>
  <c r="X10" i="18"/>
  <c r="X11" i="18" s="1"/>
  <c r="Y10" i="18"/>
  <c r="Z10" i="18"/>
  <c r="AA10" i="18"/>
  <c r="AA11" i="18" s="1"/>
  <c r="AB10" i="18"/>
  <c r="AC10" i="18"/>
  <c r="AD10" i="18"/>
  <c r="AE10" i="18"/>
  <c r="AF10" i="18"/>
  <c r="AF11" i="18" s="1"/>
  <c r="AG10" i="18"/>
  <c r="AH10" i="18"/>
  <c r="AI10" i="18"/>
  <c r="AI11" i="18" s="1"/>
  <c r="AL10" i="18"/>
  <c r="E11" i="18"/>
  <c r="F11" i="18"/>
  <c r="G11" i="18"/>
  <c r="I11" i="18"/>
  <c r="L11" i="18"/>
  <c r="M11" i="18"/>
  <c r="N11" i="18"/>
  <c r="O11" i="18"/>
  <c r="Q11" i="18"/>
  <c r="T11" i="18"/>
  <c r="U11" i="18"/>
  <c r="V11" i="18"/>
  <c r="W11" i="18"/>
  <c r="Y11" i="18"/>
  <c r="AB11" i="18"/>
  <c r="AC11" i="18"/>
  <c r="AD11" i="18"/>
  <c r="AE11" i="18"/>
  <c r="AG11" i="18"/>
  <c r="AL11" i="18"/>
  <c r="E13" i="18"/>
  <c r="F13" i="18"/>
  <c r="G13" i="18"/>
  <c r="G14" i="18" s="1"/>
  <c r="H13" i="18"/>
  <c r="I13" i="18"/>
  <c r="J13" i="18"/>
  <c r="K13" i="18"/>
  <c r="L13" i="18"/>
  <c r="L14" i="18" s="1"/>
  <c r="M13" i="18"/>
  <c r="N13" i="18"/>
  <c r="O13" i="18"/>
  <c r="O14" i="18" s="1"/>
  <c r="P13" i="18"/>
  <c r="Q13" i="18"/>
  <c r="R13" i="18"/>
  <c r="S13" i="18"/>
  <c r="T13" i="18"/>
  <c r="T14" i="18" s="1"/>
  <c r="U13" i="18"/>
  <c r="V13" i="18"/>
  <c r="W13" i="18"/>
  <c r="W14" i="18" s="1"/>
  <c r="X13" i="18"/>
  <c r="Y13" i="18"/>
  <c r="Z13" i="18"/>
  <c r="AA13" i="18"/>
  <c r="AB13" i="18"/>
  <c r="AC13" i="18"/>
  <c r="AD13" i="18"/>
  <c r="AE13" i="18"/>
  <c r="AE14" i="18" s="1"/>
  <c r="AF13" i="18"/>
  <c r="AG13" i="18"/>
  <c r="AH13" i="18"/>
  <c r="AI13" i="18"/>
  <c r="AM13" i="18" s="1"/>
  <c r="AM14" i="18" s="1"/>
  <c r="AK13" i="18"/>
  <c r="AK14" i="18" s="1"/>
  <c r="E14" i="18"/>
  <c r="F14" i="18"/>
  <c r="H14" i="18"/>
  <c r="I14" i="18"/>
  <c r="J14" i="18"/>
  <c r="K14" i="18"/>
  <c r="M14" i="18"/>
  <c r="N14" i="18"/>
  <c r="P14" i="18"/>
  <c r="Q14" i="18"/>
  <c r="R14" i="18"/>
  <c r="S14" i="18"/>
  <c r="U14" i="18"/>
  <c r="V14" i="18"/>
  <c r="X14" i="18"/>
  <c r="Y14" i="18"/>
  <c r="Z14" i="18"/>
  <c r="AA14" i="18"/>
  <c r="AC14" i="18"/>
  <c r="AD14" i="18"/>
  <c r="AF14" i="18"/>
  <c r="AG14" i="18"/>
  <c r="AH14" i="18"/>
  <c r="AI14" i="18"/>
  <c r="E16" i="18"/>
  <c r="F16" i="18"/>
  <c r="G16" i="18"/>
  <c r="H16" i="18"/>
  <c r="I16" i="18"/>
  <c r="J16" i="18"/>
  <c r="K16" i="18"/>
  <c r="L16" i="18"/>
  <c r="M16" i="18"/>
  <c r="N16" i="18"/>
  <c r="O16" i="18"/>
  <c r="P16" i="18"/>
  <c r="Q16" i="18"/>
  <c r="R16" i="18"/>
  <c r="S16" i="18"/>
  <c r="T16" i="18"/>
  <c r="U16" i="18"/>
  <c r="V16" i="18"/>
  <c r="W16" i="18"/>
  <c r="X16" i="18"/>
  <c r="Y16" i="18"/>
  <c r="Z16" i="18"/>
  <c r="AA16" i="18"/>
  <c r="AB16" i="18"/>
  <c r="AC16" i="18"/>
  <c r="AD16" i="18"/>
  <c r="AE16" i="18"/>
  <c r="AF16" i="18"/>
  <c r="AG16" i="18"/>
  <c r="AH16" i="18"/>
  <c r="AI16" i="18"/>
  <c r="AM16" i="18" s="1"/>
  <c r="AL16" i="18"/>
  <c r="E17" i="18"/>
  <c r="F17" i="18"/>
  <c r="G17" i="18"/>
  <c r="H17" i="18"/>
  <c r="I17" i="18"/>
  <c r="J17" i="18"/>
  <c r="K17" i="18"/>
  <c r="L17" i="18"/>
  <c r="M17" i="18"/>
  <c r="N17" i="18"/>
  <c r="O17" i="18"/>
  <c r="P17" i="18"/>
  <c r="Q17" i="18"/>
  <c r="R17" i="18"/>
  <c r="S17" i="18"/>
  <c r="T17" i="18"/>
  <c r="U17" i="18"/>
  <c r="V17" i="18"/>
  <c r="W17" i="18"/>
  <c r="X17" i="18"/>
  <c r="Y17" i="18"/>
  <c r="Z17" i="18"/>
  <c r="AA17" i="18"/>
  <c r="AB17" i="18"/>
  <c r="AL17" i="18" s="1"/>
  <c r="AC17" i="18"/>
  <c r="AD17" i="18"/>
  <c r="AE17" i="18"/>
  <c r="AF17" i="18"/>
  <c r="AG17" i="18"/>
  <c r="AH17" i="18"/>
  <c r="AI17" i="18"/>
  <c r="AK17" i="18"/>
  <c r="AM17" i="18"/>
  <c r="E18" i="18"/>
  <c r="F18" i="18"/>
  <c r="G18" i="18"/>
  <c r="H18" i="18"/>
  <c r="I18" i="18"/>
  <c r="J18" i="18"/>
  <c r="K18" i="18"/>
  <c r="L18" i="18"/>
  <c r="L22" i="18" s="1"/>
  <c r="L26" i="18" s="1"/>
  <c r="M18" i="18"/>
  <c r="N18" i="18"/>
  <c r="O18" i="18"/>
  <c r="P18" i="18"/>
  <c r="Q18" i="18"/>
  <c r="R18" i="18"/>
  <c r="S18" i="18"/>
  <c r="T18" i="18"/>
  <c r="T22" i="18" s="1"/>
  <c r="T26" i="18" s="1"/>
  <c r="T36" i="18" s="1"/>
  <c r="U18" i="18"/>
  <c r="V18" i="18"/>
  <c r="W18" i="18"/>
  <c r="X18" i="18"/>
  <c r="Y18" i="18"/>
  <c r="Z18" i="18"/>
  <c r="AA18" i="18"/>
  <c r="AB18" i="18"/>
  <c r="AC18" i="18"/>
  <c r="AD18" i="18"/>
  <c r="AE18" i="18"/>
  <c r="AF18" i="18"/>
  <c r="AG18" i="18"/>
  <c r="AH18" i="18"/>
  <c r="AI18" i="18"/>
  <c r="AM18" i="18" s="1"/>
  <c r="AK18" i="18"/>
  <c r="E19" i="18"/>
  <c r="F19" i="18"/>
  <c r="G19" i="18"/>
  <c r="H19" i="18"/>
  <c r="I19" i="18"/>
  <c r="J19" i="18"/>
  <c r="J22" i="18" s="1"/>
  <c r="K19" i="18"/>
  <c r="L19" i="18"/>
  <c r="M19" i="18"/>
  <c r="N19" i="18"/>
  <c r="O19" i="18"/>
  <c r="P19" i="18"/>
  <c r="AK19" i="18" s="1"/>
  <c r="Q19" i="18"/>
  <c r="R19" i="18"/>
  <c r="R22" i="18" s="1"/>
  <c r="S19" i="18"/>
  <c r="T19" i="18"/>
  <c r="U19" i="18"/>
  <c r="V19" i="18"/>
  <c r="W19" i="18"/>
  <c r="X19" i="18"/>
  <c r="Y19" i="18"/>
  <c r="Z19" i="18"/>
  <c r="Z22" i="18" s="1"/>
  <c r="AA19" i="18"/>
  <c r="AB19" i="18"/>
  <c r="AC19" i="18"/>
  <c r="AD19" i="18"/>
  <c r="AE19" i="18"/>
  <c r="AF19" i="18"/>
  <c r="AG19" i="18"/>
  <c r="AH19" i="18"/>
  <c r="AH22" i="18" s="1"/>
  <c r="AI19" i="18"/>
  <c r="AM19" i="18" s="1"/>
  <c r="AL19" i="18"/>
  <c r="E20" i="18"/>
  <c r="F20" i="18"/>
  <c r="G20" i="18"/>
  <c r="H20" i="18"/>
  <c r="I20" i="18"/>
  <c r="J20" i="18"/>
  <c r="K20" i="18"/>
  <c r="L20" i="18"/>
  <c r="M20" i="18"/>
  <c r="N20" i="18"/>
  <c r="O20" i="18"/>
  <c r="P20" i="18"/>
  <c r="AK20" i="18" s="1"/>
  <c r="Q20" i="18"/>
  <c r="R20" i="18"/>
  <c r="S20" i="18"/>
  <c r="T20" i="18"/>
  <c r="U20" i="18"/>
  <c r="V20" i="18"/>
  <c r="W20" i="18"/>
  <c r="X20" i="18"/>
  <c r="Y20" i="18"/>
  <c r="Z20" i="18"/>
  <c r="AA20" i="18"/>
  <c r="AB20" i="18"/>
  <c r="AC20" i="18"/>
  <c r="AD20" i="18"/>
  <c r="AE20" i="18"/>
  <c r="AF20" i="18"/>
  <c r="AG20" i="18"/>
  <c r="AH20" i="18"/>
  <c r="AI20" i="18"/>
  <c r="AM20" i="18" s="1"/>
  <c r="AL20" i="18"/>
  <c r="E21" i="18"/>
  <c r="F21" i="18"/>
  <c r="G21" i="18"/>
  <c r="H21" i="18"/>
  <c r="I21" i="18"/>
  <c r="J21" i="18"/>
  <c r="K21" i="18"/>
  <c r="L21" i="18"/>
  <c r="M21" i="18"/>
  <c r="N21" i="18"/>
  <c r="O21" i="18"/>
  <c r="P21" i="18"/>
  <c r="Q21" i="18"/>
  <c r="R21" i="18"/>
  <c r="S21" i="18"/>
  <c r="T21" i="18"/>
  <c r="U21" i="18"/>
  <c r="V21" i="18"/>
  <c r="W21" i="18"/>
  <c r="X21" i="18"/>
  <c r="Y21" i="18"/>
  <c r="Z21" i="18"/>
  <c r="AA21" i="18"/>
  <c r="AB21" i="18"/>
  <c r="AL21" i="18" s="1"/>
  <c r="AC21" i="18"/>
  <c r="AC22" i="18" s="1"/>
  <c r="AD21" i="18"/>
  <c r="AE21" i="18"/>
  <c r="AF21" i="18"/>
  <c r="AG21" i="18"/>
  <c r="AH21" i="18"/>
  <c r="AI21" i="18"/>
  <c r="AK21" i="18"/>
  <c r="AM21" i="18"/>
  <c r="E22" i="18"/>
  <c r="G22" i="18"/>
  <c r="I22" i="18"/>
  <c r="K22" i="18"/>
  <c r="M22" i="18"/>
  <c r="O22" i="18"/>
  <c r="Q22" i="18"/>
  <c r="S22" i="18"/>
  <c r="U22" i="18"/>
  <c r="W22" i="18"/>
  <c r="Y22" i="18"/>
  <c r="AA22" i="18"/>
  <c r="AE22" i="18"/>
  <c r="AG22" i="18"/>
  <c r="E24" i="18"/>
  <c r="F24" i="18"/>
  <c r="G24" i="18"/>
  <c r="H24" i="18"/>
  <c r="H25" i="18" s="1"/>
  <c r="I24" i="18"/>
  <c r="I25" i="18" s="1"/>
  <c r="I26" i="18" s="1"/>
  <c r="J24" i="18"/>
  <c r="K24" i="18"/>
  <c r="K25" i="18" s="1"/>
  <c r="L24" i="18"/>
  <c r="L25" i="18" s="1"/>
  <c r="M24" i="18"/>
  <c r="N24" i="18"/>
  <c r="O24" i="18"/>
  <c r="O25" i="18" s="1"/>
  <c r="O26" i="18" s="1"/>
  <c r="P24" i="18"/>
  <c r="P25" i="18" s="1"/>
  <c r="Q24" i="18"/>
  <c r="Q25" i="18" s="1"/>
  <c r="Q26" i="18" s="1"/>
  <c r="R24" i="18"/>
  <c r="S24" i="18"/>
  <c r="S25" i="18" s="1"/>
  <c r="T24" i="18"/>
  <c r="T25" i="18" s="1"/>
  <c r="U24" i="18"/>
  <c r="V24" i="18"/>
  <c r="W24" i="18"/>
  <c r="W25" i="18" s="1"/>
  <c r="X24" i="18"/>
  <c r="X25" i="18" s="1"/>
  <c r="Y24" i="18"/>
  <c r="Y25" i="18" s="1"/>
  <c r="Y26" i="18" s="1"/>
  <c r="Z24" i="18"/>
  <c r="Z25" i="18" s="1"/>
  <c r="AA24" i="18"/>
  <c r="AA25" i="18" s="1"/>
  <c r="AB24" i="18"/>
  <c r="AB25" i="18" s="1"/>
  <c r="AC24" i="18"/>
  <c r="AD24" i="18"/>
  <c r="AE24" i="18"/>
  <c r="AE25" i="18" s="1"/>
  <c r="AF24" i="18"/>
  <c r="AF25" i="18" s="1"/>
  <c r="AG24" i="18"/>
  <c r="AG25" i="18" s="1"/>
  <c r="AH24" i="18"/>
  <c r="AH25" i="18" s="1"/>
  <c r="AI24" i="18"/>
  <c r="AI25" i="18" s="1"/>
  <c r="AL24" i="18"/>
  <c r="E25" i="18"/>
  <c r="E26" i="18" s="1"/>
  <c r="E36" i="18" s="1"/>
  <c r="F25" i="18"/>
  <c r="G25" i="18"/>
  <c r="G26" i="18" s="1"/>
  <c r="J25" i="18"/>
  <c r="M25" i="18"/>
  <c r="M26" i="18" s="1"/>
  <c r="M36" i="18" s="1"/>
  <c r="N25" i="18"/>
  <c r="R25" i="18"/>
  <c r="U25" i="18"/>
  <c r="V25" i="18"/>
  <c r="AC25" i="18"/>
  <c r="AC26" i="18" s="1"/>
  <c r="AC36" i="18" s="1"/>
  <c r="AD25" i="18"/>
  <c r="AL25" i="18"/>
  <c r="K26" i="18"/>
  <c r="S26" i="18"/>
  <c r="U26" i="18"/>
  <c r="AA26" i="18"/>
  <c r="E28" i="18"/>
  <c r="F28" i="18"/>
  <c r="G28" i="18"/>
  <c r="H28" i="18"/>
  <c r="I28" i="18"/>
  <c r="I31" i="18" s="1"/>
  <c r="I35" i="18" s="1"/>
  <c r="J28" i="18"/>
  <c r="J31" i="18" s="1"/>
  <c r="K28" i="18"/>
  <c r="L28" i="18"/>
  <c r="M28" i="18"/>
  <c r="N28" i="18"/>
  <c r="O28" i="18"/>
  <c r="P28" i="18"/>
  <c r="Q28" i="18"/>
  <c r="Q31" i="18" s="1"/>
  <c r="Q35" i="18" s="1"/>
  <c r="R28" i="18"/>
  <c r="R31" i="18" s="1"/>
  <c r="S28" i="18"/>
  <c r="T28" i="18"/>
  <c r="U28" i="18"/>
  <c r="V28" i="18"/>
  <c r="W28" i="18"/>
  <c r="X28" i="18"/>
  <c r="Y28" i="18"/>
  <c r="Y31" i="18" s="1"/>
  <c r="Y35" i="18" s="1"/>
  <c r="Z28" i="18"/>
  <c r="Z31" i="18" s="1"/>
  <c r="AA28" i="18"/>
  <c r="AB28" i="18"/>
  <c r="AC28" i="18"/>
  <c r="AD28" i="18"/>
  <c r="AE28" i="18"/>
  <c r="AF28" i="18"/>
  <c r="AG28" i="18"/>
  <c r="AG31" i="18" s="1"/>
  <c r="AG35" i="18" s="1"/>
  <c r="AH28" i="18"/>
  <c r="AH31" i="18" s="1"/>
  <c r="AI28" i="18"/>
  <c r="AM28" i="18" s="1"/>
  <c r="AM31" i="18" s="1"/>
  <c r="AK28" i="18"/>
  <c r="AL28" i="18"/>
  <c r="E29" i="18"/>
  <c r="F29" i="18"/>
  <c r="G29" i="18"/>
  <c r="H29" i="18"/>
  <c r="H31" i="18" s="1"/>
  <c r="H35" i="18" s="1"/>
  <c r="I29" i="18"/>
  <c r="J29" i="18"/>
  <c r="K29" i="18"/>
  <c r="L29" i="18"/>
  <c r="M29" i="18"/>
  <c r="N29" i="18"/>
  <c r="O29" i="18"/>
  <c r="P29" i="18"/>
  <c r="AK29" i="18" s="1"/>
  <c r="Q29" i="18"/>
  <c r="R29" i="18"/>
  <c r="S29" i="18"/>
  <c r="T29" i="18"/>
  <c r="U29" i="18"/>
  <c r="V29" i="18"/>
  <c r="W29" i="18"/>
  <c r="X29" i="18"/>
  <c r="X31" i="18" s="1"/>
  <c r="X35" i="18" s="1"/>
  <c r="Y29" i="18"/>
  <c r="Z29" i="18"/>
  <c r="AA29" i="18"/>
  <c r="AB29" i="18"/>
  <c r="AC29" i="18"/>
  <c r="AD29" i="18"/>
  <c r="AE29" i="18"/>
  <c r="AF29" i="18"/>
  <c r="AF31" i="18" s="1"/>
  <c r="AF35" i="18" s="1"/>
  <c r="AG29" i="18"/>
  <c r="AH29" i="18"/>
  <c r="AI29" i="18"/>
  <c r="AM29" i="18" s="1"/>
  <c r="AL29" i="18"/>
  <c r="E30" i="18"/>
  <c r="F30" i="18"/>
  <c r="F31" i="18" s="1"/>
  <c r="F35" i="18" s="1"/>
  <c r="G30" i="18"/>
  <c r="H30" i="18"/>
  <c r="I30" i="18"/>
  <c r="J30" i="18"/>
  <c r="K30" i="18"/>
  <c r="L30" i="18"/>
  <c r="M30" i="18"/>
  <c r="N30" i="18"/>
  <c r="N31" i="18" s="1"/>
  <c r="N35" i="18" s="1"/>
  <c r="O30" i="18"/>
  <c r="P30" i="18"/>
  <c r="AK30" i="18" s="1"/>
  <c r="Q30" i="18"/>
  <c r="R30" i="18"/>
  <c r="S30" i="18"/>
  <c r="T30" i="18"/>
  <c r="U30" i="18"/>
  <c r="U31" i="18" s="1"/>
  <c r="U35" i="18" s="1"/>
  <c r="U36" i="18" s="1"/>
  <c r="V30" i="18"/>
  <c r="V31" i="18" s="1"/>
  <c r="V35" i="18" s="1"/>
  <c r="W30" i="18"/>
  <c r="X30" i="18"/>
  <c r="Y30" i="18"/>
  <c r="Z30" i="18"/>
  <c r="AA30" i="18"/>
  <c r="AB30" i="18"/>
  <c r="AC30" i="18"/>
  <c r="AD30" i="18"/>
  <c r="AD31" i="18" s="1"/>
  <c r="AD35" i="18" s="1"/>
  <c r="AE30" i="18"/>
  <c r="AF30" i="18"/>
  <c r="AG30" i="18"/>
  <c r="AH30" i="18"/>
  <c r="AI30" i="18"/>
  <c r="AL30" i="18"/>
  <c r="AM30" i="18"/>
  <c r="E31" i="18"/>
  <c r="E35" i="18" s="1"/>
  <c r="K31" i="18"/>
  <c r="L31" i="18"/>
  <c r="L35" i="18" s="1"/>
  <c r="M31" i="18"/>
  <c r="S31" i="18"/>
  <c r="T31" i="18"/>
  <c r="T35" i="18" s="1"/>
  <c r="AA31" i="18"/>
  <c r="AB31" i="18"/>
  <c r="AB35" i="18" s="1"/>
  <c r="AC31" i="18"/>
  <c r="AC35" i="18" s="1"/>
  <c r="AI31" i="18"/>
  <c r="AL31" i="18"/>
  <c r="AL35" i="18" s="1"/>
  <c r="E33" i="18"/>
  <c r="E34" i="18" s="1"/>
  <c r="F33" i="18"/>
  <c r="F34" i="18" s="1"/>
  <c r="G33" i="18"/>
  <c r="H33" i="18"/>
  <c r="I33" i="18"/>
  <c r="I34" i="18" s="1"/>
  <c r="J33" i="18"/>
  <c r="J34" i="18" s="1"/>
  <c r="K33" i="18"/>
  <c r="K34" i="18" s="1"/>
  <c r="L33" i="18"/>
  <c r="M33" i="18"/>
  <c r="M34" i="18" s="1"/>
  <c r="M35" i="18" s="1"/>
  <c r="N33" i="18"/>
  <c r="N34" i="18" s="1"/>
  <c r="O33" i="18"/>
  <c r="P33" i="18"/>
  <c r="Q33" i="18"/>
  <c r="Q34" i="18" s="1"/>
  <c r="R33" i="18"/>
  <c r="R34" i="18" s="1"/>
  <c r="S33" i="18"/>
  <c r="S34" i="18" s="1"/>
  <c r="T33" i="18"/>
  <c r="U33" i="18"/>
  <c r="U34" i="18" s="1"/>
  <c r="V33" i="18"/>
  <c r="V34" i="18" s="1"/>
  <c r="W33" i="18"/>
  <c r="X33" i="18"/>
  <c r="Y33" i="18"/>
  <c r="Y34" i="18" s="1"/>
  <c r="Z33" i="18"/>
  <c r="Z34" i="18" s="1"/>
  <c r="AA33" i="18"/>
  <c r="AA34" i="18" s="1"/>
  <c r="AB33" i="18"/>
  <c r="AC33" i="18"/>
  <c r="AC34" i="18" s="1"/>
  <c r="AD33" i="18"/>
  <c r="AD34" i="18" s="1"/>
  <c r="AE33" i="18"/>
  <c r="AF33" i="18"/>
  <c r="AG33" i="18"/>
  <c r="AG34" i="18" s="1"/>
  <c r="AH33" i="18"/>
  <c r="AH34" i="18" s="1"/>
  <c r="AI33" i="18"/>
  <c r="AK33" i="18"/>
  <c r="AL33" i="18"/>
  <c r="AL34" i="18" s="1"/>
  <c r="G34" i="18"/>
  <c r="H34" i="18"/>
  <c r="L34" i="18"/>
  <c r="O34" i="18"/>
  <c r="P34" i="18"/>
  <c r="T34" i="18"/>
  <c r="W34" i="18"/>
  <c r="X34" i="18"/>
  <c r="AB34" i="18"/>
  <c r="AE34" i="18"/>
  <c r="AF34" i="18"/>
  <c r="AK34" i="18"/>
  <c r="E38" i="18"/>
  <c r="E39" i="18" s="1"/>
  <c r="F38" i="18"/>
  <c r="F39" i="18" s="1"/>
  <c r="F57" i="18" s="1"/>
  <c r="F60" i="18" s="1"/>
  <c r="G38" i="18"/>
  <c r="H38" i="18"/>
  <c r="I38" i="18"/>
  <c r="J38" i="18"/>
  <c r="J39" i="18" s="1"/>
  <c r="K38" i="18"/>
  <c r="K39" i="18" s="1"/>
  <c r="L38" i="18"/>
  <c r="M38" i="18"/>
  <c r="M39" i="18" s="1"/>
  <c r="N38" i="18"/>
  <c r="N39" i="18" s="1"/>
  <c r="N57" i="18" s="1"/>
  <c r="N60" i="18" s="1"/>
  <c r="O38" i="18"/>
  <c r="P38" i="18"/>
  <c r="Q38" i="18"/>
  <c r="Q39" i="18" s="1"/>
  <c r="R38" i="18"/>
  <c r="R39" i="18" s="1"/>
  <c r="S38" i="18"/>
  <c r="S39" i="18" s="1"/>
  <c r="T38" i="18"/>
  <c r="U38" i="18"/>
  <c r="U39" i="18" s="1"/>
  <c r="V38" i="18"/>
  <c r="V39" i="18" s="1"/>
  <c r="W38" i="18"/>
  <c r="X38" i="18"/>
  <c r="Y38" i="18"/>
  <c r="Z38" i="18"/>
  <c r="Z39" i="18" s="1"/>
  <c r="AA38" i="18"/>
  <c r="AA39" i="18" s="1"/>
  <c r="AB38" i="18"/>
  <c r="AC38" i="18"/>
  <c r="AC39" i="18" s="1"/>
  <c r="AD38" i="18"/>
  <c r="AD39" i="18" s="1"/>
  <c r="AE38" i="18"/>
  <c r="AF38" i="18"/>
  <c r="AG38" i="18"/>
  <c r="AG39" i="18" s="1"/>
  <c r="AH38" i="18"/>
  <c r="AH39" i="18" s="1"/>
  <c r="AI38" i="18"/>
  <c r="AK38" i="18"/>
  <c r="AL38" i="18"/>
  <c r="AL39" i="18" s="1"/>
  <c r="G39" i="18"/>
  <c r="H39" i="18"/>
  <c r="I39" i="18"/>
  <c r="L39" i="18"/>
  <c r="O39" i="18"/>
  <c r="P39" i="18"/>
  <c r="T39" i="18"/>
  <c r="W39" i="18"/>
  <c r="X39" i="18"/>
  <c r="Y39" i="18"/>
  <c r="AB39" i="18"/>
  <c r="AE39" i="18"/>
  <c r="AF39" i="18"/>
  <c r="AK39" i="18"/>
  <c r="E41" i="18"/>
  <c r="E45" i="18" s="1"/>
  <c r="E57" i="18" s="1"/>
  <c r="E60" i="18" s="1"/>
  <c r="F41" i="18"/>
  <c r="G41" i="18"/>
  <c r="G45" i="18" s="1"/>
  <c r="H41" i="18"/>
  <c r="I41" i="18"/>
  <c r="J41" i="18"/>
  <c r="K41" i="18"/>
  <c r="L41" i="18"/>
  <c r="M41" i="18"/>
  <c r="M45" i="18" s="1"/>
  <c r="N41" i="18"/>
  <c r="O41" i="18"/>
  <c r="P41" i="18"/>
  <c r="AK41" i="18" s="1"/>
  <c r="Q41" i="18"/>
  <c r="R41" i="18"/>
  <c r="S41" i="18"/>
  <c r="T41" i="18"/>
  <c r="U41" i="18"/>
  <c r="U45" i="18" s="1"/>
  <c r="U57" i="18" s="1"/>
  <c r="U60" i="18" s="1"/>
  <c r="V41" i="18"/>
  <c r="W41" i="18"/>
  <c r="W45" i="18" s="1"/>
  <c r="X41" i="18"/>
  <c r="Y41" i="18"/>
  <c r="Z41" i="18"/>
  <c r="AA41" i="18"/>
  <c r="AB41" i="18"/>
  <c r="AC41" i="18"/>
  <c r="AC45" i="18" s="1"/>
  <c r="AD41" i="18"/>
  <c r="AD45" i="18" s="1"/>
  <c r="AE41" i="18"/>
  <c r="AE45" i="18" s="1"/>
  <c r="AF41" i="18"/>
  <c r="AG41" i="18"/>
  <c r="AH41" i="18"/>
  <c r="AI41" i="18"/>
  <c r="AL41" i="18"/>
  <c r="AM41" i="18"/>
  <c r="E42" i="18"/>
  <c r="F42" i="18"/>
  <c r="G42" i="18"/>
  <c r="H42" i="18"/>
  <c r="I42" i="18"/>
  <c r="J42" i="18"/>
  <c r="K42" i="18"/>
  <c r="L42" i="18"/>
  <c r="L45" i="18" s="1"/>
  <c r="M42" i="18"/>
  <c r="N42" i="18"/>
  <c r="O42" i="18"/>
  <c r="P42" i="18"/>
  <c r="Q42" i="18"/>
  <c r="R42" i="18"/>
  <c r="S42" i="18"/>
  <c r="T42" i="18"/>
  <c r="T45" i="18" s="1"/>
  <c r="U42" i="18"/>
  <c r="V42" i="18"/>
  <c r="W42" i="18"/>
  <c r="X42" i="18"/>
  <c r="Y42" i="18"/>
  <c r="Z42" i="18"/>
  <c r="AA42" i="18"/>
  <c r="AB42" i="18"/>
  <c r="AC42" i="18"/>
  <c r="AD42" i="18"/>
  <c r="AE42" i="18"/>
  <c r="AF42" i="18"/>
  <c r="AG42" i="18"/>
  <c r="AH42" i="18"/>
  <c r="AI42" i="18"/>
  <c r="AK42" i="18"/>
  <c r="E43" i="18"/>
  <c r="F43" i="18"/>
  <c r="G43" i="18"/>
  <c r="H43" i="18"/>
  <c r="I43" i="18"/>
  <c r="J43" i="18"/>
  <c r="J45" i="18" s="1"/>
  <c r="K43" i="18"/>
  <c r="L43" i="18"/>
  <c r="M43" i="18"/>
  <c r="N43" i="18"/>
  <c r="O43" i="18"/>
  <c r="P43" i="18"/>
  <c r="Q43" i="18"/>
  <c r="R43" i="18"/>
  <c r="R45" i="18" s="1"/>
  <c r="S43" i="18"/>
  <c r="T43" i="18"/>
  <c r="U43" i="18"/>
  <c r="V43" i="18"/>
  <c r="W43" i="18"/>
  <c r="X43" i="18"/>
  <c r="Y43" i="18"/>
  <c r="Z43" i="18"/>
  <c r="Z45" i="18" s="1"/>
  <c r="AA43" i="18"/>
  <c r="AB43" i="18"/>
  <c r="AC43" i="18"/>
  <c r="AD43" i="18"/>
  <c r="AE43" i="18"/>
  <c r="AF43" i="18"/>
  <c r="AG43" i="18"/>
  <c r="AH43" i="18"/>
  <c r="AH45" i="18" s="1"/>
  <c r="AI43" i="18"/>
  <c r="AM43" i="18" s="1"/>
  <c r="AK43" i="18"/>
  <c r="AL43" i="18"/>
  <c r="E44" i="18"/>
  <c r="F44" i="18"/>
  <c r="G44" i="18"/>
  <c r="H44" i="18"/>
  <c r="H45" i="18" s="1"/>
  <c r="I44" i="18"/>
  <c r="J44" i="18"/>
  <c r="K44" i="18"/>
  <c r="L44" i="18"/>
  <c r="M44" i="18"/>
  <c r="N44" i="18"/>
  <c r="O44" i="18"/>
  <c r="P44" i="18"/>
  <c r="Q44" i="18"/>
  <c r="R44" i="18"/>
  <c r="S44" i="18"/>
  <c r="T44" i="18"/>
  <c r="U44" i="18"/>
  <c r="V44" i="18"/>
  <c r="W44" i="18"/>
  <c r="X44" i="18"/>
  <c r="X45" i="18" s="1"/>
  <c r="Y44" i="18"/>
  <c r="Z44" i="18"/>
  <c r="AA44" i="18"/>
  <c r="AB44" i="18"/>
  <c r="AC44" i="18"/>
  <c r="AD44" i="18"/>
  <c r="AE44" i="18"/>
  <c r="AF44" i="18"/>
  <c r="AF45" i="18" s="1"/>
  <c r="AG44" i="18"/>
  <c r="AH44" i="18"/>
  <c r="AI44" i="18"/>
  <c r="AM44" i="18" s="1"/>
  <c r="AL44" i="18"/>
  <c r="F45" i="18"/>
  <c r="N45" i="18"/>
  <c r="O45" i="18"/>
  <c r="V45" i="18"/>
  <c r="E47" i="18"/>
  <c r="E48" i="18" s="1"/>
  <c r="F47" i="18"/>
  <c r="G47" i="18"/>
  <c r="G48" i="18" s="1"/>
  <c r="H47" i="18"/>
  <c r="H48" i="18" s="1"/>
  <c r="I47" i="18"/>
  <c r="J47" i="18"/>
  <c r="K47" i="18"/>
  <c r="K48" i="18" s="1"/>
  <c r="L47" i="18"/>
  <c r="L48" i="18" s="1"/>
  <c r="M47" i="18"/>
  <c r="M48" i="18" s="1"/>
  <c r="N47" i="18"/>
  <c r="O47" i="18"/>
  <c r="O48" i="18" s="1"/>
  <c r="P47" i="18"/>
  <c r="P48" i="18" s="1"/>
  <c r="Q47" i="18"/>
  <c r="R47" i="18"/>
  <c r="S47" i="18"/>
  <c r="T47" i="18"/>
  <c r="T48" i="18" s="1"/>
  <c r="T57" i="18" s="1"/>
  <c r="U47" i="18"/>
  <c r="U48" i="18" s="1"/>
  <c r="V47" i="18"/>
  <c r="W47" i="18"/>
  <c r="W48" i="18" s="1"/>
  <c r="X47" i="18"/>
  <c r="X48" i="18" s="1"/>
  <c r="Y47" i="18"/>
  <c r="Z47" i="18"/>
  <c r="AA47" i="18"/>
  <c r="AA48" i="18" s="1"/>
  <c r="AB47" i="18"/>
  <c r="AC47" i="18"/>
  <c r="AC48" i="18" s="1"/>
  <c r="AD47" i="18"/>
  <c r="AE47" i="18"/>
  <c r="AE48" i="18" s="1"/>
  <c r="AF47" i="18"/>
  <c r="AF48" i="18" s="1"/>
  <c r="AG47" i="18"/>
  <c r="AH47" i="18"/>
  <c r="AI47" i="18"/>
  <c r="AM47" i="18" s="1"/>
  <c r="AM48" i="18" s="1"/>
  <c r="AK47" i="18"/>
  <c r="AK48" i="18" s="1"/>
  <c r="F48" i="18"/>
  <c r="I48" i="18"/>
  <c r="J48" i="18"/>
  <c r="N48" i="18"/>
  <c r="Q48" i="18"/>
  <c r="R48" i="18"/>
  <c r="S48" i="18"/>
  <c r="V48" i="18"/>
  <c r="Y48" i="18"/>
  <c r="Z48" i="18"/>
  <c r="AD48" i="18"/>
  <c r="AG48" i="18"/>
  <c r="AH48" i="18"/>
  <c r="AI48" i="18"/>
  <c r="E50" i="18"/>
  <c r="F50" i="18"/>
  <c r="G50" i="18"/>
  <c r="H50" i="18"/>
  <c r="H53" i="18" s="1"/>
  <c r="I50" i="18"/>
  <c r="J50" i="18"/>
  <c r="K50" i="18"/>
  <c r="L50" i="18"/>
  <c r="M50" i="18"/>
  <c r="N50" i="18"/>
  <c r="O50" i="18"/>
  <c r="P50" i="18"/>
  <c r="Q50" i="18"/>
  <c r="R50" i="18"/>
  <c r="S50" i="18"/>
  <c r="T50" i="18"/>
  <c r="U50" i="18"/>
  <c r="V50" i="18"/>
  <c r="W50" i="18"/>
  <c r="X50" i="18"/>
  <c r="X53" i="18" s="1"/>
  <c r="Y50" i="18"/>
  <c r="Y53" i="18" s="1"/>
  <c r="Z50" i="18"/>
  <c r="AA50" i="18"/>
  <c r="AB50" i="18"/>
  <c r="AC50" i="18"/>
  <c r="AD50" i="18"/>
  <c r="AE50" i="18"/>
  <c r="AF50" i="18"/>
  <c r="AF53" i="18" s="1"/>
  <c r="AG50" i="18"/>
  <c r="AH50" i="18"/>
  <c r="AI50" i="18"/>
  <c r="AM50" i="18" s="1"/>
  <c r="AL50" i="18"/>
  <c r="E51" i="18"/>
  <c r="E53" i="18" s="1"/>
  <c r="F51" i="18"/>
  <c r="F53" i="18" s="1"/>
  <c r="G51" i="18"/>
  <c r="H51" i="18"/>
  <c r="I51" i="18"/>
  <c r="J51" i="18"/>
  <c r="K51" i="18"/>
  <c r="L51" i="18"/>
  <c r="M51" i="18"/>
  <c r="N51" i="18"/>
  <c r="N53" i="18" s="1"/>
  <c r="O51" i="18"/>
  <c r="P51" i="18"/>
  <c r="AK51" i="18" s="1"/>
  <c r="Q51" i="18"/>
  <c r="R51" i="18"/>
  <c r="S51" i="18"/>
  <c r="T51" i="18"/>
  <c r="U51" i="18"/>
  <c r="U53" i="18" s="1"/>
  <c r="V51" i="18"/>
  <c r="V53" i="18" s="1"/>
  <c r="W51" i="18"/>
  <c r="X51" i="18"/>
  <c r="Y51" i="18"/>
  <c r="Z51" i="18"/>
  <c r="AA51" i="18"/>
  <c r="AB51" i="18"/>
  <c r="AC51" i="18"/>
  <c r="AD51" i="18"/>
  <c r="AD53" i="18" s="1"/>
  <c r="AE51" i="18"/>
  <c r="AF51" i="18"/>
  <c r="AG51" i="18"/>
  <c r="AH51" i="18"/>
  <c r="AI51" i="18"/>
  <c r="AL51" i="18"/>
  <c r="AM51" i="18"/>
  <c r="E52" i="18"/>
  <c r="F52" i="18"/>
  <c r="G52" i="18"/>
  <c r="H52" i="18"/>
  <c r="I52" i="18"/>
  <c r="J52" i="18"/>
  <c r="K52" i="18"/>
  <c r="K53" i="18" s="1"/>
  <c r="L52" i="18"/>
  <c r="L53" i="18" s="1"/>
  <c r="M52" i="18"/>
  <c r="N52" i="18"/>
  <c r="O52" i="18"/>
  <c r="P52" i="18"/>
  <c r="Q52" i="18"/>
  <c r="R52" i="18"/>
  <c r="S52" i="18"/>
  <c r="S53" i="18" s="1"/>
  <c r="T52" i="18"/>
  <c r="T53" i="18" s="1"/>
  <c r="U52" i="18"/>
  <c r="V52" i="18"/>
  <c r="W52" i="18"/>
  <c r="X52" i="18"/>
  <c r="Y52" i="18"/>
  <c r="Z52" i="18"/>
  <c r="AA52" i="18"/>
  <c r="AA53" i="18" s="1"/>
  <c r="AB52" i="18"/>
  <c r="AC52" i="18"/>
  <c r="AD52" i="18"/>
  <c r="AE52" i="18"/>
  <c r="AF52" i="18"/>
  <c r="AG52" i="18"/>
  <c r="AH52" i="18"/>
  <c r="AI52" i="18"/>
  <c r="AM52" i="18" s="1"/>
  <c r="AK52" i="18"/>
  <c r="I53" i="18"/>
  <c r="J53" i="18"/>
  <c r="M53" i="18"/>
  <c r="Q53" i="18"/>
  <c r="R53" i="18"/>
  <c r="Z53" i="18"/>
  <c r="AC53" i="18"/>
  <c r="AG53" i="18"/>
  <c r="AH53" i="18"/>
  <c r="E55" i="18"/>
  <c r="F55" i="18"/>
  <c r="G55" i="18"/>
  <c r="H55" i="18"/>
  <c r="H56" i="18" s="1"/>
  <c r="I55" i="18"/>
  <c r="J55" i="18"/>
  <c r="K55" i="18"/>
  <c r="L55" i="18"/>
  <c r="L56" i="18" s="1"/>
  <c r="M55" i="18"/>
  <c r="N55" i="18"/>
  <c r="O55" i="18"/>
  <c r="O56" i="18" s="1"/>
  <c r="P55" i="18"/>
  <c r="Q55" i="18"/>
  <c r="Q56" i="18" s="1"/>
  <c r="R55" i="18"/>
  <c r="S55" i="18"/>
  <c r="T55" i="18"/>
  <c r="T56" i="18" s="1"/>
  <c r="U55" i="18"/>
  <c r="V55" i="18"/>
  <c r="W55" i="18"/>
  <c r="X55" i="18"/>
  <c r="X56" i="18" s="1"/>
  <c r="Y55" i="18"/>
  <c r="Y56" i="18" s="1"/>
  <c r="Z55" i="18"/>
  <c r="AA55" i="18"/>
  <c r="AA56" i="18" s="1"/>
  <c r="AB55" i="18"/>
  <c r="AB56" i="18" s="1"/>
  <c r="AC55" i="18"/>
  <c r="AD55" i="18"/>
  <c r="AE55" i="18"/>
  <c r="AF55" i="18"/>
  <c r="AF56" i="18" s="1"/>
  <c r="AG55" i="18"/>
  <c r="AH55" i="18"/>
  <c r="AI55" i="18"/>
  <c r="AM55" i="18" s="1"/>
  <c r="AM56" i="18" s="1"/>
  <c r="AL55" i="18"/>
  <c r="E56" i="18"/>
  <c r="F56" i="18"/>
  <c r="G56" i="18"/>
  <c r="I56" i="18"/>
  <c r="J56" i="18"/>
  <c r="K56" i="18"/>
  <c r="M56" i="18"/>
  <c r="N56" i="18"/>
  <c r="R56" i="18"/>
  <c r="S56" i="18"/>
  <c r="U56" i="18"/>
  <c r="V56" i="18"/>
  <c r="W56" i="18"/>
  <c r="Z56" i="18"/>
  <c r="AC56" i="18"/>
  <c r="AD56" i="18"/>
  <c r="AE56" i="18"/>
  <c r="AG56" i="18"/>
  <c r="AH56" i="18"/>
  <c r="AL56" i="18"/>
  <c r="AK59" i="18"/>
  <c r="AL59" i="18"/>
  <c r="AM59" i="18"/>
  <c r="T60" i="18"/>
  <c r="E62" i="18"/>
  <c r="E63" i="18" s="1"/>
  <c r="F62" i="18"/>
  <c r="G62" i="18"/>
  <c r="H62" i="18"/>
  <c r="I62" i="18"/>
  <c r="I63" i="18" s="1"/>
  <c r="J62" i="18"/>
  <c r="K62" i="18"/>
  <c r="L62" i="18"/>
  <c r="L63" i="18" s="1"/>
  <c r="M62" i="18"/>
  <c r="N62" i="18"/>
  <c r="N63" i="18" s="1"/>
  <c r="O62" i="18"/>
  <c r="P62" i="18"/>
  <c r="Q62" i="18"/>
  <c r="Q63" i="18" s="1"/>
  <c r="R62" i="18"/>
  <c r="S62" i="18"/>
  <c r="T62" i="18"/>
  <c r="U62" i="18"/>
  <c r="V62" i="18"/>
  <c r="W62" i="18"/>
  <c r="X62" i="18"/>
  <c r="Y62" i="18"/>
  <c r="Y63" i="18" s="1"/>
  <c r="Z62" i="18"/>
  <c r="AA62" i="18"/>
  <c r="AB62" i="18"/>
  <c r="AL62" i="18" s="1"/>
  <c r="AC62" i="18"/>
  <c r="AD62" i="18"/>
  <c r="AE62" i="18"/>
  <c r="AF62" i="18"/>
  <c r="AF63" i="18" s="1"/>
  <c r="AG62" i="18"/>
  <c r="AG63" i="18" s="1"/>
  <c r="AH62" i="18"/>
  <c r="AH63" i="18" s="1"/>
  <c r="AI62" i="18"/>
  <c r="AK62" i="18"/>
  <c r="AM62" i="18"/>
  <c r="F63" i="18"/>
  <c r="G63" i="18"/>
  <c r="H63" i="18"/>
  <c r="J63" i="18"/>
  <c r="K63" i="18"/>
  <c r="M63" i="18"/>
  <c r="O63" i="18"/>
  <c r="P63" i="18"/>
  <c r="R63" i="18"/>
  <c r="S63" i="18"/>
  <c r="T63" i="18"/>
  <c r="U63" i="18"/>
  <c r="V63" i="18"/>
  <c r="W63" i="18"/>
  <c r="X63" i="18"/>
  <c r="Z63" i="18"/>
  <c r="AA63" i="18"/>
  <c r="AB63" i="18"/>
  <c r="AC63" i="18"/>
  <c r="AD63" i="18"/>
  <c r="AE63" i="18"/>
  <c r="AI63" i="18"/>
  <c r="AK63" i="18"/>
  <c r="AL63" i="18"/>
  <c r="AM63" i="18"/>
  <c r="E65" i="18"/>
  <c r="F65" i="18"/>
  <c r="G65" i="18"/>
  <c r="H65" i="18"/>
  <c r="I65" i="18"/>
  <c r="J65" i="18"/>
  <c r="J67" i="18" s="1"/>
  <c r="K65" i="18"/>
  <c r="K67" i="18" s="1"/>
  <c r="L65" i="18"/>
  <c r="L67" i="18" s="1"/>
  <c r="M65" i="18"/>
  <c r="M67" i="18" s="1"/>
  <c r="N65" i="18"/>
  <c r="O65" i="18"/>
  <c r="P65" i="18"/>
  <c r="Q65" i="18"/>
  <c r="R65" i="18"/>
  <c r="R67" i="18" s="1"/>
  <c r="S65" i="18"/>
  <c r="S67" i="18" s="1"/>
  <c r="T65" i="18"/>
  <c r="T67" i="18" s="1"/>
  <c r="U65" i="18"/>
  <c r="V65" i="18"/>
  <c r="V67" i="18" s="1"/>
  <c r="W65" i="18"/>
  <c r="X65" i="18"/>
  <c r="Y65" i="18"/>
  <c r="Y67" i="18" s="1"/>
  <c r="Z65" i="18"/>
  <c r="AA65" i="18"/>
  <c r="AA67" i="18" s="1"/>
  <c r="AB65" i="18"/>
  <c r="AL65" i="18" s="1"/>
  <c r="AL67" i="18" s="1"/>
  <c r="AC65" i="18"/>
  <c r="AD65" i="18"/>
  <c r="AE65" i="18"/>
  <c r="AF65" i="18"/>
  <c r="AG65" i="18"/>
  <c r="AG67" i="18" s="1"/>
  <c r="AH65" i="18"/>
  <c r="AI65" i="18"/>
  <c r="AK65" i="18"/>
  <c r="E66" i="18"/>
  <c r="F66" i="18"/>
  <c r="G66" i="18"/>
  <c r="G67" i="18" s="1"/>
  <c r="H66" i="18"/>
  <c r="I66" i="18"/>
  <c r="J66" i="18"/>
  <c r="K66" i="18"/>
  <c r="L66" i="18"/>
  <c r="M66" i="18"/>
  <c r="N66" i="18"/>
  <c r="O66" i="18"/>
  <c r="O67" i="18" s="1"/>
  <c r="P66" i="18"/>
  <c r="Q66" i="18"/>
  <c r="Q67" i="18" s="1"/>
  <c r="R66" i="18"/>
  <c r="S66" i="18"/>
  <c r="T66" i="18"/>
  <c r="U66" i="18"/>
  <c r="V66" i="18"/>
  <c r="W66" i="18"/>
  <c r="W67" i="18" s="1"/>
  <c r="X66" i="18"/>
  <c r="X67" i="18" s="1"/>
  <c r="Y66" i="18"/>
  <c r="Z66" i="18"/>
  <c r="AA66" i="18"/>
  <c r="AB66" i="18"/>
  <c r="AL66" i="18" s="1"/>
  <c r="AC66" i="18"/>
  <c r="AD66" i="18"/>
  <c r="AD67" i="18" s="1"/>
  <c r="AE66" i="18"/>
  <c r="AE67" i="18" s="1"/>
  <c r="AF66" i="18"/>
  <c r="AF67" i="18" s="1"/>
  <c r="AG66" i="18"/>
  <c r="AH66" i="18"/>
  <c r="AI66" i="18"/>
  <c r="AM66" i="18" s="1"/>
  <c r="E67" i="18"/>
  <c r="F67" i="18"/>
  <c r="H67" i="18"/>
  <c r="N67" i="18"/>
  <c r="U67" i="18"/>
  <c r="Z67" i="18"/>
  <c r="AB67" i="18"/>
  <c r="AC67" i="18"/>
  <c r="AH67" i="18"/>
  <c r="E69" i="18"/>
  <c r="F69" i="18"/>
  <c r="G69" i="18"/>
  <c r="H69" i="18"/>
  <c r="I69" i="18"/>
  <c r="I70" i="18" s="1"/>
  <c r="J69" i="18"/>
  <c r="J70" i="18" s="1"/>
  <c r="K69" i="18"/>
  <c r="K70" i="18" s="1"/>
  <c r="L69" i="18"/>
  <c r="L70" i="18" s="1"/>
  <c r="M69" i="18"/>
  <c r="N69" i="18"/>
  <c r="O69" i="18"/>
  <c r="P69" i="18"/>
  <c r="Q69" i="18"/>
  <c r="Q70" i="18" s="1"/>
  <c r="R69" i="18"/>
  <c r="R70" i="18" s="1"/>
  <c r="S69" i="18"/>
  <c r="S70" i="18" s="1"/>
  <c r="T69" i="18"/>
  <c r="T70" i="18" s="1"/>
  <c r="U69" i="18"/>
  <c r="V69" i="18"/>
  <c r="W69" i="18"/>
  <c r="X69" i="18"/>
  <c r="Y69" i="18"/>
  <c r="Y70" i="18" s="1"/>
  <c r="Z69" i="18"/>
  <c r="Z70" i="18" s="1"/>
  <c r="AA69" i="18"/>
  <c r="AA70" i="18" s="1"/>
  <c r="AB69" i="18"/>
  <c r="AL69" i="18" s="1"/>
  <c r="AL70" i="18" s="1"/>
  <c r="AC69" i="18"/>
  <c r="AD69" i="18"/>
  <c r="AE69" i="18"/>
  <c r="AF69" i="18"/>
  <c r="AF70" i="18" s="1"/>
  <c r="AG69" i="18"/>
  <c r="AG70" i="18" s="1"/>
  <c r="AH69" i="18"/>
  <c r="AH70" i="18" s="1"/>
  <c r="AI69" i="18"/>
  <c r="AI70" i="18" s="1"/>
  <c r="E70" i="18"/>
  <c r="F70" i="18"/>
  <c r="G70" i="18"/>
  <c r="H70" i="18"/>
  <c r="M70" i="18"/>
  <c r="N70" i="18"/>
  <c r="O70" i="18"/>
  <c r="U70" i="18"/>
  <c r="V70" i="18"/>
  <c r="W70" i="18"/>
  <c r="X70" i="18"/>
  <c r="AC70" i="18"/>
  <c r="AD70" i="18"/>
  <c r="AE70" i="18"/>
  <c r="F83" i="18"/>
  <c r="G83" i="18"/>
  <c r="H83" i="18"/>
  <c r="I83" i="18"/>
  <c r="J83" i="18"/>
  <c r="K83" i="18"/>
  <c r="L83" i="18"/>
  <c r="M83" i="18"/>
  <c r="N83" i="18"/>
  <c r="O83" i="18"/>
  <c r="P83" i="18"/>
  <c r="Q83" i="18"/>
  <c r="R83" i="18"/>
  <c r="S83" i="18"/>
  <c r="T83" i="18"/>
  <c r="U83" i="18"/>
  <c r="V83" i="18"/>
  <c r="W83" i="18"/>
  <c r="X83" i="18"/>
  <c r="Y83" i="18"/>
  <c r="Z83" i="18"/>
  <c r="AA83" i="18"/>
  <c r="AB83" i="18"/>
  <c r="AC83" i="18"/>
  <c r="AD83" i="18"/>
  <c r="AE83" i="18"/>
  <c r="AF83" i="18"/>
  <c r="AG83" i="18"/>
  <c r="AH83" i="18"/>
  <c r="AI83" i="18"/>
  <c r="AL83" i="18"/>
  <c r="AM83" i="18"/>
  <c r="C7" i="16"/>
  <c r="C8" i="16"/>
  <c r="E8" i="16"/>
  <c r="F8" i="16"/>
  <c r="G8" i="16"/>
  <c r="H8" i="16"/>
  <c r="I8" i="16"/>
  <c r="J8" i="16"/>
  <c r="K8" i="16"/>
  <c r="K45" i="16" s="1"/>
  <c r="L8" i="16"/>
  <c r="M8" i="16"/>
  <c r="N8" i="16"/>
  <c r="O8" i="16"/>
  <c r="P8" i="16"/>
  <c r="Q8" i="16"/>
  <c r="R8" i="16"/>
  <c r="S8" i="16"/>
  <c r="S45" i="16" s="1"/>
  <c r="T8" i="16"/>
  <c r="U8" i="16"/>
  <c r="V8" i="16"/>
  <c r="W8" i="16"/>
  <c r="X8" i="16"/>
  <c r="Y8" i="16"/>
  <c r="Z8" i="16"/>
  <c r="AA8" i="16"/>
  <c r="AA45" i="16" s="1"/>
  <c r="AB8" i="16"/>
  <c r="AL8" i="16" s="1"/>
  <c r="AC8" i="16"/>
  <c r="AD8" i="16"/>
  <c r="AE8" i="16"/>
  <c r="AF8" i="16"/>
  <c r="AG8" i="16"/>
  <c r="AH8" i="16"/>
  <c r="AI8" i="16"/>
  <c r="AK8" i="16"/>
  <c r="E9" i="16"/>
  <c r="F9" i="16"/>
  <c r="G9" i="16"/>
  <c r="H9" i="16"/>
  <c r="I9" i="16"/>
  <c r="J9" i="16"/>
  <c r="K9" i="16"/>
  <c r="L9" i="16"/>
  <c r="M9" i="16"/>
  <c r="N9" i="16"/>
  <c r="O9" i="16"/>
  <c r="P9" i="16"/>
  <c r="AK9" i="16" s="1"/>
  <c r="Q9" i="16"/>
  <c r="R9" i="16"/>
  <c r="S9" i="16"/>
  <c r="T9" i="16"/>
  <c r="U9" i="16"/>
  <c r="V9" i="16"/>
  <c r="W9" i="16"/>
  <c r="W13" i="16" s="1"/>
  <c r="X9" i="16"/>
  <c r="Y9" i="16"/>
  <c r="Z9" i="16"/>
  <c r="AA9" i="16"/>
  <c r="AB9" i="16"/>
  <c r="AL9" i="16" s="1"/>
  <c r="AC9" i="16"/>
  <c r="AD9" i="16"/>
  <c r="AE9" i="16"/>
  <c r="AE13" i="16" s="1"/>
  <c r="AF9" i="16"/>
  <c r="AG9" i="16"/>
  <c r="AH9" i="16"/>
  <c r="AI9" i="16"/>
  <c r="AM9" i="16"/>
  <c r="E10" i="16"/>
  <c r="F10" i="16"/>
  <c r="G10" i="16"/>
  <c r="H10" i="16"/>
  <c r="I10" i="16"/>
  <c r="J10" i="16"/>
  <c r="K10" i="16"/>
  <c r="L10" i="16"/>
  <c r="L13" i="16" s="1"/>
  <c r="M10" i="16"/>
  <c r="N10" i="16"/>
  <c r="O10" i="16"/>
  <c r="P10" i="16"/>
  <c r="Q10" i="16"/>
  <c r="R10" i="16"/>
  <c r="S10" i="16"/>
  <c r="T10" i="16"/>
  <c r="T13" i="16" s="1"/>
  <c r="U10" i="16"/>
  <c r="V10" i="16"/>
  <c r="W10" i="16"/>
  <c r="X10" i="16"/>
  <c r="Y10" i="16"/>
  <c r="Z10" i="16"/>
  <c r="AA10" i="16"/>
  <c r="AB10" i="16"/>
  <c r="AC10" i="16"/>
  <c r="AD10" i="16"/>
  <c r="AE10" i="16"/>
  <c r="AF10" i="16"/>
  <c r="AG10" i="16"/>
  <c r="AH10" i="16"/>
  <c r="AI10" i="16"/>
  <c r="AK10" i="16"/>
  <c r="AM10" i="16"/>
  <c r="E11" i="16"/>
  <c r="F11" i="16"/>
  <c r="G11" i="16"/>
  <c r="H11" i="16"/>
  <c r="I11" i="16"/>
  <c r="J11" i="16"/>
  <c r="J13" i="16" s="1"/>
  <c r="K11" i="16"/>
  <c r="K13" i="16" s="1"/>
  <c r="K18" i="16" s="1"/>
  <c r="L11" i="16"/>
  <c r="M11" i="16"/>
  <c r="N11" i="16"/>
  <c r="O11" i="16"/>
  <c r="P11" i="16"/>
  <c r="Q11" i="16"/>
  <c r="R11" i="16"/>
  <c r="S11" i="16"/>
  <c r="T11" i="16"/>
  <c r="U11" i="16"/>
  <c r="V11" i="16"/>
  <c r="W11" i="16"/>
  <c r="X11" i="16"/>
  <c r="Y11" i="16"/>
  <c r="Z11" i="16"/>
  <c r="Z13" i="16" s="1"/>
  <c r="AA11" i="16"/>
  <c r="AA13" i="16" s="1"/>
  <c r="AA18" i="16" s="1"/>
  <c r="AB11" i="16"/>
  <c r="AC11" i="16"/>
  <c r="AD11" i="16"/>
  <c r="AE11" i="16"/>
  <c r="AF11" i="16"/>
  <c r="AG11" i="16"/>
  <c r="AH11" i="16"/>
  <c r="AI11" i="16"/>
  <c r="AM11" i="16" s="1"/>
  <c r="AK11" i="16"/>
  <c r="AL11" i="16"/>
  <c r="E12" i="16"/>
  <c r="F12" i="16"/>
  <c r="G12" i="16"/>
  <c r="H12" i="16"/>
  <c r="H13" i="16" s="1"/>
  <c r="I12" i="16"/>
  <c r="I13" i="16" s="1"/>
  <c r="I18" i="16" s="1"/>
  <c r="J12" i="16"/>
  <c r="K12" i="16"/>
  <c r="L12" i="16"/>
  <c r="M12" i="16"/>
  <c r="N12" i="16"/>
  <c r="O12" i="16"/>
  <c r="P12" i="16"/>
  <c r="AK12" i="16" s="1"/>
  <c r="Q12" i="16"/>
  <c r="R12" i="16"/>
  <c r="S12" i="16"/>
  <c r="T12" i="16"/>
  <c r="U12" i="16"/>
  <c r="V12" i="16"/>
  <c r="W12" i="16"/>
  <c r="X12" i="16"/>
  <c r="Y12" i="16"/>
  <c r="Z12" i="16"/>
  <c r="AA12" i="16"/>
  <c r="AB12" i="16"/>
  <c r="AC12" i="16"/>
  <c r="AD12" i="16"/>
  <c r="AD13" i="16" s="1"/>
  <c r="AE12" i="16"/>
  <c r="AF12" i="16"/>
  <c r="AF13" i="16" s="1"/>
  <c r="AG12" i="16"/>
  <c r="AH12" i="16"/>
  <c r="AI12" i="16"/>
  <c r="AM12" i="16" s="1"/>
  <c r="AL12" i="16"/>
  <c r="F13" i="16"/>
  <c r="F18" i="16" s="1"/>
  <c r="G13" i="16"/>
  <c r="N13" i="16"/>
  <c r="O13" i="16"/>
  <c r="Q13" i="16"/>
  <c r="S13" i="16"/>
  <c r="S18" i="16" s="1"/>
  <c r="V13" i="16"/>
  <c r="X13" i="16"/>
  <c r="Y13" i="16"/>
  <c r="AG13" i="16"/>
  <c r="AG18" i="16" s="1"/>
  <c r="AH13" i="16"/>
  <c r="AI13" i="16"/>
  <c r="E15" i="16"/>
  <c r="F15" i="16"/>
  <c r="G15" i="16"/>
  <c r="H15" i="16"/>
  <c r="H17" i="16" s="1"/>
  <c r="H18" i="16" s="1"/>
  <c r="I15" i="16"/>
  <c r="I17" i="16" s="1"/>
  <c r="J15" i="16"/>
  <c r="J17" i="16" s="1"/>
  <c r="K15" i="16"/>
  <c r="L15" i="16"/>
  <c r="L17" i="16" s="1"/>
  <c r="M15" i="16"/>
  <c r="N15" i="16"/>
  <c r="O15" i="16"/>
  <c r="P15" i="16"/>
  <c r="Q15" i="16"/>
  <c r="Q17" i="16" s="1"/>
  <c r="R15" i="16"/>
  <c r="S15" i="16"/>
  <c r="T15" i="16"/>
  <c r="T17" i="16" s="1"/>
  <c r="U15" i="16"/>
  <c r="V15" i="16"/>
  <c r="W15" i="16"/>
  <c r="X15" i="16"/>
  <c r="X17" i="16" s="1"/>
  <c r="Y15" i="16"/>
  <c r="Y17" i="16" s="1"/>
  <c r="Z15" i="16"/>
  <c r="Z17" i="16" s="1"/>
  <c r="Z18" i="16" s="1"/>
  <c r="AA15" i="16"/>
  <c r="AB15" i="16"/>
  <c r="AL15" i="16" s="1"/>
  <c r="AL17" i="16" s="1"/>
  <c r="AC15" i="16"/>
  <c r="AD15" i="16"/>
  <c r="AE15" i="16"/>
  <c r="AF15" i="16"/>
  <c r="AG15" i="16"/>
  <c r="AH15" i="16"/>
  <c r="AI15" i="16"/>
  <c r="AM15" i="16"/>
  <c r="E16" i="16"/>
  <c r="F16" i="16"/>
  <c r="F17" i="16" s="1"/>
  <c r="G16" i="16"/>
  <c r="H16" i="16"/>
  <c r="I16" i="16"/>
  <c r="J16" i="16"/>
  <c r="K16" i="16"/>
  <c r="L16" i="16"/>
  <c r="M16" i="16"/>
  <c r="N16" i="16"/>
  <c r="N17" i="16" s="1"/>
  <c r="N18" i="16" s="1"/>
  <c r="O16" i="16"/>
  <c r="P16" i="16"/>
  <c r="AK16" i="16" s="1"/>
  <c r="Q16" i="16"/>
  <c r="R16" i="16"/>
  <c r="S16" i="16"/>
  <c r="T16" i="16"/>
  <c r="U16" i="16"/>
  <c r="V16" i="16"/>
  <c r="V17" i="16" s="1"/>
  <c r="V18" i="16" s="1"/>
  <c r="W16" i="16"/>
  <c r="X16" i="16"/>
  <c r="Y16" i="16"/>
  <c r="Z16" i="16"/>
  <c r="AA16" i="16"/>
  <c r="AB16" i="16"/>
  <c r="AC16" i="16"/>
  <c r="AC17" i="16" s="1"/>
  <c r="AD16" i="16"/>
  <c r="AD17" i="16" s="1"/>
  <c r="AE16" i="16"/>
  <c r="AF16" i="16"/>
  <c r="AG16" i="16"/>
  <c r="AH16" i="16"/>
  <c r="AI16" i="16"/>
  <c r="AI17" i="16" s="1"/>
  <c r="AI18" i="16" s="1"/>
  <c r="AL16" i="16"/>
  <c r="AM16" i="16"/>
  <c r="AM17" i="16" s="1"/>
  <c r="E17" i="16"/>
  <c r="K17" i="16"/>
  <c r="M17" i="16"/>
  <c r="R17" i="16"/>
  <c r="S17" i="16"/>
  <c r="U17" i="16"/>
  <c r="AA17" i="16"/>
  <c r="AF17" i="16"/>
  <c r="AG17" i="16"/>
  <c r="AH17" i="16"/>
  <c r="Q18" i="16"/>
  <c r="Y18" i="16"/>
  <c r="AH18" i="16"/>
  <c r="E20" i="16"/>
  <c r="F20" i="16"/>
  <c r="G20" i="16"/>
  <c r="H20" i="16"/>
  <c r="I20" i="16"/>
  <c r="J20" i="16"/>
  <c r="K20" i="16"/>
  <c r="L20" i="16"/>
  <c r="M20" i="16"/>
  <c r="N20" i="16"/>
  <c r="O20" i="16"/>
  <c r="P20" i="16"/>
  <c r="Q20" i="16"/>
  <c r="R20" i="16"/>
  <c r="S20" i="16"/>
  <c r="T20" i="16"/>
  <c r="U20" i="16"/>
  <c r="V20" i="16"/>
  <c r="W20" i="16"/>
  <c r="X20" i="16"/>
  <c r="Y20" i="16"/>
  <c r="Z20" i="16"/>
  <c r="AA20" i="16"/>
  <c r="AB20" i="16"/>
  <c r="AC20" i="16"/>
  <c r="AD20" i="16"/>
  <c r="AE20" i="16"/>
  <c r="AF20" i="16"/>
  <c r="AG20" i="16"/>
  <c r="AH20" i="16"/>
  <c r="AI20" i="16"/>
  <c r="AL20" i="16"/>
  <c r="E21" i="16"/>
  <c r="E25" i="16" s="1"/>
  <c r="E28" i="16" s="1"/>
  <c r="F21" i="16"/>
  <c r="F25" i="16" s="1"/>
  <c r="F28" i="16" s="1"/>
  <c r="G21" i="16"/>
  <c r="H21" i="16"/>
  <c r="I21" i="16"/>
  <c r="J21" i="16"/>
  <c r="K21" i="16"/>
  <c r="L21" i="16"/>
  <c r="M21" i="16"/>
  <c r="N21" i="16"/>
  <c r="N25" i="16" s="1"/>
  <c r="N28" i="16" s="1"/>
  <c r="O21" i="16"/>
  <c r="P21" i="16"/>
  <c r="Q21" i="16"/>
  <c r="R21" i="16"/>
  <c r="S21" i="16"/>
  <c r="T21" i="16"/>
  <c r="U21" i="16"/>
  <c r="U25" i="16" s="1"/>
  <c r="U28" i="16" s="1"/>
  <c r="V21" i="16"/>
  <c r="V25" i="16" s="1"/>
  <c r="V28" i="16" s="1"/>
  <c r="W21" i="16"/>
  <c r="X21" i="16"/>
  <c r="Y21" i="16"/>
  <c r="Z21" i="16"/>
  <c r="AA21" i="16"/>
  <c r="AB21" i="16"/>
  <c r="AC21" i="16"/>
  <c r="AD21" i="16"/>
  <c r="AD25" i="16" s="1"/>
  <c r="AD28" i="16" s="1"/>
  <c r="AE21" i="16"/>
  <c r="AF21" i="16"/>
  <c r="AG21" i="16"/>
  <c r="AH21" i="16"/>
  <c r="AI21" i="16"/>
  <c r="AK21" i="16"/>
  <c r="AL21" i="16"/>
  <c r="AM21" i="16"/>
  <c r="E22" i="16"/>
  <c r="F22" i="16"/>
  <c r="G22" i="16"/>
  <c r="H22" i="16"/>
  <c r="I22" i="16"/>
  <c r="J22" i="16"/>
  <c r="K22" i="16"/>
  <c r="K25" i="16" s="1"/>
  <c r="L22" i="16"/>
  <c r="L25" i="16" s="1"/>
  <c r="L28" i="16" s="1"/>
  <c r="M22" i="16"/>
  <c r="N22" i="16"/>
  <c r="O22" i="16"/>
  <c r="P22" i="16"/>
  <c r="Q22" i="16"/>
  <c r="R22" i="16"/>
  <c r="S22" i="16"/>
  <c r="S25" i="16" s="1"/>
  <c r="S28" i="16" s="1"/>
  <c r="T22" i="16"/>
  <c r="T25" i="16" s="1"/>
  <c r="T28" i="16" s="1"/>
  <c r="U22" i="16"/>
  <c r="V22" i="16"/>
  <c r="W22" i="16"/>
  <c r="X22" i="16"/>
  <c r="Y22" i="16"/>
  <c r="Z22" i="16"/>
  <c r="AA22" i="16"/>
  <c r="AB22" i="16"/>
  <c r="AC22" i="16"/>
  <c r="AD22" i="16"/>
  <c r="AE22" i="16"/>
  <c r="AF22" i="16"/>
  <c r="AG22" i="16"/>
  <c r="AH22" i="16"/>
  <c r="AI22" i="16"/>
  <c r="AM22" i="16" s="1"/>
  <c r="AK22" i="16"/>
  <c r="E23" i="16"/>
  <c r="F23" i="16"/>
  <c r="G23" i="16"/>
  <c r="H23" i="16"/>
  <c r="I23" i="16"/>
  <c r="J23" i="16"/>
  <c r="J25" i="16" s="1"/>
  <c r="J28" i="16" s="1"/>
  <c r="K23" i="16"/>
  <c r="L23" i="16"/>
  <c r="M23" i="16"/>
  <c r="N23" i="16"/>
  <c r="O23" i="16"/>
  <c r="P23" i="16"/>
  <c r="AK23" i="16" s="1"/>
  <c r="Q23" i="16"/>
  <c r="R23" i="16"/>
  <c r="R25" i="16" s="1"/>
  <c r="R28" i="16" s="1"/>
  <c r="S23" i="16"/>
  <c r="T23" i="16"/>
  <c r="U23" i="16"/>
  <c r="V23" i="16"/>
  <c r="W23" i="16"/>
  <c r="X23" i="16"/>
  <c r="Y23" i="16"/>
  <c r="Z23" i="16"/>
  <c r="Z25" i="16" s="1"/>
  <c r="Z28" i="16" s="1"/>
  <c r="AA23" i="16"/>
  <c r="AB23" i="16"/>
  <c r="AC23" i="16"/>
  <c r="AD23" i="16"/>
  <c r="AE23" i="16"/>
  <c r="AF23" i="16"/>
  <c r="AG23" i="16"/>
  <c r="AH23" i="16"/>
  <c r="AH25" i="16" s="1"/>
  <c r="AH28" i="16" s="1"/>
  <c r="AI23" i="16"/>
  <c r="AM23" i="16" s="1"/>
  <c r="AL23" i="16"/>
  <c r="E24" i="16"/>
  <c r="F24" i="16"/>
  <c r="G24" i="16"/>
  <c r="H24" i="16"/>
  <c r="I24" i="16"/>
  <c r="J24" i="16"/>
  <c r="K24" i="16"/>
  <c r="L24" i="16"/>
  <c r="M24" i="16"/>
  <c r="N24" i="16"/>
  <c r="O24" i="16"/>
  <c r="P24" i="16"/>
  <c r="AK24" i="16" s="1"/>
  <c r="Q24" i="16"/>
  <c r="R24" i="16"/>
  <c r="S24" i="16"/>
  <c r="T24" i="16"/>
  <c r="U24" i="16"/>
  <c r="V24" i="16"/>
  <c r="W24" i="16"/>
  <c r="W25" i="16" s="1"/>
  <c r="X24" i="16"/>
  <c r="Y24" i="16"/>
  <c r="Z24" i="16"/>
  <c r="AA24" i="16"/>
  <c r="AB24" i="16"/>
  <c r="AC24" i="16"/>
  <c r="AD24" i="16"/>
  <c r="AE24" i="16"/>
  <c r="AF24" i="16"/>
  <c r="AG24" i="16"/>
  <c r="AH24" i="16"/>
  <c r="AI24" i="16"/>
  <c r="AM24" i="16" s="1"/>
  <c r="AL24" i="16"/>
  <c r="G25" i="16"/>
  <c r="M25" i="16"/>
  <c r="M28" i="16" s="1"/>
  <c r="O25" i="16"/>
  <c r="Q25" i="16"/>
  <c r="Q28" i="16" s="1"/>
  <c r="Y25" i="16"/>
  <c r="AC25" i="16"/>
  <c r="AC28" i="16" s="1"/>
  <c r="AE25" i="16"/>
  <c r="AG25" i="16"/>
  <c r="AG28" i="16" s="1"/>
  <c r="E27" i="16"/>
  <c r="F27" i="16"/>
  <c r="G27" i="16"/>
  <c r="H27" i="16"/>
  <c r="I27" i="16"/>
  <c r="J27" i="16"/>
  <c r="K27" i="16"/>
  <c r="L27" i="16"/>
  <c r="M27" i="16"/>
  <c r="N27" i="16"/>
  <c r="O27" i="16"/>
  <c r="P27" i="16"/>
  <c r="Q27" i="16"/>
  <c r="R27" i="16"/>
  <c r="S27" i="16"/>
  <c r="T27" i="16"/>
  <c r="U27" i="16"/>
  <c r="V27" i="16"/>
  <c r="W27" i="16"/>
  <c r="X27" i="16"/>
  <c r="Y27" i="16"/>
  <c r="Z27" i="16"/>
  <c r="AA27" i="16"/>
  <c r="AB27" i="16"/>
  <c r="AC27" i="16"/>
  <c r="AD27" i="16"/>
  <c r="AE27" i="16"/>
  <c r="AF27" i="16"/>
  <c r="AG27" i="16"/>
  <c r="AH27" i="16"/>
  <c r="AI27" i="16"/>
  <c r="AM27" i="16" s="1"/>
  <c r="AK27" i="16"/>
  <c r="AL27" i="16"/>
  <c r="K28" i="16"/>
  <c r="Y28" i="16"/>
  <c r="E30" i="16"/>
  <c r="F30" i="16"/>
  <c r="G30" i="16"/>
  <c r="H30" i="16"/>
  <c r="I30" i="16"/>
  <c r="J30" i="16"/>
  <c r="K30" i="16"/>
  <c r="L30" i="16"/>
  <c r="M30" i="16"/>
  <c r="N30" i="16"/>
  <c r="O30" i="16"/>
  <c r="P30" i="16"/>
  <c r="AK30" i="16" s="1"/>
  <c r="Q30" i="16"/>
  <c r="R30" i="16"/>
  <c r="S30" i="16"/>
  <c r="T30" i="16"/>
  <c r="U30" i="16"/>
  <c r="V30" i="16"/>
  <c r="W30" i="16"/>
  <c r="X30" i="16"/>
  <c r="Y30" i="16"/>
  <c r="Z30" i="16"/>
  <c r="AA30" i="16"/>
  <c r="AB30" i="16"/>
  <c r="AC30" i="16"/>
  <c r="AD30" i="16"/>
  <c r="AE30" i="16"/>
  <c r="AF30" i="16"/>
  <c r="AG30" i="16"/>
  <c r="AH30" i="16"/>
  <c r="AI30" i="16"/>
  <c r="AM30" i="16" s="1"/>
  <c r="AL30" i="16"/>
  <c r="E31" i="16"/>
  <c r="F31" i="16"/>
  <c r="G31" i="16"/>
  <c r="H31" i="16"/>
  <c r="I31" i="16"/>
  <c r="J31" i="16"/>
  <c r="K31" i="16"/>
  <c r="L31" i="16"/>
  <c r="M31" i="16"/>
  <c r="N31" i="16"/>
  <c r="O31" i="16"/>
  <c r="P31" i="16"/>
  <c r="Q31" i="16"/>
  <c r="R31" i="16"/>
  <c r="S31" i="16"/>
  <c r="T31" i="16"/>
  <c r="U31" i="16"/>
  <c r="V31" i="16"/>
  <c r="W31" i="16"/>
  <c r="X31" i="16"/>
  <c r="Y31" i="16"/>
  <c r="Z31" i="16"/>
  <c r="AA31" i="16"/>
  <c r="AB31" i="16"/>
  <c r="AC31" i="16"/>
  <c r="AD31" i="16"/>
  <c r="AE31" i="16"/>
  <c r="AF31" i="16"/>
  <c r="AG31" i="16"/>
  <c r="AH31" i="16"/>
  <c r="AI31" i="16"/>
  <c r="AK31" i="16"/>
  <c r="AL31" i="16"/>
  <c r="AM31" i="16"/>
  <c r="E32" i="16"/>
  <c r="F32" i="16"/>
  <c r="G32" i="16"/>
  <c r="H32" i="16"/>
  <c r="I32" i="16"/>
  <c r="J32" i="16"/>
  <c r="K32" i="16"/>
  <c r="L32" i="16"/>
  <c r="M32" i="16"/>
  <c r="N32" i="16"/>
  <c r="O32" i="16"/>
  <c r="P32" i="16"/>
  <c r="Q32" i="16"/>
  <c r="R32" i="16"/>
  <c r="S32" i="16"/>
  <c r="T32" i="16"/>
  <c r="U32" i="16"/>
  <c r="V32" i="16"/>
  <c r="W32" i="16"/>
  <c r="X32" i="16"/>
  <c r="Y32" i="16"/>
  <c r="Z32" i="16"/>
  <c r="AA32" i="16"/>
  <c r="AB32" i="16"/>
  <c r="AC32" i="16"/>
  <c r="AD32" i="16"/>
  <c r="AE32" i="16"/>
  <c r="AF32" i="16"/>
  <c r="AG32" i="16"/>
  <c r="AH32" i="16"/>
  <c r="AI32" i="16"/>
  <c r="AK32" i="16"/>
  <c r="AL32" i="16"/>
  <c r="F45" i="16"/>
  <c r="G45" i="16"/>
  <c r="H45" i="16"/>
  <c r="I45" i="16"/>
  <c r="J45" i="16"/>
  <c r="L45" i="16"/>
  <c r="M45" i="16"/>
  <c r="N45" i="16"/>
  <c r="O45" i="16"/>
  <c r="P45" i="16"/>
  <c r="Q45" i="16"/>
  <c r="R45" i="16"/>
  <c r="T45" i="16"/>
  <c r="U45" i="16"/>
  <c r="V45" i="16"/>
  <c r="W45" i="16"/>
  <c r="X45" i="16"/>
  <c r="Y45" i="16"/>
  <c r="Z45" i="16"/>
  <c r="AB45" i="16"/>
  <c r="AC45" i="16"/>
  <c r="AD45" i="16"/>
  <c r="AE45" i="16"/>
  <c r="AF45" i="16"/>
  <c r="AG45" i="16"/>
  <c r="AH45" i="16"/>
  <c r="AL45" i="16"/>
  <c r="C7" i="14"/>
  <c r="C8" i="14"/>
  <c r="E8" i="14"/>
  <c r="F8" i="14"/>
  <c r="G8" i="14"/>
  <c r="H8" i="14"/>
  <c r="I8" i="14"/>
  <c r="J8" i="14"/>
  <c r="K8" i="14"/>
  <c r="L8" i="14"/>
  <c r="M8" i="14"/>
  <c r="N8" i="14"/>
  <c r="O8" i="14"/>
  <c r="P8" i="14"/>
  <c r="Q8" i="14"/>
  <c r="R8" i="14"/>
  <c r="S8" i="14"/>
  <c r="T8" i="14"/>
  <c r="U8" i="14"/>
  <c r="V8" i="14"/>
  <c r="W8" i="14"/>
  <c r="X8" i="14"/>
  <c r="Y8" i="14"/>
  <c r="Z8" i="14"/>
  <c r="AA8" i="14"/>
  <c r="AB8" i="14"/>
  <c r="AC8" i="14"/>
  <c r="AD8" i="14"/>
  <c r="AE8" i="14"/>
  <c r="AF8" i="14"/>
  <c r="AG8" i="14"/>
  <c r="AH8" i="14"/>
  <c r="AI8" i="14"/>
  <c r="AM7" i="14" s="1"/>
  <c r="AO8" i="14"/>
  <c r="AP8" i="14"/>
  <c r="AQ8" i="14"/>
  <c r="E9" i="14"/>
  <c r="AK9" i="14" s="1"/>
  <c r="F9" i="14"/>
  <c r="G9" i="14"/>
  <c r="G14" i="14" s="1"/>
  <c r="G15" i="14" s="1"/>
  <c r="G20" i="14" s="1"/>
  <c r="H9" i="14"/>
  <c r="I9" i="14"/>
  <c r="J9" i="14"/>
  <c r="K9" i="14"/>
  <c r="L9" i="14"/>
  <c r="M9" i="14"/>
  <c r="M14" i="14" s="1"/>
  <c r="M15" i="14" s="1"/>
  <c r="M20" i="14" s="1"/>
  <c r="N9" i="14"/>
  <c r="O9" i="14"/>
  <c r="O14" i="14" s="1"/>
  <c r="O15" i="14" s="1"/>
  <c r="O20" i="14" s="1"/>
  <c r="P9" i="14"/>
  <c r="Q9" i="14"/>
  <c r="R9" i="14"/>
  <c r="S9" i="14"/>
  <c r="T9" i="14"/>
  <c r="U9" i="14"/>
  <c r="V9" i="14"/>
  <c r="W9" i="14"/>
  <c r="AL9" i="14" s="1"/>
  <c r="X9" i="14"/>
  <c r="Y9" i="14"/>
  <c r="Z9" i="14"/>
  <c r="AA9" i="14"/>
  <c r="AB9" i="14"/>
  <c r="AC9" i="14"/>
  <c r="AC14" i="14" s="1"/>
  <c r="AC15" i="14" s="1"/>
  <c r="AD9" i="14"/>
  <c r="AE9" i="14"/>
  <c r="AE14" i="14" s="1"/>
  <c r="AE15" i="14" s="1"/>
  <c r="AF9" i="14"/>
  <c r="AG9" i="14"/>
  <c r="AH9" i="14"/>
  <c r="AI9" i="14"/>
  <c r="E10" i="14"/>
  <c r="F10" i="14"/>
  <c r="G10" i="14"/>
  <c r="H10" i="14"/>
  <c r="H14" i="14" s="1"/>
  <c r="I10" i="14"/>
  <c r="J10" i="14"/>
  <c r="K10" i="14"/>
  <c r="L10" i="14"/>
  <c r="M10" i="14"/>
  <c r="N10" i="14"/>
  <c r="O10" i="14"/>
  <c r="P10" i="14"/>
  <c r="P14" i="14" s="1"/>
  <c r="Q10" i="14"/>
  <c r="R10" i="14"/>
  <c r="S10" i="14"/>
  <c r="S14" i="14" s="1"/>
  <c r="S15" i="14" s="1"/>
  <c r="T10" i="14"/>
  <c r="U10" i="14"/>
  <c r="V10" i="14"/>
  <c r="W10" i="14"/>
  <c r="X10" i="14"/>
  <c r="Y10" i="14"/>
  <c r="Z10" i="14"/>
  <c r="AA10" i="14"/>
  <c r="AB10" i="14"/>
  <c r="AC10" i="14"/>
  <c r="AD10" i="14"/>
  <c r="AE10" i="14"/>
  <c r="AF10" i="14"/>
  <c r="AF14" i="14" s="1"/>
  <c r="AG10" i="14"/>
  <c r="AH10" i="14"/>
  <c r="AI10" i="14"/>
  <c r="AI14" i="14" s="1"/>
  <c r="AI15" i="14" s="1"/>
  <c r="E11" i="14"/>
  <c r="F11" i="14"/>
  <c r="F14" i="14" s="1"/>
  <c r="G11" i="14"/>
  <c r="H11" i="14"/>
  <c r="I11" i="14"/>
  <c r="J11" i="14"/>
  <c r="K11" i="14"/>
  <c r="L11" i="14"/>
  <c r="M11" i="14"/>
  <c r="N11" i="14"/>
  <c r="N14" i="14" s="1"/>
  <c r="O11" i="14"/>
  <c r="P11" i="14"/>
  <c r="Q11" i="14"/>
  <c r="R11" i="14"/>
  <c r="S11" i="14"/>
  <c r="T11" i="14"/>
  <c r="T14" i="14" s="1"/>
  <c r="T15" i="14" s="1"/>
  <c r="U11" i="14"/>
  <c r="V11" i="14"/>
  <c r="V14" i="14" s="1"/>
  <c r="W11" i="14"/>
  <c r="X11" i="14"/>
  <c r="Y11" i="14"/>
  <c r="Z11" i="14"/>
  <c r="AA11" i="14"/>
  <c r="AB11" i="14"/>
  <c r="AC11" i="14"/>
  <c r="AD11" i="14"/>
  <c r="AD14" i="14" s="1"/>
  <c r="AE11" i="14"/>
  <c r="AF11" i="14"/>
  <c r="AG11" i="14"/>
  <c r="AH11" i="14"/>
  <c r="AI11" i="14"/>
  <c r="AK11" i="14"/>
  <c r="AM11" i="14"/>
  <c r="E12" i="14"/>
  <c r="F12" i="14"/>
  <c r="G12" i="14"/>
  <c r="H12" i="14"/>
  <c r="I12" i="14"/>
  <c r="J12" i="14"/>
  <c r="K12" i="14"/>
  <c r="L12" i="14"/>
  <c r="M12" i="14"/>
  <c r="N12" i="14"/>
  <c r="O12" i="14"/>
  <c r="P12" i="14"/>
  <c r="Q12" i="14"/>
  <c r="R12" i="14"/>
  <c r="S12" i="14"/>
  <c r="T12" i="14"/>
  <c r="U12" i="14"/>
  <c r="V12" i="14"/>
  <c r="W12" i="14"/>
  <c r="X12" i="14"/>
  <c r="Y12" i="14"/>
  <c r="Z12" i="14"/>
  <c r="AA12" i="14"/>
  <c r="AB12" i="14"/>
  <c r="AC12" i="14"/>
  <c r="AD12" i="14"/>
  <c r="AE12" i="14"/>
  <c r="AF12" i="14"/>
  <c r="AG12" i="14"/>
  <c r="AH12" i="14"/>
  <c r="AI12" i="14"/>
  <c r="AM12" i="14"/>
  <c r="E13" i="14"/>
  <c r="F13" i="14"/>
  <c r="G13" i="14"/>
  <c r="H13" i="14"/>
  <c r="I13" i="14"/>
  <c r="AK13" i="14" s="1"/>
  <c r="J13" i="14"/>
  <c r="K13" i="14"/>
  <c r="L13" i="14"/>
  <c r="M13" i="14"/>
  <c r="N13" i="14"/>
  <c r="O13" i="14"/>
  <c r="P13" i="14"/>
  <c r="Q13" i="14"/>
  <c r="R13" i="14"/>
  <c r="S13" i="14"/>
  <c r="T13" i="14"/>
  <c r="U13" i="14"/>
  <c r="V13" i="14"/>
  <c r="W13" i="14"/>
  <c r="X13" i="14"/>
  <c r="Y13" i="14"/>
  <c r="Z13" i="14"/>
  <c r="AA13" i="14"/>
  <c r="AB13" i="14"/>
  <c r="AC13" i="14"/>
  <c r="AD13" i="14"/>
  <c r="AE13" i="14"/>
  <c r="AF13" i="14"/>
  <c r="AG13" i="14"/>
  <c r="AH13" i="14"/>
  <c r="AI13" i="14"/>
  <c r="E14" i="14"/>
  <c r="E15" i="14" s="1"/>
  <c r="E20" i="14" s="1"/>
  <c r="K14" i="14"/>
  <c r="K15" i="14" s="1"/>
  <c r="K20" i="14" s="1"/>
  <c r="L14" i="14"/>
  <c r="L15" i="14" s="1"/>
  <c r="L20" i="14" s="1"/>
  <c r="U14" i="14"/>
  <c r="U15" i="14" s="1"/>
  <c r="U20" i="14" s="1"/>
  <c r="AA14" i="14"/>
  <c r="AA15" i="14" s="1"/>
  <c r="AB14" i="14"/>
  <c r="AB15" i="14" s="1"/>
  <c r="F15" i="14"/>
  <c r="H15" i="14"/>
  <c r="N15" i="14"/>
  <c r="N20" i="14" s="1"/>
  <c r="P15" i="14"/>
  <c r="P20" i="14" s="1"/>
  <c r="V15" i="14"/>
  <c r="AD15" i="14"/>
  <c r="AD20" i="14" s="1"/>
  <c r="AF15" i="14"/>
  <c r="AF20" i="14" s="1"/>
  <c r="AK19" i="14"/>
  <c r="AL19" i="14"/>
  <c r="AM19" i="14"/>
  <c r="F20" i="14"/>
  <c r="H20" i="14"/>
  <c r="V20" i="14"/>
  <c r="E22" i="14"/>
  <c r="F22" i="14"/>
  <c r="G22" i="14"/>
  <c r="H22" i="14"/>
  <c r="I22" i="14"/>
  <c r="I28" i="14" s="1"/>
  <c r="J22" i="14"/>
  <c r="J28" i="14" s="1"/>
  <c r="K22" i="14"/>
  <c r="L22" i="14"/>
  <c r="M22" i="14"/>
  <c r="N22" i="14"/>
  <c r="O22" i="14"/>
  <c r="P22" i="14"/>
  <c r="Q22" i="14"/>
  <c r="R22" i="14"/>
  <c r="R28" i="14" s="1"/>
  <c r="S22" i="14"/>
  <c r="T22" i="14"/>
  <c r="U22" i="14"/>
  <c r="V22" i="14"/>
  <c r="W22" i="14"/>
  <c r="X22" i="14"/>
  <c r="Y22" i="14"/>
  <c r="Z22" i="14"/>
  <c r="Z28" i="14" s="1"/>
  <c r="AA22" i="14"/>
  <c r="AB22" i="14"/>
  <c r="AC22" i="14"/>
  <c r="AD22" i="14"/>
  <c r="AE22" i="14"/>
  <c r="AF22" i="14"/>
  <c r="AG22" i="14"/>
  <c r="AG28" i="14" s="1"/>
  <c r="AH22" i="14"/>
  <c r="AH28" i="14" s="1"/>
  <c r="AI22" i="14"/>
  <c r="E23" i="14"/>
  <c r="F23" i="14"/>
  <c r="AK23" i="14" s="1"/>
  <c r="G23" i="14"/>
  <c r="H23" i="14"/>
  <c r="I23" i="14"/>
  <c r="J23" i="14"/>
  <c r="K23" i="14"/>
  <c r="L23" i="14"/>
  <c r="M23" i="14"/>
  <c r="N23" i="14"/>
  <c r="O23" i="14"/>
  <c r="P23" i="14"/>
  <c r="Q23" i="14"/>
  <c r="R23" i="14"/>
  <c r="S23" i="14"/>
  <c r="T23" i="14"/>
  <c r="AL23" i="14" s="1"/>
  <c r="U23" i="14"/>
  <c r="V23" i="14"/>
  <c r="W23" i="14"/>
  <c r="X23" i="14"/>
  <c r="AM23" i="14" s="1"/>
  <c r="Y23" i="14"/>
  <c r="Z23" i="14"/>
  <c r="AA23" i="14"/>
  <c r="AB23" i="14"/>
  <c r="AC23" i="14"/>
  <c r="AD23" i="14"/>
  <c r="AE23" i="14"/>
  <c r="AF23" i="14"/>
  <c r="AG23" i="14"/>
  <c r="AH23" i="14"/>
  <c r="AI23" i="14"/>
  <c r="E24" i="14"/>
  <c r="F24" i="14"/>
  <c r="G24" i="14"/>
  <c r="H24" i="14"/>
  <c r="I24" i="14"/>
  <c r="J24" i="14"/>
  <c r="K24" i="14"/>
  <c r="L24" i="14"/>
  <c r="M24" i="14"/>
  <c r="N24" i="14"/>
  <c r="O24" i="14"/>
  <c r="P24" i="14"/>
  <c r="Q24" i="14"/>
  <c r="R24" i="14"/>
  <c r="S24" i="14"/>
  <c r="T24" i="14"/>
  <c r="U24" i="14"/>
  <c r="V24" i="14"/>
  <c r="W24" i="14"/>
  <c r="W28" i="14" s="1"/>
  <c r="X24" i="14"/>
  <c r="Y24" i="14"/>
  <c r="Z24" i="14"/>
  <c r="AA24" i="14"/>
  <c r="AA28" i="14" s="1"/>
  <c r="AB24" i="14"/>
  <c r="AC24" i="14"/>
  <c r="AD24" i="14"/>
  <c r="AE24" i="14"/>
  <c r="AE28" i="14" s="1"/>
  <c r="AF24" i="14"/>
  <c r="AG24" i="14"/>
  <c r="AH24" i="14"/>
  <c r="AI24" i="14"/>
  <c r="E25" i="14"/>
  <c r="F25" i="14"/>
  <c r="G25" i="14"/>
  <c r="H25" i="14"/>
  <c r="I25" i="14"/>
  <c r="J25" i="14"/>
  <c r="K25" i="14"/>
  <c r="K28" i="14" s="1"/>
  <c r="L25" i="14"/>
  <c r="M25" i="14"/>
  <c r="N25" i="14"/>
  <c r="O25" i="14"/>
  <c r="P25" i="14"/>
  <c r="Q25" i="14"/>
  <c r="R25" i="14"/>
  <c r="S25" i="14"/>
  <c r="S28" i="14" s="1"/>
  <c r="T25" i="14"/>
  <c r="U25" i="14"/>
  <c r="V25" i="14"/>
  <c r="W25" i="14"/>
  <c r="X25" i="14"/>
  <c r="Y25" i="14"/>
  <c r="Z25" i="14"/>
  <c r="AA25" i="14"/>
  <c r="AB25" i="14"/>
  <c r="AC25" i="14"/>
  <c r="AD25" i="14"/>
  <c r="AE25" i="14"/>
  <c r="AF25" i="14"/>
  <c r="AG25" i="14"/>
  <c r="AH25" i="14"/>
  <c r="AI25" i="14"/>
  <c r="AK25" i="14"/>
  <c r="E26" i="14"/>
  <c r="F26" i="14"/>
  <c r="G26" i="14"/>
  <c r="H26" i="14"/>
  <c r="I26" i="14"/>
  <c r="J26" i="14"/>
  <c r="K26" i="14"/>
  <c r="L26" i="14"/>
  <c r="M26" i="14"/>
  <c r="N26" i="14"/>
  <c r="O26" i="14"/>
  <c r="P26" i="14"/>
  <c r="Q26" i="14"/>
  <c r="R26" i="14"/>
  <c r="S26" i="14"/>
  <c r="T26" i="14"/>
  <c r="U26" i="14"/>
  <c r="AL26" i="14" s="1"/>
  <c r="V26" i="14"/>
  <c r="W26" i="14"/>
  <c r="X26" i="14"/>
  <c r="Y26" i="14"/>
  <c r="Z26" i="14"/>
  <c r="AM26" i="14" s="1"/>
  <c r="AA26" i="14"/>
  <c r="AB26" i="14"/>
  <c r="AC26" i="14"/>
  <c r="AD26" i="14"/>
  <c r="AE26" i="14"/>
  <c r="AF26" i="14"/>
  <c r="AG26" i="14"/>
  <c r="AH26" i="14"/>
  <c r="AI26" i="14"/>
  <c r="E27" i="14"/>
  <c r="AK27" i="14" s="1"/>
  <c r="F27" i="14"/>
  <c r="G27" i="14"/>
  <c r="H27" i="14"/>
  <c r="I27" i="14"/>
  <c r="J27" i="14"/>
  <c r="K27" i="14"/>
  <c r="L27" i="14"/>
  <c r="M27" i="14"/>
  <c r="N27" i="14"/>
  <c r="O27" i="14"/>
  <c r="P27" i="14"/>
  <c r="Q27" i="14"/>
  <c r="R27" i="14"/>
  <c r="S27" i="14"/>
  <c r="T27" i="14"/>
  <c r="U27" i="14"/>
  <c r="V27" i="14"/>
  <c r="W27" i="14"/>
  <c r="X27" i="14"/>
  <c r="Y27" i="14"/>
  <c r="Z27" i="14"/>
  <c r="AA27" i="14"/>
  <c r="AB27" i="14"/>
  <c r="AC27" i="14"/>
  <c r="AC28" i="14" s="1"/>
  <c r="AD27" i="14"/>
  <c r="AE27" i="14"/>
  <c r="AF27" i="14"/>
  <c r="AG27" i="14"/>
  <c r="AH27" i="14"/>
  <c r="AI27" i="14"/>
  <c r="G28" i="14"/>
  <c r="M28" i="14"/>
  <c r="O28" i="14"/>
  <c r="U28" i="14"/>
  <c r="Y28" i="14"/>
  <c r="AI28" i="14"/>
  <c r="E30" i="14"/>
  <c r="F30" i="14"/>
  <c r="G30" i="14"/>
  <c r="AK30" i="14" s="1"/>
  <c r="H30" i="14"/>
  <c r="H34" i="14" s="1"/>
  <c r="I30" i="14"/>
  <c r="J30" i="14"/>
  <c r="K30" i="14"/>
  <c r="L30" i="14"/>
  <c r="M30" i="14"/>
  <c r="N30" i="14"/>
  <c r="O30" i="14"/>
  <c r="O34" i="14" s="1"/>
  <c r="P30" i="14"/>
  <c r="P34" i="14" s="1"/>
  <c r="Q30" i="14"/>
  <c r="R30" i="14"/>
  <c r="S30" i="14"/>
  <c r="S34" i="14" s="1"/>
  <c r="T30" i="14"/>
  <c r="U30" i="14"/>
  <c r="V30" i="14"/>
  <c r="W30" i="14"/>
  <c r="W34" i="14" s="1"/>
  <c r="X30" i="14"/>
  <c r="Y30" i="14"/>
  <c r="Z30" i="14"/>
  <c r="AA30" i="14"/>
  <c r="AB30" i="14"/>
  <c r="AC30" i="14"/>
  <c r="AD30" i="14"/>
  <c r="AE30" i="14"/>
  <c r="AF30" i="14"/>
  <c r="AF34" i="14" s="1"/>
  <c r="AG30" i="14"/>
  <c r="AH30" i="14"/>
  <c r="AI30" i="14"/>
  <c r="AI34" i="14" s="1"/>
  <c r="E31" i="14"/>
  <c r="F31" i="14"/>
  <c r="G31" i="14"/>
  <c r="H31" i="14"/>
  <c r="I31" i="14"/>
  <c r="J31" i="14"/>
  <c r="K31" i="14"/>
  <c r="L31" i="14"/>
  <c r="M31" i="14"/>
  <c r="M34" i="14" s="1"/>
  <c r="N31" i="14"/>
  <c r="O31" i="14"/>
  <c r="P31" i="14"/>
  <c r="Q31" i="14"/>
  <c r="R31" i="14"/>
  <c r="S31" i="14"/>
  <c r="T31" i="14"/>
  <c r="U31" i="14"/>
  <c r="V31" i="14"/>
  <c r="W31" i="14"/>
  <c r="X31" i="14"/>
  <c r="Y31" i="14"/>
  <c r="Z31" i="14"/>
  <c r="AA31" i="14"/>
  <c r="AB31" i="14"/>
  <c r="AC31" i="14"/>
  <c r="AC34" i="14" s="1"/>
  <c r="AD31" i="14"/>
  <c r="AE31" i="14"/>
  <c r="AF31" i="14"/>
  <c r="AG31" i="14"/>
  <c r="AH31" i="14"/>
  <c r="AI31" i="14"/>
  <c r="AM31" i="14"/>
  <c r="E32" i="14"/>
  <c r="F32" i="14"/>
  <c r="G32" i="14"/>
  <c r="H32" i="14"/>
  <c r="I32" i="14"/>
  <c r="J32" i="14"/>
  <c r="K32" i="14"/>
  <c r="L32" i="14"/>
  <c r="M32" i="14"/>
  <c r="N32" i="14"/>
  <c r="O32" i="14"/>
  <c r="P32" i="14"/>
  <c r="Q32" i="14"/>
  <c r="R32" i="14"/>
  <c r="R34" i="14" s="1"/>
  <c r="S32" i="14"/>
  <c r="T32" i="14"/>
  <c r="U32" i="14"/>
  <c r="V32" i="14"/>
  <c r="W32" i="14"/>
  <c r="X32" i="14"/>
  <c r="Y32" i="14"/>
  <c r="Y34" i="14" s="1"/>
  <c r="Z32" i="14"/>
  <c r="AA32" i="14"/>
  <c r="AB32" i="14"/>
  <c r="AB34" i="14" s="1"/>
  <c r="AC32" i="14"/>
  <c r="AD32" i="14"/>
  <c r="AE32" i="14"/>
  <c r="AF32" i="14"/>
  <c r="AG32" i="14"/>
  <c r="AG34" i="14" s="1"/>
  <c r="AH32" i="14"/>
  <c r="AH34" i="14" s="1"/>
  <c r="AI32" i="14"/>
  <c r="E33" i="14"/>
  <c r="AK33" i="14" s="1"/>
  <c r="F33" i="14"/>
  <c r="G33" i="14"/>
  <c r="H33" i="14"/>
  <c r="I33" i="14"/>
  <c r="J33" i="14"/>
  <c r="K33" i="14"/>
  <c r="L33" i="14"/>
  <c r="M33" i="14"/>
  <c r="N33" i="14"/>
  <c r="O33" i="14"/>
  <c r="P33" i="14"/>
  <c r="Q33" i="14"/>
  <c r="R33" i="14"/>
  <c r="S33" i="14"/>
  <c r="T33" i="14"/>
  <c r="U33" i="14"/>
  <c r="V33" i="14"/>
  <c r="W33" i="14"/>
  <c r="X33" i="14"/>
  <c r="Y33" i="14"/>
  <c r="Z33" i="14"/>
  <c r="AA33" i="14"/>
  <c r="AB33" i="14"/>
  <c r="AC33" i="14"/>
  <c r="AD33" i="14"/>
  <c r="AE33" i="14"/>
  <c r="AF33" i="14"/>
  <c r="AG33" i="14"/>
  <c r="AH33" i="14"/>
  <c r="AI33" i="14"/>
  <c r="AL33" i="14"/>
  <c r="F34" i="14"/>
  <c r="K34" i="14"/>
  <c r="L34" i="14"/>
  <c r="N34" i="14"/>
  <c r="T34" i="14"/>
  <c r="V34" i="14"/>
  <c r="AA34" i="14"/>
  <c r="AD34" i="14"/>
  <c r="AE34" i="14"/>
  <c r="E36" i="14"/>
  <c r="AK36" i="14" s="1"/>
  <c r="F36" i="14"/>
  <c r="G36" i="14"/>
  <c r="H36" i="14"/>
  <c r="I36" i="14"/>
  <c r="J36" i="14"/>
  <c r="K36" i="14"/>
  <c r="L36" i="14"/>
  <c r="M36" i="14"/>
  <c r="N36" i="14"/>
  <c r="O36" i="14"/>
  <c r="P36" i="14"/>
  <c r="Q36" i="14"/>
  <c r="R36" i="14"/>
  <c r="S36" i="14"/>
  <c r="T36" i="14"/>
  <c r="U36" i="14"/>
  <c r="V36" i="14"/>
  <c r="W36" i="14"/>
  <c r="X36" i="14"/>
  <c r="AM36" i="14" s="1"/>
  <c r="Y36" i="14"/>
  <c r="Z36" i="14"/>
  <c r="AA36" i="14"/>
  <c r="AB36" i="14"/>
  <c r="AC36" i="14"/>
  <c r="AD36" i="14"/>
  <c r="AE36" i="14"/>
  <c r="AF36" i="14"/>
  <c r="AG36" i="14"/>
  <c r="AH36" i="14"/>
  <c r="AI36" i="14"/>
  <c r="E37" i="14"/>
  <c r="F37" i="14"/>
  <c r="F44" i="14" s="1"/>
  <c r="G37" i="14"/>
  <c r="H37" i="14"/>
  <c r="I37" i="14"/>
  <c r="J37" i="14"/>
  <c r="K37" i="14"/>
  <c r="L37" i="14"/>
  <c r="M37" i="14"/>
  <c r="N37" i="14"/>
  <c r="N44" i="14" s="1"/>
  <c r="O37" i="14"/>
  <c r="P37" i="14"/>
  <c r="Q37" i="14"/>
  <c r="R37" i="14"/>
  <c r="S37" i="14"/>
  <c r="T37" i="14"/>
  <c r="U37" i="14"/>
  <c r="V37" i="14"/>
  <c r="V44" i="14" s="1"/>
  <c r="W37" i="14"/>
  <c r="X37" i="14"/>
  <c r="Y37" i="14"/>
  <c r="Z37" i="14"/>
  <c r="AA37" i="14"/>
  <c r="AB37" i="14"/>
  <c r="AC37" i="14"/>
  <c r="AD37" i="14"/>
  <c r="AE37" i="14"/>
  <c r="AF37" i="14"/>
  <c r="AG37" i="14"/>
  <c r="AH37" i="14"/>
  <c r="AI37" i="14"/>
  <c r="E38" i="14"/>
  <c r="F38" i="14"/>
  <c r="G38" i="14"/>
  <c r="H38" i="14"/>
  <c r="H44" i="14" s="1"/>
  <c r="I38" i="14"/>
  <c r="I44" i="14" s="1"/>
  <c r="J38" i="14"/>
  <c r="K38" i="14"/>
  <c r="L38" i="14"/>
  <c r="M38" i="14"/>
  <c r="N38" i="14"/>
  <c r="O38" i="14"/>
  <c r="P38" i="14"/>
  <c r="P44" i="14" s="1"/>
  <c r="Q38" i="14"/>
  <c r="R38" i="14"/>
  <c r="S38" i="14"/>
  <c r="T38" i="14"/>
  <c r="U38" i="14"/>
  <c r="V38" i="14"/>
  <c r="W38" i="14"/>
  <c r="X38" i="14"/>
  <c r="Y38" i="14"/>
  <c r="Y44" i="14" s="1"/>
  <c r="Y45" i="14" s="1"/>
  <c r="Z38" i="14"/>
  <c r="AA38" i="14"/>
  <c r="AB38" i="14"/>
  <c r="AC38" i="14"/>
  <c r="AD38" i="14"/>
  <c r="AE38" i="14"/>
  <c r="AF38" i="14"/>
  <c r="AF44" i="14" s="1"/>
  <c r="AG38" i="14"/>
  <c r="AG44" i="14" s="1"/>
  <c r="AG45" i="14" s="1"/>
  <c r="AH38" i="14"/>
  <c r="AI38" i="14"/>
  <c r="E39" i="14"/>
  <c r="F39" i="14"/>
  <c r="G39" i="14"/>
  <c r="H39" i="14"/>
  <c r="I39" i="14"/>
  <c r="J39" i="14"/>
  <c r="K39" i="14"/>
  <c r="K44" i="14" s="1"/>
  <c r="K45" i="14" s="1"/>
  <c r="L39" i="14"/>
  <c r="L44" i="14" s="1"/>
  <c r="M39" i="14"/>
  <c r="N39" i="14"/>
  <c r="O39" i="14"/>
  <c r="P39" i="14"/>
  <c r="Q39" i="14"/>
  <c r="R39" i="14"/>
  <c r="S39" i="14"/>
  <c r="T39" i="14"/>
  <c r="T44" i="14" s="1"/>
  <c r="U39" i="14"/>
  <c r="V39" i="14"/>
  <c r="W39" i="14"/>
  <c r="X39" i="14"/>
  <c r="Y39" i="14"/>
  <c r="Z39" i="14"/>
  <c r="AA39" i="14"/>
  <c r="AA44" i="14" s="1"/>
  <c r="AA45" i="14" s="1"/>
  <c r="AB39" i="14"/>
  <c r="AB44" i="14" s="1"/>
  <c r="AC39" i="14"/>
  <c r="AD39" i="14"/>
  <c r="AE39" i="14"/>
  <c r="AF39" i="14"/>
  <c r="AG39" i="14"/>
  <c r="AH39" i="14"/>
  <c r="AI39" i="14"/>
  <c r="AK39" i="14"/>
  <c r="E40" i="14"/>
  <c r="F40" i="14"/>
  <c r="G40" i="14"/>
  <c r="H40" i="14"/>
  <c r="I40" i="14"/>
  <c r="J40" i="14"/>
  <c r="K40" i="14"/>
  <c r="L40" i="14"/>
  <c r="M40" i="14"/>
  <c r="N40" i="14"/>
  <c r="O40" i="14"/>
  <c r="P40" i="14"/>
  <c r="Q40" i="14"/>
  <c r="R40" i="14"/>
  <c r="S40" i="14"/>
  <c r="T40" i="14"/>
  <c r="U40" i="14"/>
  <c r="V40" i="14"/>
  <c r="W40" i="14"/>
  <c r="X40" i="14"/>
  <c r="Y40" i="14"/>
  <c r="Z40" i="14"/>
  <c r="AA40" i="14"/>
  <c r="AB40" i="14"/>
  <c r="AC40" i="14"/>
  <c r="AD40" i="14"/>
  <c r="AE40" i="14"/>
  <c r="AF40" i="14"/>
  <c r="AG40" i="14"/>
  <c r="AH40" i="14"/>
  <c r="AI40" i="14"/>
  <c r="AM40" i="14"/>
  <c r="E41" i="14"/>
  <c r="F41" i="14"/>
  <c r="G41" i="14"/>
  <c r="H41" i="14"/>
  <c r="I41" i="14"/>
  <c r="J41" i="14"/>
  <c r="J44" i="14" s="1"/>
  <c r="K41" i="14"/>
  <c r="L41" i="14"/>
  <c r="M41" i="14"/>
  <c r="N41" i="14"/>
  <c r="O41" i="14"/>
  <c r="P41" i="14"/>
  <c r="Q41" i="14"/>
  <c r="R41" i="14"/>
  <c r="R44" i="14" s="1"/>
  <c r="S41" i="14"/>
  <c r="T41" i="14"/>
  <c r="U41" i="14"/>
  <c r="V41" i="14"/>
  <c r="W41" i="14"/>
  <c r="X41" i="14"/>
  <c r="Y41" i="14"/>
  <c r="Z41" i="14"/>
  <c r="AA41" i="14"/>
  <c r="AB41" i="14"/>
  <c r="AC41" i="14"/>
  <c r="AD41" i="14"/>
  <c r="AE41" i="14"/>
  <c r="AF41" i="14"/>
  <c r="AG41" i="14"/>
  <c r="AH41" i="14"/>
  <c r="AH44" i="14" s="1"/>
  <c r="AI41" i="14"/>
  <c r="E42" i="14"/>
  <c r="AK42" i="14" s="1"/>
  <c r="F42" i="14"/>
  <c r="G42" i="14"/>
  <c r="H42" i="14"/>
  <c r="I42" i="14"/>
  <c r="J42" i="14"/>
  <c r="K42" i="14"/>
  <c r="L42" i="14"/>
  <c r="M42" i="14"/>
  <c r="N42" i="14"/>
  <c r="O42" i="14"/>
  <c r="P42" i="14"/>
  <c r="Q42" i="14"/>
  <c r="R42" i="14"/>
  <c r="S42" i="14"/>
  <c r="T42" i="14"/>
  <c r="U42" i="14"/>
  <c r="V42" i="14"/>
  <c r="W42" i="14"/>
  <c r="X42" i="14"/>
  <c r="Y42" i="14"/>
  <c r="Z42" i="14"/>
  <c r="AA42" i="14"/>
  <c r="AB42" i="14"/>
  <c r="AC42" i="14"/>
  <c r="AD42" i="14"/>
  <c r="AE42" i="14"/>
  <c r="AF42" i="14"/>
  <c r="AG42" i="14"/>
  <c r="AH42" i="14"/>
  <c r="AI42" i="14"/>
  <c r="AL42" i="14"/>
  <c r="E43" i="14"/>
  <c r="AK43" i="14" s="1"/>
  <c r="F43" i="14"/>
  <c r="G43" i="14"/>
  <c r="H43" i="14"/>
  <c r="I43" i="14"/>
  <c r="J43" i="14"/>
  <c r="K43" i="14"/>
  <c r="L43" i="14"/>
  <c r="M43" i="14"/>
  <c r="N43" i="14"/>
  <c r="O43" i="14"/>
  <c r="P43" i="14"/>
  <c r="Q43" i="14"/>
  <c r="R43" i="14"/>
  <c r="S43" i="14"/>
  <c r="T43" i="14"/>
  <c r="U43" i="14"/>
  <c r="V43" i="14"/>
  <c r="W43" i="14"/>
  <c r="X43" i="14"/>
  <c r="Y43" i="14"/>
  <c r="Z43" i="14"/>
  <c r="AA43" i="14"/>
  <c r="AB43" i="14"/>
  <c r="AC43" i="14"/>
  <c r="AD43" i="14"/>
  <c r="AE43" i="14"/>
  <c r="AF43" i="14"/>
  <c r="AG43" i="14"/>
  <c r="AH43" i="14"/>
  <c r="AI43" i="14"/>
  <c r="S44" i="14"/>
  <c r="S45" i="14" s="1"/>
  <c r="Z44" i="14"/>
  <c r="AI44" i="14"/>
  <c r="AI45" i="14" s="1"/>
  <c r="E47" i="14"/>
  <c r="F47" i="14"/>
  <c r="AK47" i="14" s="1"/>
  <c r="G47" i="14"/>
  <c r="H47" i="14"/>
  <c r="I47" i="14"/>
  <c r="J47" i="14"/>
  <c r="K47" i="14"/>
  <c r="L47" i="14"/>
  <c r="M47" i="14"/>
  <c r="N47" i="14"/>
  <c r="O47" i="14"/>
  <c r="P47" i="14"/>
  <c r="Q47" i="14"/>
  <c r="R47" i="14"/>
  <c r="S47" i="14"/>
  <c r="T47" i="14"/>
  <c r="U47" i="14"/>
  <c r="V47" i="14"/>
  <c r="W47" i="14"/>
  <c r="X47" i="14"/>
  <c r="Y47" i="14"/>
  <c r="Z47" i="14"/>
  <c r="AA47" i="14"/>
  <c r="AB47" i="14"/>
  <c r="AC47" i="14"/>
  <c r="AD47" i="14"/>
  <c r="AE47" i="14"/>
  <c r="AF47" i="14"/>
  <c r="AG47" i="14"/>
  <c r="AH47" i="14"/>
  <c r="AI47" i="14"/>
  <c r="E48" i="14"/>
  <c r="F48" i="14"/>
  <c r="G48" i="14"/>
  <c r="H48" i="14"/>
  <c r="I48" i="14"/>
  <c r="J48" i="14"/>
  <c r="K48" i="14"/>
  <c r="L48" i="14"/>
  <c r="M48" i="14"/>
  <c r="N48" i="14"/>
  <c r="O48" i="14"/>
  <c r="P48" i="14"/>
  <c r="Q48" i="14"/>
  <c r="AL48" i="14" s="1"/>
  <c r="R48" i="14"/>
  <c r="S48" i="14"/>
  <c r="T48" i="14"/>
  <c r="U48" i="14"/>
  <c r="V48" i="14"/>
  <c r="W48" i="14"/>
  <c r="X48" i="14"/>
  <c r="Y48" i="14"/>
  <c r="AM48" i="14" s="1"/>
  <c r="Z48" i="14"/>
  <c r="AA48" i="14"/>
  <c r="AB48" i="14"/>
  <c r="AC48" i="14"/>
  <c r="AD48" i="14"/>
  <c r="AE48" i="14"/>
  <c r="AF48" i="14"/>
  <c r="AG48" i="14"/>
  <c r="AH48" i="14"/>
  <c r="AI48" i="14"/>
  <c r="AK48" i="14"/>
  <c r="E49" i="14"/>
  <c r="F49" i="14"/>
  <c r="G49" i="14"/>
  <c r="H49" i="14"/>
  <c r="I49" i="14"/>
  <c r="J49" i="14"/>
  <c r="K49" i="14"/>
  <c r="L49" i="14"/>
  <c r="M49" i="14"/>
  <c r="N49" i="14"/>
  <c r="N67" i="14" s="1"/>
  <c r="O49" i="14"/>
  <c r="P49" i="14"/>
  <c r="Q49" i="14"/>
  <c r="R49" i="14"/>
  <c r="S49" i="14"/>
  <c r="T49" i="14"/>
  <c r="U49" i="14"/>
  <c r="V49" i="14"/>
  <c r="V67" i="14" s="1"/>
  <c r="W49" i="14"/>
  <c r="X49" i="14"/>
  <c r="Y49" i="14"/>
  <c r="Z49" i="14"/>
  <c r="AA49" i="14"/>
  <c r="AB49" i="14"/>
  <c r="AC49" i="14"/>
  <c r="AD49" i="14"/>
  <c r="AE49" i="14"/>
  <c r="AF49" i="14"/>
  <c r="AG49" i="14"/>
  <c r="AH49" i="14"/>
  <c r="AI49" i="14"/>
  <c r="E50" i="14"/>
  <c r="AK50" i="14" s="1"/>
  <c r="F50" i="14"/>
  <c r="G50" i="14"/>
  <c r="H50" i="14"/>
  <c r="I50" i="14"/>
  <c r="J50" i="14"/>
  <c r="K50" i="14"/>
  <c r="L50" i="14"/>
  <c r="M50" i="14"/>
  <c r="N50" i="14"/>
  <c r="O50" i="14"/>
  <c r="P50" i="14"/>
  <c r="Q50" i="14"/>
  <c r="R50" i="14"/>
  <c r="S50" i="14"/>
  <c r="T50" i="14"/>
  <c r="U50" i="14"/>
  <c r="V50" i="14"/>
  <c r="W50" i="14"/>
  <c r="X50" i="14"/>
  <c r="AM50" i="14" s="1"/>
  <c r="Y50" i="14"/>
  <c r="Z50" i="14"/>
  <c r="AA50" i="14"/>
  <c r="AB50" i="14"/>
  <c r="AC50" i="14"/>
  <c r="AD50" i="14"/>
  <c r="AE50" i="14"/>
  <c r="AF50" i="14"/>
  <c r="AG50" i="14"/>
  <c r="AH50" i="14"/>
  <c r="AI50" i="14"/>
  <c r="E51" i="14"/>
  <c r="F51" i="14"/>
  <c r="G51" i="14"/>
  <c r="H51" i="14"/>
  <c r="I51" i="14"/>
  <c r="J51" i="14"/>
  <c r="K51" i="14"/>
  <c r="L51" i="14"/>
  <c r="M51" i="14"/>
  <c r="M67" i="14" s="1"/>
  <c r="N51" i="14"/>
  <c r="O51" i="14"/>
  <c r="P51" i="14"/>
  <c r="Q51" i="14"/>
  <c r="R51" i="14"/>
  <c r="S51" i="14"/>
  <c r="T51" i="14"/>
  <c r="U51" i="14"/>
  <c r="U67" i="14" s="1"/>
  <c r="V51" i="14"/>
  <c r="W51" i="14"/>
  <c r="X51" i="14"/>
  <c r="Y51" i="14"/>
  <c r="Z51" i="14"/>
  <c r="AA51" i="14"/>
  <c r="AB51" i="14"/>
  <c r="AC51" i="14"/>
  <c r="AC67" i="14" s="1"/>
  <c r="AD51" i="14"/>
  <c r="AE51" i="14"/>
  <c r="AF51" i="14"/>
  <c r="AG51" i="14"/>
  <c r="AH51" i="14"/>
  <c r="AI51" i="14"/>
  <c r="E52" i="14"/>
  <c r="F52" i="14"/>
  <c r="G52" i="14"/>
  <c r="H52" i="14"/>
  <c r="I52" i="14"/>
  <c r="J52" i="14"/>
  <c r="K52" i="14"/>
  <c r="L52" i="14"/>
  <c r="M52" i="14"/>
  <c r="N52" i="14"/>
  <c r="O52" i="14"/>
  <c r="P52" i="14"/>
  <c r="Q52" i="14"/>
  <c r="R52" i="14"/>
  <c r="S52" i="14"/>
  <c r="T52" i="14"/>
  <c r="U52" i="14"/>
  <c r="V52" i="14"/>
  <c r="W52" i="14"/>
  <c r="AL52" i="14" s="1"/>
  <c r="X52" i="14"/>
  <c r="Y52" i="14"/>
  <c r="Z52" i="14"/>
  <c r="AA52" i="14"/>
  <c r="AB52" i="14"/>
  <c r="AC52" i="14"/>
  <c r="AD52" i="14"/>
  <c r="AE52" i="14"/>
  <c r="AF52" i="14"/>
  <c r="AG52" i="14"/>
  <c r="AH52" i="14"/>
  <c r="AI52" i="14"/>
  <c r="E53" i="14"/>
  <c r="F53" i="14"/>
  <c r="G53" i="14"/>
  <c r="H53" i="14"/>
  <c r="I53" i="14"/>
  <c r="J53" i="14"/>
  <c r="K53" i="14"/>
  <c r="L53" i="14"/>
  <c r="M53" i="14"/>
  <c r="N53" i="14"/>
  <c r="O53" i="14"/>
  <c r="P53" i="14"/>
  <c r="Q53" i="14"/>
  <c r="R53" i="14"/>
  <c r="S53" i="14"/>
  <c r="T53" i="14"/>
  <c r="U53" i="14"/>
  <c r="V53" i="14"/>
  <c r="W53" i="14"/>
  <c r="X53" i="14"/>
  <c r="Y53" i="14"/>
  <c r="Z53" i="14"/>
  <c r="AA53" i="14"/>
  <c r="AB53" i="14"/>
  <c r="AC53" i="14"/>
  <c r="AD53" i="14"/>
  <c r="AE53" i="14"/>
  <c r="AF53" i="14"/>
  <c r="AG53" i="14"/>
  <c r="AH53" i="14"/>
  <c r="AI53" i="14"/>
  <c r="E54" i="14"/>
  <c r="F54" i="14"/>
  <c r="G54" i="14"/>
  <c r="H54" i="14"/>
  <c r="I54" i="14"/>
  <c r="J54" i="14"/>
  <c r="K54" i="14"/>
  <c r="L54" i="14"/>
  <c r="M54" i="14"/>
  <c r="N54" i="14"/>
  <c r="O54" i="14"/>
  <c r="P54" i="14"/>
  <c r="Q54" i="14"/>
  <c r="R54" i="14"/>
  <c r="S54" i="14"/>
  <c r="T54" i="14"/>
  <c r="U54" i="14"/>
  <c r="V54" i="14"/>
  <c r="W54" i="14"/>
  <c r="X54" i="14"/>
  <c r="Y54" i="14"/>
  <c r="Z54" i="14"/>
  <c r="AA54" i="14"/>
  <c r="AB54" i="14"/>
  <c r="AC54" i="14"/>
  <c r="AD54" i="14"/>
  <c r="AM54" i="14" s="1"/>
  <c r="AE54" i="14"/>
  <c r="AF54" i="14"/>
  <c r="AG54" i="14"/>
  <c r="AH54" i="14"/>
  <c r="AI54" i="14"/>
  <c r="AL54" i="14"/>
  <c r="E55" i="14"/>
  <c r="F55" i="14"/>
  <c r="AK55" i="14" s="1"/>
  <c r="G55" i="14"/>
  <c r="H55" i="14"/>
  <c r="I55" i="14"/>
  <c r="J55" i="14"/>
  <c r="K55" i="14"/>
  <c r="L55" i="14"/>
  <c r="M55" i="14"/>
  <c r="N55" i="14"/>
  <c r="O55" i="14"/>
  <c r="P55" i="14"/>
  <c r="Q55" i="14"/>
  <c r="R55" i="14"/>
  <c r="S55" i="14"/>
  <c r="T55" i="14"/>
  <c r="U55" i="14"/>
  <c r="V55" i="14"/>
  <c r="W55" i="14"/>
  <c r="X55" i="14"/>
  <c r="Y55" i="14"/>
  <c r="Z55" i="14"/>
  <c r="AA55" i="14"/>
  <c r="AB55" i="14"/>
  <c r="AC55" i="14"/>
  <c r="AD55" i="14"/>
  <c r="AE55" i="14"/>
  <c r="AF55" i="14"/>
  <c r="AG55" i="14"/>
  <c r="AH55" i="14"/>
  <c r="AI55" i="14"/>
  <c r="E56" i="14"/>
  <c r="F56" i="14"/>
  <c r="G56" i="14"/>
  <c r="H56" i="14"/>
  <c r="I56" i="14"/>
  <c r="J56" i="14"/>
  <c r="K56" i="14"/>
  <c r="L56" i="14"/>
  <c r="M56" i="14"/>
  <c r="N56" i="14"/>
  <c r="O56" i="14"/>
  <c r="P56" i="14"/>
  <c r="Q56" i="14"/>
  <c r="AL56" i="14" s="1"/>
  <c r="R56" i="14"/>
  <c r="S56" i="14"/>
  <c r="T56" i="14"/>
  <c r="U56" i="14"/>
  <c r="V56" i="14"/>
  <c r="W56" i="14"/>
  <c r="X56" i="14"/>
  <c r="Y56" i="14"/>
  <c r="AM56" i="14" s="1"/>
  <c r="Z56" i="14"/>
  <c r="AA56" i="14"/>
  <c r="AB56" i="14"/>
  <c r="AC56" i="14"/>
  <c r="AD56" i="14"/>
  <c r="AE56" i="14"/>
  <c r="AF56" i="14"/>
  <c r="AG56" i="14"/>
  <c r="AH56" i="14"/>
  <c r="AI56" i="14"/>
  <c r="AK56" i="14"/>
  <c r="E57" i="14"/>
  <c r="F57" i="14"/>
  <c r="G57" i="14"/>
  <c r="H57" i="14"/>
  <c r="I57" i="14"/>
  <c r="J57" i="14"/>
  <c r="K57" i="14"/>
  <c r="L57" i="14"/>
  <c r="M57" i="14"/>
  <c r="N57" i="14"/>
  <c r="O57" i="14"/>
  <c r="P57" i="14"/>
  <c r="Q57" i="14"/>
  <c r="AL57" i="14" s="1"/>
  <c r="R57" i="14"/>
  <c r="S57" i="14"/>
  <c r="T57" i="14"/>
  <c r="U57" i="14"/>
  <c r="V57" i="14"/>
  <c r="W57" i="14"/>
  <c r="X57" i="14"/>
  <c r="Y57" i="14"/>
  <c r="Z57" i="14"/>
  <c r="AA57" i="14"/>
  <c r="AB57" i="14"/>
  <c r="AC57" i="14"/>
  <c r="AD57" i="14"/>
  <c r="AM57" i="14" s="1"/>
  <c r="AE57" i="14"/>
  <c r="AF57" i="14"/>
  <c r="AG57" i="14"/>
  <c r="AH57" i="14"/>
  <c r="AI57" i="14"/>
  <c r="E58" i="14"/>
  <c r="F58" i="14"/>
  <c r="G58" i="14"/>
  <c r="H58" i="14"/>
  <c r="I58" i="14"/>
  <c r="J58" i="14"/>
  <c r="K58" i="14"/>
  <c r="L58" i="14"/>
  <c r="M58" i="14"/>
  <c r="N58" i="14"/>
  <c r="O58" i="14"/>
  <c r="P58" i="14"/>
  <c r="Q58" i="14"/>
  <c r="R58" i="14"/>
  <c r="S58" i="14"/>
  <c r="T58" i="14"/>
  <c r="U58" i="14"/>
  <c r="V58" i="14"/>
  <c r="W58" i="14"/>
  <c r="X58" i="14"/>
  <c r="Y58" i="14"/>
  <c r="Z58" i="14"/>
  <c r="AA58" i="14"/>
  <c r="AB58" i="14"/>
  <c r="AC58" i="14"/>
  <c r="AD58" i="14"/>
  <c r="AE58" i="14"/>
  <c r="AF58" i="14"/>
  <c r="AG58" i="14"/>
  <c r="AH58" i="14"/>
  <c r="AI58" i="14"/>
  <c r="E59" i="14"/>
  <c r="F59" i="14"/>
  <c r="G59" i="14"/>
  <c r="H59" i="14"/>
  <c r="I59" i="14"/>
  <c r="J59" i="14"/>
  <c r="K59" i="14"/>
  <c r="L59" i="14"/>
  <c r="L67" i="14" s="1"/>
  <c r="M59" i="14"/>
  <c r="N59" i="14"/>
  <c r="O59" i="14"/>
  <c r="P59" i="14"/>
  <c r="Q59" i="14"/>
  <c r="R59" i="14"/>
  <c r="S59" i="14"/>
  <c r="T59" i="14"/>
  <c r="AL59" i="14" s="1"/>
  <c r="U59" i="14"/>
  <c r="V59" i="14"/>
  <c r="W59" i="14"/>
  <c r="X59" i="14"/>
  <c r="Y59" i="14"/>
  <c r="Z59" i="14"/>
  <c r="AA59" i="14"/>
  <c r="AB59" i="14"/>
  <c r="AC59" i="14"/>
  <c r="AD59" i="14"/>
  <c r="AE59" i="14"/>
  <c r="AF59" i="14"/>
  <c r="AG59" i="14"/>
  <c r="AH59" i="14"/>
  <c r="AI59" i="14"/>
  <c r="AK59" i="14"/>
  <c r="E60" i="14"/>
  <c r="F60" i="14"/>
  <c r="G60" i="14"/>
  <c r="H60" i="14"/>
  <c r="I60" i="14"/>
  <c r="J60" i="14"/>
  <c r="K60" i="14"/>
  <c r="L60" i="14"/>
  <c r="M60" i="14"/>
  <c r="N60" i="14"/>
  <c r="O60" i="14"/>
  <c r="P60" i="14"/>
  <c r="Q60" i="14"/>
  <c r="R60" i="14"/>
  <c r="S60" i="14"/>
  <c r="T60" i="14"/>
  <c r="U60" i="14"/>
  <c r="V60" i="14"/>
  <c r="W60" i="14"/>
  <c r="X60" i="14"/>
  <c r="Y60" i="14"/>
  <c r="Z60" i="14"/>
  <c r="AA60" i="14"/>
  <c r="AB60" i="14"/>
  <c r="AC60" i="14"/>
  <c r="AD60" i="14"/>
  <c r="AE60" i="14"/>
  <c r="AF60" i="14"/>
  <c r="AG60" i="14"/>
  <c r="AH60" i="14"/>
  <c r="AI60" i="14"/>
  <c r="E61" i="14"/>
  <c r="F61" i="14"/>
  <c r="G61" i="14"/>
  <c r="H61" i="14"/>
  <c r="I61" i="14"/>
  <c r="J61" i="14"/>
  <c r="K61" i="14"/>
  <c r="L61" i="14"/>
  <c r="M61" i="14"/>
  <c r="N61" i="14"/>
  <c r="O61" i="14"/>
  <c r="P61" i="14"/>
  <c r="Q61" i="14"/>
  <c r="R61" i="14"/>
  <c r="S61" i="14"/>
  <c r="T61" i="14"/>
  <c r="U61" i="14"/>
  <c r="V61" i="14"/>
  <c r="W61" i="14"/>
  <c r="X61" i="14"/>
  <c r="Y61" i="14"/>
  <c r="Z61" i="14"/>
  <c r="AA61" i="14"/>
  <c r="AB61" i="14"/>
  <c r="AC61" i="14"/>
  <c r="AD61" i="14"/>
  <c r="AE61" i="14"/>
  <c r="AF61" i="14"/>
  <c r="AG61" i="14"/>
  <c r="AH61" i="14"/>
  <c r="AI61" i="14"/>
  <c r="E62" i="14"/>
  <c r="F62" i="14"/>
  <c r="G62" i="14"/>
  <c r="H62" i="14"/>
  <c r="I62" i="14"/>
  <c r="J62" i="14"/>
  <c r="K62" i="14"/>
  <c r="L62" i="14"/>
  <c r="M62" i="14"/>
  <c r="N62" i="14"/>
  <c r="O62" i="14"/>
  <c r="P62" i="14"/>
  <c r="Q62" i="14"/>
  <c r="R62" i="14"/>
  <c r="S62" i="14"/>
  <c r="T62" i="14"/>
  <c r="U62" i="14"/>
  <c r="V62" i="14"/>
  <c r="W62" i="14"/>
  <c r="X62" i="14"/>
  <c r="Y62" i="14"/>
  <c r="Z62" i="14"/>
  <c r="AA62" i="14"/>
  <c r="AB62" i="14"/>
  <c r="AC62" i="14"/>
  <c r="AD62" i="14"/>
  <c r="AE62" i="14"/>
  <c r="AF62" i="14"/>
  <c r="AG62" i="14"/>
  <c r="AH62" i="14"/>
  <c r="AI62" i="14"/>
  <c r="AL62" i="14"/>
  <c r="AM62" i="14"/>
  <c r="E63" i="14"/>
  <c r="F63" i="14"/>
  <c r="AK63" i="14" s="1"/>
  <c r="G63" i="14"/>
  <c r="H63" i="14"/>
  <c r="I63" i="14"/>
  <c r="J63" i="14"/>
  <c r="K63" i="14"/>
  <c r="L63" i="14"/>
  <c r="M63" i="14"/>
  <c r="N63" i="14"/>
  <c r="O63" i="14"/>
  <c r="P63" i="14"/>
  <c r="Q63" i="14"/>
  <c r="R63" i="14"/>
  <c r="S63" i="14"/>
  <c r="T63" i="14"/>
  <c r="U63" i="14"/>
  <c r="V63" i="14"/>
  <c r="W63" i="14"/>
  <c r="X63" i="14"/>
  <c r="Y63" i="14"/>
  <c r="Z63" i="14"/>
  <c r="AA63" i="14"/>
  <c r="AB63" i="14"/>
  <c r="AC63" i="14"/>
  <c r="AD63" i="14"/>
  <c r="AE63" i="14"/>
  <c r="AF63" i="14"/>
  <c r="AG63" i="14"/>
  <c r="AH63" i="14"/>
  <c r="AI63" i="14"/>
  <c r="E64" i="14"/>
  <c r="F64" i="14"/>
  <c r="G64" i="14"/>
  <c r="H64" i="14"/>
  <c r="I64" i="14"/>
  <c r="J64" i="14"/>
  <c r="K64" i="14"/>
  <c r="L64" i="14"/>
  <c r="M64" i="14"/>
  <c r="N64" i="14"/>
  <c r="O64" i="14"/>
  <c r="P64" i="14"/>
  <c r="Q64" i="14"/>
  <c r="R64" i="14"/>
  <c r="S64" i="14"/>
  <c r="T64" i="14"/>
  <c r="U64" i="14"/>
  <c r="V64" i="14"/>
  <c r="W64" i="14"/>
  <c r="X64" i="14"/>
  <c r="Y64" i="14"/>
  <c r="Z64" i="14"/>
  <c r="AA64" i="14"/>
  <c r="AB64" i="14"/>
  <c r="AC64" i="14"/>
  <c r="AD64" i="14"/>
  <c r="AE64" i="14"/>
  <c r="AF64" i="14"/>
  <c r="AG64" i="14"/>
  <c r="AH64" i="14"/>
  <c r="AI64" i="14"/>
  <c r="AL64" i="14"/>
  <c r="E65" i="14"/>
  <c r="F65" i="14"/>
  <c r="G65" i="14"/>
  <c r="H65" i="14"/>
  <c r="I65" i="14"/>
  <c r="J65" i="14"/>
  <c r="K65" i="14"/>
  <c r="L65" i="14"/>
  <c r="M65" i="14"/>
  <c r="N65" i="14"/>
  <c r="O65" i="14"/>
  <c r="P65" i="14"/>
  <c r="Q65" i="14"/>
  <c r="R65" i="14"/>
  <c r="S65" i="14"/>
  <c r="T65" i="14"/>
  <c r="U65" i="14"/>
  <c r="V65" i="14"/>
  <c r="W65" i="14"/>
  <c r="X65" i="14"/>
  <c r="Y65" i="14"/>
  <c r="Z65" i="14"/>
  <c r="AA65" i="14"/>
  <c r="AB65" i="14"/>
  <c r="AC65" i="14"/>
  <c r="AD65" i="14"/>
  <c r="AE65" i="14"/>
  <c r="AF65" i="14"/>
  <c r="AG65" i="14"/>
  <c r="AH65" i="14"/>
  <c r="AI65" i="14"/>
  <c r="AM65" i="14"/>
  <c r="E66" i="14"/>
  <c r="F66" i="14"/>
  <c r="G66" i="14"/>
  <c r="H66" i="14"/>
  <c r="I66" i="14"/>
  <c r="J66" i="14"/>
  <c r="K66" i="14"/>
  <c r="L66" i="14"/>
  <c r="M66" i="14"/>
  <c r="N66" i="14"/>
  <c r="O66" i="14"/>
  <c r="P66" i="14"/>
  <c r="Q66" i="14"/>
  <c r="R66" i="14"/>
  <c r="S66" i="14"/>
  <c r="T66" i="14"/>
  <c r="U66" i="14"/>
  <c r="V66" i="14"/>
  <c r="W66" i="14"/>
  <c r="X66" i="14"/>
  <c r="Y66" i="14"/>
  <c r="Z66" i="14"/>
  <c r="AA66" i="14"/>
  <c r="AB66" i="14"/>
  <c r="AC66" i="14"/>
  <c r="AD66" i="14"/>
  <c r="AE66" i="14"/>
  <c r="AF66" i="14"/>
  <c r="AG66" i="14"/>
  <c r="AH66" i="14"/>
  <c r="AI66" i="14"/>
  <c r="T67" i="14"/>
  <c r="AB67" i="14"/>
  <c r="E69" i="14"/>
  <c r="F69" i="14"/>
  <c r="G69" i="14"/>
  <c r="H69" i="14"/>
  <c r="I69" i="14"/>
  <c r="J69" i="14"/>
  <c r="K69" i="14"/>
  <c r="L69" i="14"/>
  <c r="M69" i="14"/>
  <c r="N69" i="14"/>
  <c r="O69" i="14"/>
  <c r="P69" i="14"/>
  <c r="Q69" i="14"/>
  <c r="R69" i="14"/>
  <c r="S69" i="14"/>
  <c r="T69" i="14"/>
  <c r="U69" i="14"/>
  <c r="V69" i="14"/>
  <c r="W69" i="14"/>
  <c r="X69" i="14"/>
  <c r="Y69" i="14"/>
  <c r="Z69" i="14"/>
  <c r="AA69" i="14"/>
  <c r="AB69" i="14"/>
  <c r="AC69" i="14"/>
  <c r="AD69" i="14"/>
  <c r="AE69" i="14"/>
  <c r="AF69" i="14"/>
  <c r="AG69" i="14"/>
  <c r="AH69" i="14"/>
  <c r="AI69" i="14"/>
  <c r="E70" i="14"/>
  <c r="F70" i="14"/>
  <c r="G70" i="14"/>
  <c r="H70" i="14"/>
  <c r="I70" i="14"/>
  <c r="J70" i="14"/>
  <c r="AK70" i="14" s="1"/>
  <c r="K70" i="14"/>
  <c r="L70" i="14"/>
  <c r="M70" i="14"/>
  <c r="N70" i="14"/>
  <c r="O70" i="14"/>
  <c r="P70" i="14"/>
  <c r="Q70" i="14"/>
  <c r="R70" i="14"/>
  <c r="S70" i="14"/>
  <c r="T70" i="14"/>
  <c r="U70" i="14"/>
  <c r="V70" i="14"/>
  <c r="W70" i="14"/>
  <c r="X70" i="14"/>
  <c r="Y70" i="14"/>
  <c r="Z70" i="14"/>
  <c r="Z83" i="14" s="1"/>
  <c r="AA70" i="14"/>
  <c r="AB70" i="14"/>
  <c r="AC70" i="14"/>
  <c r="AD70" i="14"/>
  <c r="AE70" i="14"/>
  <c r="AF70" i="14"/>
  <c r="AG70" i="14"/>
  <c r="AH70" i="14"/>
  <c r="AH83" i="14" s="1"/>
  <c r="AI70" i="14"/>
  <c r="E71" i="14"/>
  <c r="F71" i="14"/>
  <c r="G71" i="14"/>
  <c r="H71" i="14"/>
  <c r="I71" i="14"/>
  <c r="J71" i="14"/>
  <c r="K71" i="14"/>
  <c r="L71" i="14"/>
  <c r="M71" i="14"/>
  <c r="N71" i="14"/>
  <c r="O71" i="14"/>
  <c r="P71" i="14"/>
  <c r="Q71" i="14"/>
  <c r="R71" i="14"/>
  <c r="S71" i="14"/>
  <c r="T71" i="14"/>
  <c r="U71" i="14"/>
  <c r="AL71" i="14" s="1"/>
  <c r="V71" i="14"/>
  <c r="W71" i="14"/>
  <c r="X71" i="14"/>
  <c r="Y71" i="14"/>
  <c r="Z71" i="14"/>
  <c r="AA71" i="14"/>
  <c r="AB71" i="14"/>
  <c r="AC71" i="14"/>
  <c r="AD71" i="14"/>
  <c r="AE71" i="14"/>
  <c r="AF71" i="14"/>
  <c r="AG71" i="14"/>
  <c r="AH71" i="14"/>
  <c r="AI71" i="14"/>
  <c r="AM71" i="14"/>
  <c r="E72" i="14"/>
  <c r="F72" i="14"/>
  <c r="G72" i="14"/>
  <c r="H72" i="14"/>
  <c r="I72" i="14"/>
  <c r="J72" i="14"/>
  <c r="K72" i="14"/>
  <c r="L72" i="14"/>
  <c r="M72" i="14"/>
  <c r="N72" i="14"/>
  <c r="O72" i="14"/>
  <c r="P72" i="14"/>
  <c r="Q72" i="14"/>
  <c r="R72" i="14"/>
  <c r="S72" i="14"/>
  <c r="T72" i="14"/>
  <c r="U72" i="14"/>
  <c r="V72" i="14"/>
  <c r="W72" i="14"/>
  <c r="X72" i="14"/>
  <c r="Y72" i="14"/>
  <c r="Z72" i="14"/>
  <c r="AA72" i="14"/>
  <c r="AB72" i="14"/>
  <c r="AC72" i="14"/>
  <c r="AD72" i="14"/>
  <c r="AE72" i="14"/>
  <c r="AF72" i="14"/>
  <c r="AG72" i="14"/>
  <c r="AH72" i="14"/>
  <c r="AI72" i="14"/>
  <c r="E73" i="14"/>
  <c r="AK73" i="14" s="1"/>
  <c r="F73" i="14"/>
  <c r="G73" i="14"/>
  <c r="H73" i="14"/>
  <c r="I73" i="14"/>
  <c r="J73" i="14"/>
  <c r="K73" i="14"/>
  <c r="L73" i="14"/>
  <c r="M73" i="14"/>
  <c r="N73" i="14"/>
  <c r="O73" i="14"/>
  <c r="P73" i="14"/>
  <c r="Q73" i="14"/>
  <c r="AL73" i="14" s="1"/>
  <c r="R73" i="14"/>
  <c r="S73" i="14"/>
  <c r="T73" i="14"/>
  <c r="U73" i="14"/>
  <c r="V73" i="14"/>
  <c r="W73" i="14"/>
  <c r="X73" i="14"/>
  <c r="Y73" i="14"/>
  <c r="Z73" i="14"/>
  <c r="AA73" i="14"/>
  <c r="AB73" i="14"/>
  <c r="AC73" i="14"/>
  <c r="AD73" i="14"/>
  <c r="AE73" i="14"/>
  <c r="AF73" i="14"/>
  <c r="AG73" i="14"/>
  <c r="AH73" i="14"/>
  <c r="AI73" i="14"/>
  <c r="E74" i="14"/>
  <c r="F74" i="14"/>
  <c r="AK74" i="14" s="1"/>
  <c r="G74" i="14"/>
  <c r="H74" i="14"/>
  <c r="I74" i="14"/>
  <c r="J74" i="14"/>
  <c r="K74" i="14"/>
  <c r="L74" i="14"/>
  <c r="M74" i="14"/>
  <c r="N74" i="14"/>
  <c r="O74" i="14"/>
  <c r="P74" i="14"/>
  <c r="Q74" i="14"/>
  <c r="R74" i="14"/>
  <c r="S74" i="14"/>
  <c r="T74" i="14"/>
  <c r="U74" i="14"/>
  <c r="V74" i="14"/>
  <c r="W74" i="14"/>
  <c r="X74" i="14"/>
  <c r="AM74" i="14" s="1"/>
  <c r="Y74" i="14"/>
  <c r="Z74" i="14"/>
  <c r="AA74" i="14"/>
  <c r="AB74" i="14"/>
  <c r="AC74" i="14"/>
  <c r="AD74" i="14"/>
  <c r="AE74" i="14"/>
  <c r="AF74" i="14"/>
  <c r="AG74" i="14"/>
  <c r="AH74" i="14"/>
  <c r="AI74" i="14"/>
  <c r="E75" i="14"/>
  <c r="F75" i="14"/>
  <c r="G75" i="14"/>
  <c r="H75" i="14"/>
  <c r="I75" i="14"/>
  <c r="J75" i="14"/>
  <c r="K75" i="14"/>
  <c r="K83" i="14" s="1"/>
  <c r="L75" i="14"/>
  <c r="M75" i="14"/>
  <c r="N75" i="14"/>
  <c r="O75" i="14"/>
  <c r="P75" i="14"/>
  <c r="Q75" i="14"/>
  <c r="R75" i="14"/>
  <c r="S75" i="14"/>
  <c r="AL75" i="14" s="1"/>
  <c r="T75" i="14"/>
  <c r="U75" i="14"/>
  <c r="V75" i="14"/>
  <c r="W75" i="14"/>
  <c r="X75" i="14"/>
  <c r="AM75" i="14" s="1"/>
  <c r="Y75" i="14"/>
  <c r="Z75" i="14"/>
  <c r="AA75" i="14"/>
  <c r="AB75" i="14"/>
  <c r="AC75" i="14"/>
  <c r="AD75" i="14"/>
  <c r="AE75" i="14"/>
  <c r="AF75" i="14"/>
  <c r="AG75" i="14"/>
  <c r="AH75" i="14"/>
  <c r="AI75" i="14"/>
  <c r="E76" i="14"/>
  <c r="AK76" i="14" s="1"/>
  <c r="F76" i="14"/>
  <c r="G76" i="14"/>
  <c r="H76" i="14"/>
  <c r="I76" i="14"/>
  <c r="J76" i="14"/>
  <c r="K76" i="14"/>
  <c r="L76" i="14"/>
  <c r="M76" i="14"/>
  <c r="N76" i="14"/>
  <c r="O76" i="14"/>
  <c r="P76" i="14"/>
  <c r="Q76" i="14"/>
  <c r="R76" i="14"/>
  <c r="S76" i="14"/>
  <c r="T76" i="14"/>
  <c r="U76" i="14"/>
  <c r="U83" i="14" s="1"/>
  <c r="V76" i="14"/>
  <c r="AL76" i="14" s="1"/>
  <c r="W76" i="14"/>
  <c r="X76" i="14"/>
  <c r="Y76" i="14"/>
  <c r="Z76" i="14"/>
  <c r="AA76" i="14"/>
  <c r="AB76" i="14"/>
  <c r="AC76" i="14"/>
  <c r="AD76" i="14"/>
  <c r="AE76" i="14"/>
  <c r="AF76" i="14"/>
  <c r="AG76" i="14"/>
  <c r="AH76" i="14"/>
  <c r="AI76" i="14"/>
  <c r="AM76" i="14"/>
  <c r="E77" i="14"/>
  <c r="F77" i="14"/>
  <c r="G77" i="14"/>
  <c r="H77" i="14"/>
  <c r="I77" i="14"/>
  <c r="J77" i="14"/>
  <c r="K77" i="14"/>
  <c r="L77" i="14"/>
  <c r="M77" i="14"/>
  <c r="N77" i="14"/>
  <c r="O77" i="14"/>
  <c r="P77" i="14"/>
  <c r="Q77" i="14"/>
  <c r="R77" i="14"/>
  <c r="S77" i="14"/>
  <c r="T77" i="14"/>
  <c r="U77" i="14"/>
  <c r="V77" i="14"/>
  <c r="W77" i="14"/>
  <c r="W83" i="14" s="1"/>
  <c r="X77" i="14"/>
  <c r="Y77" i="14"/>
  <c r="Z77" i="14"/>
  <c r="AA77" i="14"/>
  <c r="AA83" i="14" s="1"/>
  <c r="AB77" i="14"/>
  <c r="AC77" i="14"/>
  <c r="AD77" i="14"/>
  <c r="AE77" i="14"/>
  <c r="AF77" i="14"/>
  <c r="AG77" i="14"/>
  <c r="AH77" i="14"/>
  <c r="AI77" i="14"/>
  <c r="E78" i="14"/>
  <c r="F78" i="14"/>
  <c r="G78" i="14"/>
  <c r="H78" i="14"/>
  <c r="I78" i="14"/>
  <c r="J78" i="14"/>
  <c r="K78" i="14"/>
  <c r="L78" i="14"/>
  <c r="M78" i="14"/>
  <c r="N78" i="14"/>
  <c r="O78" i="14"/>
  <c r="P78" i="14"/>
  <c r="Q78" i="14"/>
  <c r="R78" i="14"/>
  <c r="S78" i="14"/>
  <c r="T78" i="14"/>
  <c r="U78" i="14"/>
  <c r="V78" i="14"/>
  <c r="W78" i="14"/>
  <c r="X78" i="14"/>
  <c r="Y78" i="14"/>
  <c r="Z78" i="14"/>
  <c r="AA78" i="14"/>
  <c r="AB78" i="14"/>
  <c r="AC78" i="14"/>
  <c r="AD78" i="14"/>
  <c r="AE78" i="14"/>
  <c r="AF78" i="14"/>
  <c r="AG78" i="14"/>
  <c r="AH78" i="14"/>
  <c r="AI78" i="14"/>
  <c r="E79" i="14"/>
  <c r="F79" i="14"/>
  <c r="G79" i="14"/>
  <c r="H79" i="14"/>
  <c r="I79" i="14"/>
  <c r="J79" i="14"/>
  <c r="K79" i="14"/>
  <c r="L79" i="14"/>
  <c r="M79" i="14"/>
  <c r="N79" i="14"/>
  <c r="O79" i="14"/>
  <c r="P79" i="14"/>
  <c r="Q79" i="14"/>
  <c r="Q83" i="14" s="1"/>
  <c r="R79" i="14"/>
  <c r="S79" i="14"/>
  <c r="T79" i="14"/>
  <c r="U79" i="14"/>
  <c r="V79" i="14"/>
  <c r="W79" i="14"/>
  <c r="X79" i="14"/>
  <c r="Y79" i="14"/>
  <c r="Z79" i="14"/>
  <c r="AA79" i="14"/>
  <c r="AB79" i="14"/>
  <c r="AC79" i="14"/>
  <c r="AD79" i="14"/>
  <c r="AE79" i="14"/>
  <c r="AF79" i="14"/>
  <c r="AG79" i="14"/>
  <c r="AG83" i="14" s="1"/>
  <c r="AH79" i="14"/>
  <c r="AI79" i="14"/>
  <c r="E80" i="14"/>
  <c r="F80" i="14"/>
  <c r="AK80" i="14" s="1"/>
  <c r="G80" i="14"/>
  <c r="H80" i="14"/>
  <c r="I80" i="14"/>
  <c r="J80" i="14"/>
  <c r="K80" i="14"/>
  <c r="L80" i="14"/>
  <c r="M80" i="14"/>
  <c r="N80" i="14"/>
  <c r="O80" i="14"/>
  <c r="P80" i="14"/>
  <c r="Q80" i="14"/>
  <c r="R80" i="14"/>
  <c r="S80" i="14"/>
  <c r="T80" i="14"/>
  <c r="U80" i="14"/>
  <c r="V80" i="14"/>
  <c r="W80" i="14"/>
  <c r="X80" i="14"/>
  <c r="Y80" i="14"/>
  <c r="Z80" i="14"/>
  <c r="AA80" i="14"/>
  <c r="AB80" i="14"/>
  <c r="AC80" i="14"/>
  <c r="AD80" i="14"/>
  <c r="AE80" i="14"/>
  <c r="AF80" i="14"/>
  <c r="AG80" i="14"/>
  <c r="AH80" i="14"/>
  <c r="AI80" i="14"/>
  <c r="E81" i="14"/>
  <c r="F81" i="14"/>
  <c r="G81" i="14"/>
  <c r="AK81" i="14" s="1"/>
  <c r="H81" i="14"/>
  <c r="I81" i="14"/>
  <c r="J81" i="14"/>
  <c r="K81" i="14"/>
  <c r="L81" i="14"/>
  <c r="M81" i="14"/>
  <c r="N81" i="14"/>
  <c r="O81" i="14"/>
  <c r="P81" i="14"/>
  <c r="Q81" i="14"/>
  <c r="R81" i="14"/>
  <c r="S81" i="14"/>
  <c r="AL81" i="14" s="1"/>
  <c r="T81" i="14"/>
  <c r="U81" i="14"/>
  <c r="V81" i="14"/>
  <c r="W81" i="14"/>
  <c r="X81" i="14"/>
  <c r="Y81" i="14"/>
  <c r="AM81" i="14" s="1"/>
  <c r="Z81" i="14"/>
  <c r="AA81" i="14"/>
  <c r="AB81" i="14"/>
  <c r="AC81" i="14"/>
  <c r="AD81" i="14"/>
  <c r="AE81" i="14"/>
  <c r="AF81" i="14"/>
  <c r="AG81" i="14"/>
  <c r="AH81" i="14"/>
  <c r="AI81" i="14"/>
  <c r="E82" i="14"/>
  <c r="F82" i="14"/>
  <c r="G82" i="14"/>
  <c r="H82" i="14"/>
  <c r="I82" i="14"/>
  <c r="J82" i="14"/>
  <c r="K82" i="14"/>
  <c r="L82" i="14"/>
  <c r="M82" i="14"/>
  <c r="N82" i="14"/>
  <c r="O82" i="14"/>
  <c r="O83" i="14" s="1"/>
  <c r="P82" i="14"/>
  <c r="Q82" i="14"/>
  <c r="R82" i="14"/>
  <c r="S82" i="14"/>
  <c r="T82" i="14"/>
  <c r="T83" i="14" s="1"/>
  <c r="U82" i="14"/>
  <c r="V82" i="14"/>
  <c r="W82" i="14"/>
  <c r="X82" i="14"/>
  <c r="Y82" i="14"/>
  <c r="Z82" i="14"/>
  <c r="AA82" i="14"/>
  <c r="AB82" i="14"/>
  <c r="AC82" i="14"/>
  <c r="AD82" i="14"/>
  <c r="AE82" i="14"/>
  <c r="AF82" i="14"/>
  <c r="AG82" i="14"/>
  <c r="AH82" i="14"/>
  <c r="AI82" i="14"/>
  <c r="AK82" i="14"/>
  <c r="E83" i="14"/>
  <c r="I83" i="14"/>
  <c r="J83" i="14"/>
  <c r="M83" i="14"/>
  <c r="Y83" i="14"/>
  <c r="AC83" i="14"/>
  <c r="AE83" i="14"/>
  <c r="E85" i="14"/>
  <c r="F85" i="14"/>
  <c r="G85" i="14"/>
  <c r="H85" i="14"/>
  <c r="H87" i="14" s="1"/>
  <c r="I85" i="14"/>
  <c r="J85" i="14"/>
  <c r="J87" i="14" s="1"/>
  <c r="K85" i="14"/>
  <c r="L85" i="14"/>
  <c r="M85" i="14"/>
  <c r="M87" i="14" s="1"/>
  <c r="N85" i="14"/>
  <c r="O85" i="14"/>
  <c r="P85" i="14"/>
  <c r="P87" i="14" s="1"/>
  <c r="Q85" i="14"/>
  <c r="R85" i="14"/>
  <c r="R87" i="14" s="1"/>
  <c r="S85" i="14"/>
  <c r="T85" i="14"/>
  <c r="U85" i="14"/>
  <c r="V85" i="14"/>
  <c r="W85" i="14"/>
  <c r="X85" i="14"/>
  <c r="Y85" i="14"/>
  <c r="Z85" i="14"/>
  <c r="Z87" i="14" s="1"/>
  <c r="AA85" i="14"/>
  <c r="AB85" i="14"/>
  <c r="AC85" i="14"/>
  <c r="AC87" i="14" s="1"/>
  <c r="AD85" i="14"/>
  <c r="AE85" i="14"/>
  <c r="AF85" i="14"/>
  <c r="AF87" i="14" s="1"/>
  <c r="AG85" i="14"/>
  <c r="AH85" i="14"/>
  <c r="AH87" i="14" s="1"/>
  <c r="AI85" i="14"/>
  <c r="E86" i="14"/>
  <c r="F86" i="14"/>
  <c r="F87" i="14" s="1"/>
  <c r="G86" i="14"/>
  <c r="H86" i="14"/>
  <c r="I86" i="14"/>
  <c r="J86" i="14"/>
  <c r="K86" i="14"/>
  <c r="L86" i="14"/>
  <c r="M86" i="14"/>
  <c r="N86" i="14"/>
  <c r="N87" i="14" s="1"/>
  <c r="O86" i="14"/>
  <c r="P86" i="14"/>
  <c r="Q86" i="14"/>
  <c r="R86" i="14"/>
  <c r="S86" i="14"/>
  <c r="T86" i="14"/>
  <c r="U86" i="14"/>
  <c r="V86" i="14"/>
  <c r="V87" i="14" s="1"/>
  <c r="W86" i="14"/>
  <c r="X86" i="14"/>
  <c r="Y86" i="14"/>
  <c r="Y87" i="14" s="1"/>
  <c r="Z86" i="14"/>
  <c r="AA86" i="14"/>
  <c r="AB86" i="14"/>
  <c r="AC86" i="14"/>
  <c r="AD86" i="14"/>
  <c r="AD87" i="14" s="1"/>
  <c r="AE86" i="14"/>
  <c r="AF86" i="14"/>
  <c r="AG86" i="14"/>
  <c r="AG87" i="14" s="1"/>
  <c r="AH86" i="14"/>
  <c r="AI86" i="14"/>
  <c r="G87" i="14"/>
  <c r="K87" i="14"/>
  <c r="L87" i="14"/>
  <c r="O87" i="14"/>
  <c r="S87" i="14"/>
  <c r="T87" i="14"/>
  <c r="W87" i="14"/>
  <c r="AA87" i="14"/>
  <c r="AB87" i="14"/>
  <c r="AE87" i="14"/>
  <c r="AI87" i="14"/>
  <c r="E89" i="14"/>
  <c r="F89" i="14"/>
  <c r="G89" i="14"/>
  <c r="H89" i="14"/>
  <c r="I89" i="14"/>
  <c r="J89" i="14"/>
  <c r="K89" i="14"/>
  <c r="L89" i="14"/>
  <c r="M89" i="14"/>
  <c r="N89" i="14"/>
  <c r="O89" i="14"/>
  <c r="P89" i="14"/>
  <c r="Q89" i="14"/>
  <c r="R89" i="14"/>
  <c r="AL89" i="14" s="1"/>
  <c r="S89" i="14"/>
  <c r="T89" i="14"/>
  <c r="U89" i="14"/>
  <c r="V89" i="14"/>
  <c r="W89" i="14"/>
  <c r="X89" i="14"/>
  <c r="Y89" i="14"/>
  <c r="Z89" i="14"/>
  <c r="AA89" i="14"/>
  <c r="AB89" i="14"/>
  <c r="AC89" i="14"/>
  <c r="AD89" i="14"/>
  <c r="AE89" i="14"/>
  <c r="AF89" i="14"/>
  <c r="AG89" i="14"/>
  <c r="AH89" i="14"/>
  <c r="AI89" i="14"/>
  <c r="E90" i="14"/>
  <c r="AK90" i="14" s="1"/>
  <c r="F90" i="14"/>
  <c r="G90" i="14"/>
  <c r="H90" i="14"/>
  <c r="I90" i="14"/>
  <c r="J90" i="14"/>
  <c r="K90" i="14"/>
  <c r="L90" i="14"/>
  <c r="M90" i="14"/>
  <c r="N90" i="14"/>
  <c r="O90" i="14"/>
  <c r="P90" i="14"/>
  <c r="Q90" i="14"/>
  <c r="R90" i="14"/>
  <c r="S90" i="14"/>
  <c r="T90" i="14"/>
  <c r="U90" i="14"/>
  <c r="V90" i="14"/>
  <c r="W90" i="14"/>
  <c r="X90" i="14"/>
  <c r="Y90" i="14"/>
  <c r="Z90" i="14"/>
  <c r="AA90" i="14"/>
  <c r="AB90" i="14"/>
  <c r="AC90" i="14"/>
  <c r="AD90" i="14"/>
  <c r="AE90" i="14"/>
  <c r="AF90" i="14"/>
  <c r="AG90" i="14"/>
  <c r="AH90" i="14"/>
  <c r="AI90" i="14"/>
  <c r="E91" i="14"/>
  <c r="F91" i="14"/>
  <c r="G91" i="14"/>
  <c r="H91" i="14"/>
  <c r="I91" i="14"/>
  <c r="J91" i="14"/>
  <c r="K91" i="14"/>
  <c r="L91" i="14"/>
  <c r="M91" i="14"/>
  <c r="N91" i="14"/>
  <c r="O91" i="14"/>
  <c r="P91" i="14"/>
  <c r="Q91" i="14"/>
  <c r="R91" i="14"/>
  <c r="S91" i="14"/>
  <c r="T91" i="14"/>
  <c r="U91" i="14"/>
  <c r="V91" i="14"/>
  <c r="W91" i="14"/>
  <c r="X91" i="14"/>
  <c r="Y91" i="14"/>
  <c r="Z91" i="14"/>
  <c r="AA91" i="14"/>
  <c r="AB91" i="14"/>
  <c r="AC91" i="14"/>
  <c r="AD91" i="14"/>
  <c r="AE91" i="14"/>
  <c r="AF91" i="14"/>
  <c r="AG91" i="14"/>
  <c r="AH91" i="14"/>
  <c r="AI91" i="14"/>
  <c r="AL91" i="14"/>
  <c r="E92" i="14"/>
  <c r="F92" i="14"/>
  <c r="G92" i="14"/>
  <c r="H92" i="14"/>
  <c r="I92" i="14"/>
  <c r="J92" i="14"/>
  <c r="K92" i="14"/>
  <c r="L92" i="14"/>
  <c r="M92" i="14"/>
  <c r="N92" i="14"/>
  <c r="O92" i="14"/>
  <c r="P92" i="14"/>
  <c r="Q92" i="14"/>
  <c r="R92" i="14"/>
  <c r="S92" i="14"/>
  <c r="AL92" i="14" s="1"/>
  <c r="T92" i="14"/>
  <c r="U92" i="14"/>
  <c r="V92" i="14"/>
  <c r="W92" i="14"/>
  <c r="X92" i="14"/>
  <c r="Y92" i="14"/>
  <c r="Z92" i="14"/>
  <c r="AA92" i="14"/>
  <c r="AB92" i="14"/>
  <c r="AC92" i="14"/>
  <c r="AD92" i="14"/>
  <c r="AE92" i="14"/>
  <c r="AF92" i="14"/>
  <c r="AG92" i="14"/>
  <c r="AH92" i="14"/>
  <c r="AI92" i="14"/>
  <c r="E93" i="14"/>
  <c r="F93" i="14"/>
  <c r="G93" i="14"/>
  <c r="H93" i="14"/>
  <c r="I93" i="14"/>
  <c r="J93" i="14"/>
  <c r="K93" i="14"/>
  <c r="L93" i="14"/>
  <c r="M93" i="14"/>
  <c r="N93" i="14"/>
  <c r="O93" i="14"/>
  <c r="P93" i="14"/>
  <c r="Q93" i="14"/>
  <c r="R93" i="14"/>
  <c r="AL93" i="14" s="1"/>
  <c r="S93" i="14"/>
  <c r="T93" i="14"/>
  <c r="U93" i="14"/>
  <c r="V93" i="14"/>
  <c r="W93" i="14"/>
  <c r="X93" i="14"/>
  <c r="Y93" i="14"/>
  <c r="Z93" i="14"/>
  <c r="AA93" i="14"/>
  <c r="AB93" i="14"/>
  <c r="AC93" i="14"/>
  <c r="AD93" i="14"/>
  <c r="AE93" i="14"/>
  <c r="AF93" i="14"/>
  <c r="AG93" i="14"/>
  <c r="AH93" i="14"/>
  <c r="AI93" i="14"/>
  <c r="E94" i="14"/>
  <c r="F94" i="14"/>
  <c r="F105" i="14" s="1"/>
  <c r="G94" i="14"/>
  <c r="H94" i="14"/>
  <c r="I94" i="14"/>
  <c r="J94" i="14"/>
  <c r="K94" i="14"/>
  <c r="L94" i="14"/>
  <c r="M94" i="14"/>
  <c r="N94" i="14"/>
  <c r="O94" i="14"/>
  <c r="P94" i="14"/>
  <c r="Q94" i="14"/>
  <c r="R94" i="14"/>
  <c r="S94" i="14"/>
  <c r="T94" i="14"/>
  <c r="U94" i="14"/>
  <c r="V94" i="14"/>
  <c r="AL94" i="14" s="1"/>
  <c r="W94" i="14"/>
  <c r="X94" i="14"/>
  <c r="Y94" i="14"/>
  <c r="Z94" i="14"/>
  <c r="AA94" i="14"/>
  <c r="AB94" i="14"/>
  <c r="AC94" i="14"/>
  <c r="AD94" i="14"/>
  <c r="AM94" i="14" s="1"/>
  <c r="AE94" i="14"/>
  <c r="AF94" i="14"/>
  <c r="AG94" i="14"/>
  <c r="AH94" i="14"/>
  <c r="AI94" i="14"/>
  <c r="E95" i="14"/>
  <c r="F95" i="14"/>
  <c r="G95" i="14"/>
  <c r="H95" i="14"/>
  <c r="I95" i="14"/>
  <c r="I105" i="14" s="1"/>
  <c r="J95" i="14"/>
  <c r="K95" i="14"/>
  <c r="L95" i="14"/>
  <c r="M95" i="14"/>
  <c r="N95" i="14"/>
  <c r="O95" i="14"/>
  <c r="P95" i="14"/>
  <c r="Q95" i="14"/>
  <c r="R95" i="14"/>
  <c r="S95" i="14"/>
  <c r="T95" i="14"/>
  <c r="U95" i="14"/>
  <c r="V95" i="14"/>
  <c r="W95" i="14"/>
  <c r="X95" i="14"/>
  <c r="Y95" i="14"/>
  <c r="Y105" i="14" s="1"/>
  <c r="Z95" i="14"/>
  <c r="AA95" i="14"/>
  <c r="AB95" i="14"/>
  <c r="AC95" i="14"/>
  <c r="AD95" i="14"/>
  <c r="AE95" i="14"/>
  <c r="AF95" i="14"/>
  <c r="AG95" i="14"/>
  <c r="AG105" i="14" s="1"/>
  <c r="AH95" i="14"/>
  <c r="AI95" i="14"/>
  <c r="E96" i="14"/>
  <c r="F96" i="14"/>
  <c r="G96" i="14"/>
  <c r="H96" i="14"/>
  <c r="I96" i="14"/>
  <c r="J96" i="14"/>
  <c r="K96" i="14"/>
  <c r="L96" i="14"/>
  <c r="M96" i="14"/>
  <c r="N96" i="14"/>
  <c r="O96" i="14"/>
  <c r="P96" i="14"/>
  <c r="Q96" i="14"/>
  <c r="R96" i="14"/>
  <c r="S96" i="14"/>
  <c r="T96" i="14"/>
  <c r="U96" i="14"/>
  <c r="V96" i="14"/>
  <c r="W96" i="14"/>
  <c r="X96" i="14"/>
  <c r="Y96" i="14"/>
  <c r="Z96" i="14"/>
  <c r="AA96" i="14"/>
  <c r="AB96" i="14"/>
  <c r="AC96" i="14"/>
  <c r="AD96" i="14"/>
  <c r="AE96" i="14"/>
  <c r="AF96" i="14"/>
  <c r="AG96" i="14"/>
  <c r="AH96" i="14"/>
  <c r="AI96" i="14"/>
  <c r="AK96" i="14"/>
  <c r="E97" i="14"/>
  <c r="F97" i="14"/>
  <c r="AK97" i="14" s="1"/>
  <c r="G97" i="14"/>
  <c r="H97" i="14"/>
  <c r="I97" i="14"/>
  <c r="J97" i="14"/>
  <c r="K97" i="14"/>
  <c r="L97" i="14"/>
  <c r="M97" i="14"/>
  <c r="N97" i="14"/>
  <c r="O97" i="14"/>
  <c r="O105" i="14" s="1"/>
  <c r="P97" i="14"/>
  <c r="Q97" i="14"/>
  <c r="R97" i="14"/>
  <c r="AL97" i="14" s="1"/>
  <c r="S97" i="14"/>
  <c r="T97" i="14"/>
  <c r="U97" i="14"/>
  <c r="V97" i="14"/>
  <c r="W97" i="14"/>
  <c r="X97" i="14"/>
  <c r="Y97" i="14"/>
  <c r="Z97" i="14"/>
  <c r="AA97" i="14"/>
  <c r="AB97" i="14"/>
  <c r="AC97" i="14"/>
  <c r="AD97" i="14"/>
  <c r="AE97" i="14"/>
  <c r="AM97" i="14" s="1"/>
  <c r="AF97" i="14"/>
  <c r="AG97" i="14"/>
  <c r="AH97" i="14"/>
  <c r="AI97" i="14"/>
  <c r="E98" i="14"/>
  <c r="F98" i="14"/>
  <c r="G98" i="14"/>
  <c r="H98" i="14"/>
  <c r="I98" i="14"/>
  <c r="J98" i="14"/>
  <c r="K98" i="14"/>
  <c r="L98" i="14"/>
  <c r="M98" i="14"/>
  <c r="N98" i="14"/>
  <c r="O98" i="14"/>
  <c r="P98" i="14"/>
  <c r="Q98" i="14"/>
  <c r="R98" i="14"/>
  <c r="S98" i="14"/>
  <c r="T98" i="14"/>
  <c r="U98" i="14"/>
  <c r="V98" i="14"/>
  <c r="W98" i="14"/>
  <c r="X98" i="14"/>
  <c r="Y98" i="14"/>
  <c r="Z98" i="14"/>
  <c r="AA98" i="14"/>
  <c r="AB98" i="14"/>
  <c r="AC98" i="14"/>
  <c r="AD98" i="14"/>
  <c r="AE98" i="14"/>
  <c r="AF98" i="14"/>
  <c r="AG98" i="14"/>
  <c r="AH98" i="14"/>
  <c r="AI98" i="14"/>
  <c r="E99" i="14"/>
  <c r="F99" i="14"/>
  <c r="G99" i="14"/>
  <c r="H99" i="14"/>
  <c r="I99" i="14"/>
  <c r="J99" i="14"/>
  <c r="K99" i="14"/>
  <c r="L99" i="14"/>
  <c r="M99" i="14"/>
  <c r="N99" i="14"/>
  <c r="O99" i="14"/>
  <c r="P99" i="14"/>
  <c r="Q99" i="14"/>
  <c r="R99" i="14"/>
  <c r="S99" i="14"/>
  <c r="T99" i="14"/>
  <c r="U99" i="14"/>
  <c r="V99" i="14"/>
  <c r="W99" i="14"/>
  <c r="X99" i="14"/>
  <c r="Y99" i="14"/>
  <c r="Z99" i="14"/>
  <c r="AA99" i="14"/>
  <c r="AB99" i="14"/>
  <c r="AC99" i="14"/>
  <c r="AD99" i="14"/>
  <c r="AE99" i="14"/>
  <c r="AF99" i="14"/>
  <c r="AG99" i="14"/>
  <c r="AH99" i="14"/>
  <c r="AI99" i="14"/>
  <c r="AL99" i="14"/>
  <c r="E100" i="14"/>
  <c r="F100" i="14"/>
  <c r="G100" i="14"/>
  <c r="AK100" i="14" s="1"/>
  <c r="H100" i="14"/>
  <c r="I100" i="14"/>
  <c r="J100" i="14"/>
  <c r="K100" i="14"/>
  <c r="L100" i="14"/>
  <c r="M100" i="14"/>
  <c r="N100" i="14"/>
  <c r="O100" i="14"/>
  <c r="P100" i="14"/>
  <c r="Q100" i="14"/>
  <c r="R100" i="14"/>
  <c r="S100" i="14"/>
  <c r="AL100" i="14" s="1"/>
  <c r="T100" i="14"/>
  <c r="U100" i="14"/>
  <c r="V100" i="14"/>
  <c r="W100" i="14"/>
  <c r="X100" i="14"/>
  <c r="Y100" i="14"/>
  <c r="Z100" i="14"/>
  <c r="AA100" i="14"/>
  <c r="AB100" i="14"/>
  <c r="AC100" i="14"/>
  <c r="AD100" i="14"/>
  <c r="AE100" i="14"/>
  <c r="AF100" i="14"/>
  <c r="AG100" i="14"/>
  <c r="AH100" i="14"/>
  <c r="AI100" i="14"/>
  <c r="E101" i="14"/>
  <c r="F101" i="14"/>
  <c r="G101" i="14"/>
  <c r="H101" i="14"/>
  <c r="I101" i="14"/>
  <c r="J101" i="14"/>
  <c r="K101" i="14"/>
  <c r="L101" i="14"/>
  <c r="M101" i="14"/>
  <c r="N101" i="14"/>
  <c r="O101" i="14"/>
  <c r="P101" i="14"/>
  <c r="Q101" i="14"/>
  <c r="R101" i="14"/>
  <c r="S101" i="14"/>
  <c r="T101" i="14"/>
  <c r="U101" i="14"/>
  <c r="V101" i="14"/>
  <c r="W101" i="14"/>
  <c r="X101" i="14"/>
  <c r="Y101" i="14"/>
  <c r="Z101" i="14"/>
  <c r="AA101" i="14"/>
  <c r="AB101" i="14"/>
  <c r="AC101" i="14"/>
  <c r="AD101" i="14"/>
  <c r="AE101" i="14"/>
  <c r="AF101" i="14"/>
  <c r="AG101" i="14"/>
  <c r="AH101" i="14"/>
  <c r="AI101" i="14"/>
  <c r="E102" i="14"/>
  <c r="AK102" i="14" s="1"/>
  <c r="F102" i="14"/>
  <c r="G102" i="14"/>
  <c r="H102" i="14"/>
  <c r="I102" i="14"/>
  <c r="J102" i="14"/>
  <c r="K102" i="14"/>
  <c r="L102" i="14"/>
  <c r="M102" i="14"/>
  <c r="N102" i="14"/>
  <c r="N105" i="14" s="1"/>
  <c r="O102" i="14"/>
  <c r="P102" i="14"/>
  <c r="Q102" i="14"/>
  <c r="R102" i="14"/>
  <c r="S102" i="14"/>
  <c r="T102" i="14"/>
  <c r="U102" i="14"/>
  <c r="AL102" i="14" s="1"/>
  <c r="V102" i="14"/>
  <c r="W102" i="14"/>
  <c r="X102" i="14"/>
  <c r="Y102" i="14"/>
  <c r="Z102" i="14"/>
  <c r="AA102" i="14"/>
  <c r="AB102" i="14"/>
  <c r="AC102" i="14"/>
  <c r="AD102" i="14"/>
  <c r="AE102" i="14"/>
  <c r="AF102" i="14"/>
  <c r="AG102" i="14"/>
  <c r="AH102" i="14"/>
  <c r="AI102" i="14"/>
  <c r="AM102" i="14"/>
  <c r="E103" i="14"/>
  <c r="F103" i="14"/>
  <c r="G103" i="14"/>
  <c r="H103" i="14"/>
  <c r="I103" i="14"/>
  <c r="J103" i="14"/>
  <c r="K103" i="14"/>
  <c r="L103" i="14"/>
  <c r="M103" i="14"/>
  <c r="N103" i="14"/>
  <c r="O103" i="14"/>
  <c r="P103" i="14"/>
  <c r="Q103" i="14"/>
  <c r="R103" i="14"/>
  <c r="S103" i="14"/>
  <c r="T103" i="14"/>
  <c r="U103" i="14"/>
  <c r="V103" i="14"/>
  <c r="W103" i="14"/>
  <c r="X103" i="14"/>
  <c r="Y103" i="14"/>
  <c r="Z103" i="14"/>
  <c r="AA103" i="14"/>
  <c r="AB103" i="14"/>
  <c r="AC103" i="14"/>
  <c r="AD103" i="14"/>
  <c r="AE103" i="14"/>
  <c r="AF103" i="14"/>
  <c r="AG103" i="14"/>
  <c r="AH103" i="14"/>
  <c r="AI103" i="14"/>
  <c r="E104" i="14"/>
  <c r="F104" i="14"/>
  <c r="G104" i="14"/>
  <c r="H104" i="14"/>
  <c r="I104" i="14"/>
  <c r="J104" i="14"/>
  <c r="K104" i="14"/>
  <c r="AK104" i="14" s="1"/>
  <c r="L104" i="14"/>
  <c r="M104" i="14"/>
  <c r="N104" i="14"/>
  <c r="O104" i="14"/>
  <c r="P104" i="14"/>
  <c r="Q104" i="14"/>
  <c r="R104" i="14"/>
  <c r="S104" i="14"/>
  <c r="T104" i="14"/>
  <c r="U104" i="14"/>
  <c r="V104" i="14"/>
  <c r="W104" i="14"/>
  <c r="X104" i="14"/>
  <c r="Y104" i="14"/>
  <c r="Z104" i="14"/>
  <c r="AA104" i="14"/>
  <c r="AB104" i="14"/>
  <c r="AC104" i="14"/>
  <c r="AD104" i="14"/>
  <c r="AE104" i="14"/>
  <c r="AF104" i="14"/>
  <c r="AG104" i="14"/>
  <c r="AH104" i="14"/>
  <c r="AI104" i="14"/>
  <c r="G105" i="14"/>
  <c r="W105" i="14"/>
  <c r="AD105" i="14"/>
  <c r="AE105" i="14"/>
  <c r="E107" i="14"/>
  <c r="F107" i="14"/>
  <c r="G107" i="14"/>
  <c r="H107" i="14"/>
  <c r="I107" i="14"/>
  <c r="I111" i="14" s="1"/>
  <c r="J107" i="14"/>
  <c r="K107" i="14"/>
  <c r="L107" i="14"/>
  <c r="M107" i="14"/>
  <c r="N107" i="14"/>
  <c r="O107" i="14"/>
  <c r="P107" i="14"/>
  <c r="Q107" i="14"/>
  <c r="R107" i="14"/>
  <c r="S107" i="14"/>
  <c r="T107" i="14"/>
  <c r="U107" i="14"/>
  <c r="V107" i="14"/>
  <c r="W107" i="14"/>
  <c r="X107" i="14"/>
  <c r="Y107" i="14"/>
  <c r="Z107" i="14"/>
  <c r="Z111" i="14" s="1"/>
  <c r="AA107" i="14"/>
  <c r="AB107" i="14"/>
  <c r="AC107" i="14"/>
  <c r="AD107" i="14"/>
  <c r="AE107" i="14"/>
  <c r="AF107" i="14"/>
  <c r="AG107" i="14"/>
  <c r="AG111" i="14" s="1"/>
  <c r="AH107" i="14"/>
  <c r="AH111" i="14" s="1"/>
  <c r="AI107" i="14"/>
  <c r="E108" i="14"/>
  <c r="F108" i="14"/>
  <c r="G108" i="14"/>
  <c r="H108" i="14"/>
  <c r="H111" i="14" s="1"/>
  <c r="I108" i="14"/>
  <c r="J108" i="14"/>
  <c r="K108" i="14"/>
  <c r="L108" i="14"/>
  <c r="L111" i="14" s="1"/>
  <c r="M108" i="14"/>
  <c r="AK108" i="14" s="1"/>
  <c r="N108" i="14"/>
  <c r="O108" i="14"/>
  <c r="P108" i="14"/>
  <c r="P111" i="14" s="1"/>
  <c r="Q108" i="14"/>
  <c r="R108" i="14"/>
  <c r="S108" i="14"/>
  <c r="T108" i="14"/>
  <c r="T111" i="14" s="1"/>
  <c r="U108" i="14"/>
  <c r="U111" i="14" s="1"/>
  <c r="V108" i="14"/>
  <c r="W108" i="14"/>
  <c r="X108" i="14"/>
  <c r="Y108" i="14"/>
  <c r="Z108" i="14"/>
  <c r="AA108" i="14"/>
  <c r="AB108" i="14"/>
  <c r="AB111" i="14" s="1"/>
  <c r="AC108" i="14"/>
  <c r="AD108" i="14"/>
  <c r="AE108" i="14"/>
  <c r="AF108" i="14"/>
  <c r="AF111" i="14" s="1"/>
  <c r="AG108" i="14"/>
  <c r="AH108" i="14"/>
  <c r="AI108" i="14"/>
  <c r="E109" i="14"/>
  <c r="F109" i="14"/>
  <c r="G109" i="14"/>
  <c r="H109" i="14"/>
  <c r="I109" i="14"/>
  <c r="J109" i="14"/>
  <c r="K109" i="14"/>
  <c r="K111" i="14" s="1"/>
  <c r="L109" i="14"/>
  <c r="M109" i="14"/>
  <c r="N109" i="14"/>
  <c r="O109" i="14"/>
  <c r="O111" i="14" s="1"/>
  <c r="P109" i="14"/>
  <c r="Q109" i="14"/>
  <c r="R109" i="14"/>
  <c r="S109" i="14"/>
  <c r="T109" i="14"/>
  <c r="U109" i="14"/>
  <c r="V109" i="14"/>
  <c r="W109" i="14"/>
  <c r="W111" i="14" s="1"/>
  <c r="X109" i="14"/>
  <c r="Y109" i="14"/>
  <c r="Z109" i="14"/>
  <c r="AA109" i="14"/>
  <c r="AB109" i="14"/>
  <c r="AC109" i="14"/>
  <c r="AD109" i="14"/>
  <c r="AE109" i="14"/>
  <c r="AE111" i="14" s="1"/>
  <c r="AF109" i="14"/>
  <c r="AG109" i="14"/>
  <c r="AH109" i="14"/>
  <c r="AI109" i="14"/>
  <c r="E110" i="14"/>
  <c r="F110" i="14"/>
  <c r="G110" i="14"/>
  <c r="H110" i="14"/>
  <c r="I110" i="14"/>
  <c r="J110" i="14"/>
  <c r="K110" i="14"/>
  <c r="L110" i="14"/>
  <c r="M110" i="14"/>
  <c r="N110" i="14"/>
  <c r="O110" i="14"/>
  <c r="P110" i="14"/>
  <c r="Q110" i="14"/>
  <c r="R110" i="14"/>
  <c r="S110" i="14"/>
  <c r="T110" i="14"/>
  <c r="U110" i="14"/>
  <c r="V110" i="14"/>
  <c r="V111" i="14" s="1"/>
  <c r="W110" i="14"/>
  <c r="X110" i="14"/>
  <c r="Y110" i="14"/>
  <c r="Z110" i="14"/>
  <c r="AA110" i="14"/>
  <c r="AB110" i="14"/>
  <c r="AC110" i="14"/>
  <c r="AD110" i="14"/>
  <c r="AD111" i="14" s="1"/>
  <c r="AE110" i="14"/>
  <c r="AF110" i="14"/>
  <c r="AG110" i="14"/>
  <c r="AH110" i="14"/>
  <c r="AI110" i="14"/>
  <c r="E111" i="14"/>
  <c r="J111" i="14"/>
  <c r="N111" i="14"/>
  <c r="R111" i="14"/>
  <c r="AA111" i="14"/>
  <c r="AC111" i="14"/>
  <c r="AI111" i="14"/>
  <c r="E115" i="14"/>
  <c r="F115" i="14"/>
  <c r="G115" i="14"/>
  <c r="G117" i="14" s="1"/>
  <c r="H115" i="14"/>
  <c r="I115" i="14"/>
  <c r="J115" i="14"/>
  <c r="K115" i="14"/>
  <c r="L115" i="14"/>
  <c r="M115" i="14"/>
  <c r="N115" i="14"/>
  <c r="N117" i="14" s="1"/>
  <c r="O115" i="14"/>
  <c r="O117" i="14" s="1"/>
  <c r="P115" i="14"/>
  <c r="Q115" i="14"/>
  <c r="R115" i="14"/>
  <c r="R117" i="14" s="1"/>
  <c r="R133" i="14" s="1"/>
  <c r="S115" i="14"/>
  <c r="T115" i="14"/>
  <c r="U115" i="14"/>
  <c r="V115" i="14"/>
  <c r="V117" i="14" s="1"/>
  <c r="W115" i="14"/>
  <c r="W117" i="14" s="1"/>
  <c r="X115" i="14"/>
  <c r="Y115" i="14"/>
  <c r="Z115" i="14"/>
  <c r="AA115" i="14"/>
  <c r="AB115" i="14"/>
  <c r="AC115" i="14"/>
  <c r="AD115" i="14"/>
  <c r="AM115" i="14" s="1"/>
  <c r="AE115" i="14"/>
  <c r="AE117" i="14" s="1"/>
  <c r="AF115" i="14"/>
  <c r="AG115" i="14"/>
  <c r="AH115" i="14"/>
  <c r="AH117" i="14" s="1"/>
  <c r="AI115" i="14"/>
  <c r="E116" i="14"/>
  <c r="E117" i="14" s="1"/>
  <c r="F116" i="14"/>
  <c r="G116" i="14"/>
  <c r="H116" i="14"/>
  <c r="I116" i="14"/>
  <c r="J116" i="14"/>
  <c r="K116" i="14"/>
  <c r="L116" i="14"/>
  <c r="M116" i="14"/>
  <c r="M117" i="14" s="1"/>
  <c r="N116" i="14"/>
  <c r="O116" i="14"/>
  <c r="P116" i="14"/>
  <c r="Q116" i="14"/>
  <c r="R116" i="14"/>
  <c r="S116" i="14"/>
  <c r="T116" i="14"/>
  <c r="U116" i="14"/>
  <c r="V116" i="14"/>
  <c r="W116" i="14"/>
  <c r="X116" i="14"/>
  <c r="Y116" i="14"/>
  <c r="Z116" i="14"/>
  <c r="AA116" i="14"/>
  <c r="AB116" i="14"/>
  <c r="AC116" i="14"/>
  <c r="AD116" i="14"/>
  <c r="AE116" i="14"/>
  <c r="AF116" i="14"/>
  <c r="AG116" i="14"/>
  <c r="AH116" i="14"/>
  <c r="AI116" i="14"/>
  <c r="AL116" i="14"/>
  <c r="AM116" i="14"/>
  <c r="H117" i="14"/>
  <c r="I117" i="14"/>
  <c r="J117" i="14"/>
  <c r="K117" i="14"/>
  <c r="L117" i="14"/>
  <c r="P117" i="14"/>
  <c r="Q117" i="14"/>
  <c r="S117" i="14"/>
  <c r="S133" i="14" s="1"/>
  <c r="T117" i="14"/>
  <c r="U117" i="14"/>
  <c r="X117" i="14"/>
  <c r="Y117" i="14"/>
  <c r="Z117" i="14"/>
  <c r="AA117" i="14"/>
  <c r="AB117" i="14"/>
  <c r="AC117" i="14"/>
  <c r="AD117" i="14"/>
  <c r="AF117" i="14"/>
  <c r="AG117" i="14"/>
  <c r="AI117" i="14"/>
  <c r="E119" i="14"/>
  <c r="F119" i="14"/>
  <c r="G119" i="14"/>
  <c r="H119" i="14"/>
  <c r="I119" i="14"/>
  <c r="J119" i="14"/>
  <c r="K119" i="14"/>
  <c r="L119" i="14"/>
  <c r="L120" i="14" s="1"/>
  <c r="M119" i="14"/>
  <c r="N119" i="14"/>
  <c r="O119" i="14"/>
  <c r="P119" i="14"/>
  <c r="Q119" i="14"/>
  <c r="R119" i="14"/>
  <c r="R120" i="14" s="1"/>
  <c r="R134" i="14" s="1"/>
  <c r="S119" i="14"/>
  <c r="S120" i="14" s="1"/>
  <c r="S134" i="14" s="1"/>
  <c r="T119" i="14"/>
  <c r="T120" i="14" s="1"/>
  <c r="T134" i="14" s="1"/>
  <c r="U119" i="14"/>
  <c r="V119" i="14"/>
  <c r="W119" i="14"/>
  <c r="X119" i="14"/>
  <c r="Y119" i="14"/>
  <c r="Z119" i="14"/>
  <c r="AA119" i="14"/>
  <c r="AA120" i="14" s="1"/>
  <c r="AA134" i="14" s="1"/>
  <c r="AB119" i="14"/>
  <c r="AB120" i="14" s="1"/>
  <c r="AC119" i="14"/>
  <c r="AD119" i="14"/>
  <c r="AE119" i="14"/>
  <c r="AF119" i="14"/>
  <c r="AG119" i="14"/>
  <c r="AH119" i="14"/>
  <c r="AH120" i="14" s="1"/>
  <c r="AH134" i="14" s="1"/>
  <c r="AI119" i="14"/>
  <c r="AI120" i="14" s="1"/>
  <c r="AI134" i="14" s="1"/>
  <c r="E120" i="14"/>
  <c r="F120" i="14"/>
  <c r="G120" i="14"/>
  <c r="H120" i="14"/>
  <c r="I120" i="14"/>
  <c r="J120" i="14"/>
  <c r="M120" i="14"/>
  <c r="M134" i="14" s="1"/>
  <c r="N120" i="14"/>
  <c r="O120" i="14"/>
  <c r="P120" i="14"/>
  <c r="Q120" i="14"/>
  <c r="U120" i="14"/>
  <c r="V120" i="14"/>
  <c r="W120" i="14"/>
  <c r="X120" i="14"/>
  <c r="Y120" i="14"/>
  <c r="AC120" i="14"/>
  <c r="AD120" i="14"/>
  <c r="AE120" i="14"/>
  <c r="AF120" i="14"/>
  <c r="AG120" i="14"/>
  <c r="E122" i="14"/>
  <c r="F122" i="14"/>
  <c r="G122" i="14"/>
  <c r="H122" i="14"/>
  <c r="I122" i="14"/>
  <c r="I127" i="14" s="1"/>
  <c r="J122" i="14"/>
  <c r="K122" i="14"/>
  <c r="L122" i="14"/>
  <c r="M122" i="14"/>
  <c r="N122" i="14"/>
  <c r="O122" i="14"/>
  <c r="P122" i="14"/>
  <c r="P127" i="14" s="1"/>
  <c r="P128" i="14" s="1"/>
  <c r="Q122" i="14"/>
  <c r="R122" i="14"/>
  <c r="S122" i="14"/>
  <c r="T122" i="14"/>
  <c r="U122" i="14"/>
  <c r="V122" i="14"/>
  <c r="W122" i="14"/>
  <c r="X122" i="14"/>
  <c r="Y122" i="14"/>
  <c r="Y127" i="14" s="1"/>
  <c r="Y128" i="14" s="1"/>
  <c r="Z122" i="14"/>
  <c r="AA122" i="14"/>
  <c r="AB122" i="14"/>
  <c r="AC122" i="14"/>
  <c r="AD122" i="14"/>
  <c r="AE122" i="14"/>
  <c r="AF122" i="14"/>
  <c r="AF127" i="14" s="1"/>
  <c r="AG122" i="14"/>
  <c r="AG127" i="14" s="1"/>
  <c r="AG128" i="14" s="1"/>
  <c r="AH122" i="14"/>
  <c r="AI122" i="14"/>
  <c r="E123" i="14"/>
  <c r="F123" i="14"/>
  <c r="G123" i="14"/>
  <c r="H123" i="14"/>
  <c r="I123" i="14"/>
  <c r="J123" i="14"/>
  <c r="K123" i="14"/>
  <c r="L123" i="14"/>
  <c r="L127" i="14" s="1"/>
  <c r="M123" i="14"/>
  <c r="N123" i="14"/>
  <c r="O123" i="14"/>
  <c r="P123" i="14"/>
  <c r="Q123" i="14"/>
  <c r="R123" i="14"/>
  <c r="S123" i="14"/>
  <c r="T123" i="14"/>
  <c r="T127" i="14" s="1"/>
  <c r="U123" i="14"/>
  <c r="V123" i="14"/>
  <c r="W123" i="14"/>
  <c r="X123" i="14"/>
  <c r="Y123" i="14"/>
  <c r="Z123" i="14"/>
  <c r="AA123" i="14"/>
  <c r="AA127" i="14" s="1"/>
  <c r="AA128" i="14" s="1"/>
  <c r="AB123" i="14"/>
  <c r="AB127" i="14" s="1"/>
  <c r="AC123" i="14"/>
  <c r="AD123" i="14"/>
  <c r="AE123" i="14"/>
  <c r="AF123" i="14"/>
  <c r="AG123" i="14"/>
  <c r="AH123" i="14"/>
  <c r="AI123" i="14"/>
  <c r="AI127" i="14" s="1"/>
  <c r="AI128" i="14" s="1"/>
  <c r="E124" i="14"/>
  <c r="F124" i="14"/>
  <c r="F127" i="14" s="1"/>
  <c r="G124" i="14"/>
  <c r="H124" i="14"/>
  <c r="I124" i="14"/>
  <c r="J124" i="14"/>
  <c r="K124" i="14"/>
  <c r="L124" i="14"/>
  <c r="M124" i="14"/>
  <c r="N124" i="14"/>
  <c r="N127" i="14" s="1"/>
  <c r="O124" i="14"/>
  <c r="O127" i="14" s="1"/>
  <c r="O128" i="14" s="1"/>
  <c r="P124" i="14"/>
  <c r="Q124" i="14"/>
  <c r="R124" i="14"/>
  <c r="S124" i="14"/>
  <c r="T124" i="14"/>
  <c r="U124" i="14"/>
  <c r="V124" i="14"/>
  <c r="V127" i="14" s="1"/>
  <c r="W124" i="14"/>
  <c r="X124" i="14"/>
  <c r="Y124" i="14"/>
  <c r="Z124" i="14"/>
  <c r="AA124" i="14"/>
  <c r="AB124" i="14"/>
  <c r="AC124" i="14"/>
  <c r="AD124" i="14"/>
  <c r="AD127" i="14" s="1"/>
  <c r="AE124" i="14"/>
  <c r="AM124" i="14" s="1"/>
  <c r="AF124" i="14"/>
  <c r="AG124" i="14"/>
  <c r="AH124" i="14"/>
  <c r="AI124" i="14"/>
  <c r="E125" i="14"/>
  <c r="F125" i="14"/>
  <c r="G125" i="14"/>
  <c r="H125" i="14"/>
  <c r="I125" i="14"/>
  <c r="J125" i="14"/>
  <c r="K125" i="14"/>
  <c r="L125" i="14"/>
  <c r="M125" i="14"/>
  <c r="N125" i="14"/>
  <c r="O125" i="14"/>
  <c r="P125" i="14"/>
  <c r="Q125" i="14"/>
  <c r="R125" i="14"/>
  <c r="S125" i="14"/>
  <c r="T125" i="14"/>
  <c r="U125" i="14"/>
  <c r="V125" i="14"/>
  <c r="W125" i="14"/>
  <c r="X125" i="14"/>
  <c r="Y125" i="14"/>
  <c r="Z125" i="14"/>
  <c r="AA125" i="14"/>
  <c r="AB125" i="14"/>
  <c r="AC125" i="14"/>
  <c r="AD125" i="14"/>
  <c r="AE125" i="14"/>
  <c r="AF125" i="14"/>
  <c r="AG125" i="14"/>
  <c r="AH125" i="14"/>
  <c r="AI125" i="14"/>
  <c r="E126" i="14"/>
  <c r="AK126" i="14" s="1"/>
  <c r="F126" i="14"/>
  <c r="G126" i="14"/>
  <c r="H126" i="14"/>
  <c r="I126" i="14"/>
  <c r="J126" i="14"/>
  <c r="K126" i="14"/>
  <c r="L126" i="14"/>
  <c r="M126" i="14"/>
  <c r="N126" i="14"/>
  <c r="O126" i="14"/>
  <c r="P126" i="14"/>
  <c r="Q126" i="14"/>
  <c r="R126" i="14"/>
  <c r="S126" i="14"/>
  <c r="T126" i="14"/>
  <c r="U126" i="14"/>
  <c r="V126" i="14"/>
  <c r="W126" i="14"/>
  <c r="X126" i="14"/>
  <c r="Y126" i="14"/>
  <c r="Z126" i="14"/>
  <c r="AA126" i="14"/>
  <c r="AB126" i="14"/>
  <c r="AC126" i="14"/>
  <c r="AD126" i="14"/>
  <c r="AE126" i="14"/>
  <c r="AF126" i="14"/>
  <c r="AG126" i="14"/>
  <c r="AH126" i="14"/>
  <c r="AI126" i="14"/>
  <c r="AL126" i="14"/>
  <c r="G127" i="14"/>
  <c r="G128" i="14" s="1"/>
  <c r="H127" i="14"/>
  <c r="H128" i="14" s="1"/>
  <c r="W127" i="14"/>
  <c r="W128" i="14" s="1"/>
  <c r="AK132" i="14"/>
  <c r="AL132" i="14"/>
  <c r="AM132" i="14"/>
  <c r="G133" i="14"/>
  <c r="H133" i="14"/>
  <c r="J133" i="14"/>
  <c r="K133" i="14"/>
  <c r="L133" i="14"/>
  <c r="O133" i="14"/>
  <c r="P133" i="14"/>
  <c r="Q133" i="14"/>
  <c r="W133" i="14"/>
  <c r="X133" i="14"/>
  <c r="Y133" i="14"/>
  <c r="Z133" i="14"/>
  <c r="AA133" i="14"/>
  <c r="AB133" i="14"/>
  <c r="AE133" i="14"/>
  <c r="AG133" i="14"/>
  <c r="AI133" i="14"/>
  <c r="E134" i="14"/>
  <c r="F134" i="14"/>
  <c r="G134" i="14"/>
  <c r="H134" i="14"/>
  <c r="I134" i="14"/>
  <c r="J134" i="14"/>
  <c r="N134" i="14"/>
  <c r="O134" i="14"/>
  <c r="P134" i="14"/>
  <c r="Q134" i="14"/>
  <c r="U134" i="14"/>
  <c r="V134" i="14"/>
  <c r="W134" i="14"/>
  <c r="X134" i="14"/>
  <c r="Y134" i="14"/>
  <c r="AC134" i="14"/>
  <c r="AD134" i="14"/>
  <c r="AE134" i="14"/>
  <c r="AF134" i="14"/>
  <c r="AG134" i="14"/>
  <c r="E137" i="14"/>
  <c r="F137" i="14"/>
  <c r="G137" i="14"/>
  <c r="H137" i="14"/>
  <c r="K137" i="14"/>
  <c r="L137" i="14"/>
  <c r="M137" i="14"/>
  <c r="N137" i="14"/>
  <c r="O137" i="14"/>
  <c r="P137" i="14"/>
  <c r="U137" i="14"/>
  <c r="V137" i="14"/>
  <c r="AD137" i="14"/>
  <c r="AF137" i="14"/>
  <c r="C7" i="12"/>
  <c r="C8" i="12"/>
  <c r="E8" i="12"/>
  <c r="F8" i="12"/>
  <c r="G8" i="12"/>
  <c r="H8" i="12"/>
  <c r="I8" i="12"/>
  <c r="J8" i="12"/>
  <c r="K8" i="12"/>
  <c r="L8" i="12"/>
  <c r="M8" i="12"/>
  <c r="N8" i="12"/>
  <c r="O8" i="12"/>
  <c r="P8" i="12"/>
  <c r="Q8" i="12"/>
  <c r="R8" i="12"/>
  <c r="S8" i="12"/>
  <c r="T8" i="12"/>
  <c r="U8" i="12"/>
  <c r="V8" i="12"/>
  <c r="W8" i="12"/>
  <c r="X8" i="12"/>
  <c r="Y8" i="12"/>
  <c r="Z8" i="12"/>
  <c r="AA8" i="12"/>
  <c r="AB8" i="12"/>
  <c r="AC8" i="12"/>
  <c r="AD8" i="12"/>
  <c r="AE8" i="12"/>
  <c r="AF8" i="12"/>
  <c r="AG8" i="12"/>
  <c r="AH8" i="12"/>
  <c r="AI8" i="12"/>
  <c r="AM7" i="12" s="1"/>
  <c r="AO8" i="12"/>
  <c r="AP8" i="12"/>
  <c r="AQ8" i="12"/>
  <c r="E9" i="12"/>
  <c r="E10" i="12" s="1"/>
  <c r="F9" i="12"/>
  <c r="G9" i="12"/>
  <c r="H9" i="12"/>
  <c r="I9" i="12"/>
  <c r="J9" i="12"/>
  <c r="K9" i="12"/>
  <c r="K10" i="12" s="1"/>
  <c r="L9" i="12"/>
  <c r="L10" i="12" s="1"/>
  <c r="M9" i="12"/>
  <c r="M10" i="12" s="1"/>
  <c r="N9" i="12"/>
  <c r="O9" i="12"/>
  <c r="P9" i="12"/>
  <c r="Q9" i="12"/>
  <c r="R9" i="12"/>
  <c r="S9" i="12"/>
  <c r="T9" i="12"/>
  <c r="T10" i="12" s="1"/>
  <c r="U9" i="12"/>
  <c r="U10" i="12" s="1"/>
  <c r="AG12" i="12" s="1"/>
  <c r="V9" i="12"/>
  <c r="W9" i="12"/>
  <c r="X9" i="12"/>
  <c r="Y9" i="12"/>
  <c r="Z9" i="12"/>
  <c r="AA9" i="12"/>
  <c r="AA10" i="12" s="1"/>
  <c r="AB9" i="12"/>
  <c r="AB10" i="12" s="1"/>
  <c r="AC9" i="12"/>
  <c r="AC10" i="12" s="1"/>
  <c r="AC15" i="12" s="1"/>
  <c r="AD9" i="12"/>
  <c r="AE9" i="12"/>
  <c r="AE10" i="12" s="1"/>
  <c r="AF9" i="12"/>
  <c r="AG9" i="12"/>
  <c r="AH9" i="12"/>
  <c r="AI9" i="12"/>
  <c r="AI10" i="12" s="1"/>
  <c r="AK9" i="12"/>
  <c r="F10" i="12"/>
  <c r="G10" i="12"/>
  <c r="H10" i="12"/>
  <c r="H15" i="12" s="1"/>
  <c r="I10" i="12"/>
  <c r="J10" i="12"/>
  <c r="N10" i="12"/>
  <c r="O10" i="12"/>
  <c r="P10" i="12"/>
  <c r="P15" i="12" s="1"/>
  <c r="Q10" i="12"/>
  <c r="R10" i="12"/>
  <c r="AD12" i="12" s="1"/>
  <c r="V10" i="12"/>
  <c r="W10" i="12"/>
  <c r="X10" i="12"/>
  <c r="Y10" i="12"/>
  <c r="Z10" i="12"/>
  <c r="AD10" i="12"/>
  <c r="AF10" i="12"/>
  <c r="AG10" i="12"/>
  <c r="AH10" i="12"/>
  <c r="Q12" i="12"/>
  <c r="U12" i="12"/>
  <c r="Y12" i="12"/>
  <c r="AC12" i="12"/>
  <c r="E15" i="12"/>
  <c r="I15" i="12"/>
  <c r="I38" i="12" s="1"/>
  <c r="J15" i="12"/>
  <c r="M15" i="12"/>
  <c r="Q15" i="12"/>
  <c r="Q38" i="12" s="1"/>
  <c r="U15" i="12"/>
  <c r="Y15" i="12"/>
  <c r="AG15" i="12"/>
  <c r="AG38" i="12" s="1"/>
  <c r="AH15" i="12"/>
  <c r="E17" i="12"/>
  <c r="F17" i="12"/>
  <c r="G17" i="12"/>
  <c r="H17" i="12"/>
  <c r="I17" i="12"/>
  <c r="J17" i="12"/>
  <c r="K17" i="12"/>
  <c r="L17" i="12"/>
  <c r="M17" i="12"/>
  <c r="N17" i="12"/>
  <c r="O17" i="12"/>
  <c r="P17" i="12"/>
  <c r="Q17" i="12"/>
  <c r="R17" i="12"/>
  <c r="S17" i="12"/>
  <c r="T17" i="12"/>
  <c r="U17" i="12"/>
  <c r="V17" i="12"/>
  <c r="W17" i="12"/>
  <c r="X17" i="12"/>
  <c r="Y17" i="12"/>
  <c r="Z17" i="12"/>
  <c r="AA17" i="12"/>
  <c r="AB17" i="12"/>
  <c r="AC17" i="12"/>
  <c r="AD17" i="12"/>
  <c r="AE17" i="12"/>
  <c r="AF17" i="12"/>
  <c r="AG17" i="12"/>
  <c r="AH17" i="12"/>
  <c r="AI17" i="12"/>
  <c r="AL17" i="12"/>
  <c r="E18" i="12"/>
  <c r="F18" i="12"/>
  <c r="G18" i="12"/>
  <c r="H18" i="12"/>
  <c r="I18" i="12"/>
  <c r="J18" i="12"/>
  <c r="K18" i="12"/>
  <c r="L18" i="12"/>
  <c r="M18" i="12"/>
  <c r="N18" i="12"/>
  <c r="O18" i="12"/>
  <c r="P18" i="12"/>
  <c r="P23" i="12" s="1"/>
  <c r="Q18" i="12"/>
  <c r="R18" i="12"/>
  <c r="S18" i="12"/>
  <c r="T18" i="12"/>
  <c r="U18" i="12"/>
  <c r="V18" i="12"/>
  <c r="W18" i="12"/>
  <c r="W23" i="12" s="1"/>
  <c r="X18" i="12"/>
  <c r="X23" i="12" s="1"/>
  <c r="Y18" i="12"/>
  <c r="Z18" i="12"/>
  <c r="AA18" i="12"/>
  <c r="AB18" i="12"/>
  <c r="AC18" i="12"/>
  <c r="AD18" i="12"/>
  <c r="AE18" i="12"/>
  <c r="AE23" i="12" s="1"/>
  <c r="AF18" i="12"/>
  <c r="AG18" i="12"/>
  <c r="AH18" i="12"/>
  <c r="AI18" i="12"/>
  <c r="E19" i="12"/>
  <c r="F19" i="12"/>
  <c r="G19" i="12"/>
  <c r="H19" i="12"/>
  <c r="I19" i="12"/>
  <c r="J19" i="12"/>
  <c r="J23" i="12" s="1"/>
  <c r="K19" i="12"/>
  <c r="L19" i="12"/>
  <c r="M19" i="12"/>
  <c r="N19" i="12"/>
  <c r="O19" i="12"/>
  <c r="P19" i="12"/>
  <c r="Q19" i="12"/>
  <c r="R19" i="12"/>
  <c r="R23" i="12" s="1"/>
  <c r="S19" i="12"/>
  <c r="S23" i="12" s="1"/>
  <c r="T19" i="12"/>
  <c r="U19" i="12"/>
  <c r="V19" i="12"/>
  <c r="V23" i="12" s="1"/>
  <c r="W19" i="12"/>
  <c r="X19" i="12"/>
  <c r="Y19" i="12"/>
  <c r="Z19" i="12"/>
  <c r="AA19" i="12"/>
  <c r="AA23" i="12" s="1"/>
  <c r="AB19" i="12"/>
  <c r="AC19" i="12"/>
  <c r="AD19" i="12"/>
  <c r="AD23" i="12" s="1"/>
  <c r="AE19" i="12"/>
  <c r="AF19" i="12"/>
  <c r="AG19" i="12"/>
  <c r="AH19" i="12"/>
  <c r="AH23" i="12" s="1"/>
  <c r="AI19" i="12"/>
  <c r="E20" i="12"/>
  <c r="F20" i="12"/>
  <c r="G20" i="12"/>
  <c r="H20" i="12"/>
  <c r="I20" i="12"/>
  <c r="J20" i="12"/>
  <c r="K20" i="12"/>
  <c r="L20" i="12"/>
  <c r="M20" i="12"/>
  <c r="N20" i="12"/>
  <c r="O20" i="12"/>
  <c r="P20" i="12"/>
  <c r="Q20" i="12"/>
  <c r="R20" i="12"/>
  <c r="S20" i="12"/>
  <c r="T20" i="12"/>
  <c r="U20" i="12"/>
  <c r="V20" i="12"/>
  <c r="AL20" i="12" s="1"/>
  <c r="W20" i="12"/>
  <c r="X20" i="12"/>
  <c r="Y20" i="12"/>
  <c r="Z20" i="12"/>
  <c r="AA20" i="12"/>
  <c r="AB20" i="12"/>
  <c r="AC20" i="12"/>
  <c r="AD20" i="12"/>
  <c r="AM20" i="12" s="1"/>
  <c r="AE20" i="12"/>
  <c r="AF20" i="12"/>
  <c r="AG20" i="12"/>
  <c r="AH20" i="12"/>
  <c r="AI20" i="12"/>
  <c r="E21" i="12"/>
  <c r="F21" i="12"/>
  <c r="G21" i="12"/>
  <c r="H21" i="12"/>
  <c r="H23" i="12" s="1"/>
  <c r="I21" i="12"/>
  <c r="J21" i="12"/>
  <c r="K21" i="12"/>
  <c r="L21" i="12"/>
  <c r="M21" i="12"/>
  <c r="N21" i="12"/>
  <c r="O21" i="12"/>
  <c r="P21" i="12"/>
  <c r="Q21" i="12"/>
  <c r="R21" i="12"/>
  <c r="S21" i="12"/>
  <c r="T21" i="12"/>
  <c r="U21" i="12"/>
  <c r="V21" i="12"/>
  <c r="W21" i="12"/>
  <c r="X21" i="12"/>
  <c r="Y21" i="12"/>
  <c r="Z21" i="12"/>
  <c r="AA21" i="12"/>
  <c r="AB21" i="12"/>
  <c r="AC21" i="12"/>
  <c r="AD21" i="12"/>
  <c r="AE21" i="12"/>
  <c r="AF21" i="12"/>
  <c r="AG21" i="12"/>
  <c r="AH21" i="12"/>
  <c r="AI21" i="12"/>
  <c r="AK21" i="12"/>
  <c r="E22" i="12"/>
  <c r="AK22" i="12" s="1"/>
  <c r="F22" i="12"/>
  <c r="G22" i="12"/>
  <c r="H22" i="12"/>
  <c r="I22" i="12"/>
  <c r="J22" i="12"/>
  <c r="K22" i="12"/>
  <c r="L22" i="12"/>
  <c r="M22" i="12"/>
  <c r="N22" i="12"/>
  <c r="O22" i="12"/>
  <c r="P22" i="12"/>
  <c r="Q22" i="12"/>
  <c r="R22" i="12"/>
  <c r="S22" i="12"/>
  <c r="T22" i="12"/>
  <c r="U22" i="12"/>
  <c r="V22" i="12"/>
  <c r="W22" i="12"/>
  <c r="X22" i="12"/>
  <c r="Y22" i="12"/>
  <c r="Z22" i="12"/>
  <c r="AA22" i="12"/>
  <c r="AB22" i="12"/>
  <c r="AC22" i="12"/>
  <c r="AD22" i="12"/>
  <c r="AE22" i="12"/>
  <c r="AF22" i="12"/>
  <c r="AG22" i="12"/>
  <c r="AH22" i="12"/>
  <c r="AI22" i="12"/>
  <c r="AL22" i="12"/>
  <c r="G23" i="12"/>
  <c r="N23" i="12"/>
  <c r="O23" i="12"/>
  <c r="Z23" i="12"/>
  <c r="AF23" i="12"/>
  <c r="AH24" i="12"/>
  <c r="E26" i="12"/>
  <c r="F26" i="12"/>
  <c r="G26" i="12"/>
  <c r="H26" i="12"/>
  <c r="I26" i="12"/>
  <c r="J26" i="12"/>
  <c r="K26" i="12"/>
  <c r="L26" i="12"/>
  <c r="L34" i="12" s="1"/>
  <c r="M26" i="12"/>
  <c r="M29" i="12" s="1"/>
  <c r="N26" i="12"/>
  <c r="O26" i="12"/>
  <c r="P26" i="12"/>
  <c r="Q26" i="12"/>
  <c r="Q34" i="12" s="1"/>
  <c r="R26" i="12"/>
  <c r="S26" i="12"/>
  <c r="T26" i="12"/>
  <c r="U26" i="12"/>
  <c r="U34" i="12" s="1"/>
  <c r="V26" i="12"/>
  <c r="W26" i="12"/>
  <c r="X26" i="12"/>
  <c r="Y26" i="12"/>
  <c r="Z26" i="12"/>
  <c r="AA26" i="12"/>
  <c r="AB26" i="12"/>
  <c r="AC26" i="12"/>
  <c r="AD26" i="12"/>
  <c r="AD29" i="12" s="1"/>
  <c r="AE26" i="12"/>
  <c r="AF26" i="12"/>
  <c r="AG26" i="12"/>
  <c r="AH26" i="12"/>
  <c r="AI26" i="12"/>
  <c r="E27" i="12"/>
  <c r="F27" i="12"/>
  <c r="F35" i="12" s="1"/>
  <c r="G27" i="12"/>
  <c r="H27" i="12"/>
  <c r="H35" i="12" s="1"/>
  <c r="I27" i="12"/>
  <c r="I35" i="12" s="1"/>
  <c r="J27" i="12"/>
  <c r="K27" i="12"/>
  <c r="L27" i="12"/>
  <c r="L35" i="12" s="1"/>
  <c r="M27" i="12"/>
  <c r="N27" i="12"/>
  <c r="N35" i="12" s="1"/>
  <c r="O27" i="12"/>
  <c r="P27" i="12"/>
  <c r="Q27" i="12"/>
  <c r="R27" i="12"/>
  <c r="S27" i="12"/>
  <c r="T27" i="12"/>
  <c r="T35" i="12" s="1"/>
  <c r="U27" i="12"/>
  <c r="V27" i="12"/>
  <c r="V35" i="12" s="1"/>
  <c r="W27" i="12"/>
  <c r="X27" i="12"/>
  <c r="Y27" i="12"/>
  <c r="Y35" i="12" s="1"/>
  <c r="Z27" i="12"/>
  <c r="AA27" i="12"/>
  <c r="AB27" i="12"/>
  <c r="AC27" i="12"/>
  <c r="AD27" i="12"/>
  <c r="AD35" i="12" s="1"/>
  <c r="AE27" i="12"/>
  <c r="AF27" i="12"/>
  <c r="AF35" i="12" s="1"/>
  <c r="AG27" i="12"/>
  <c r="AG35" i="12" s="1"/>
  <c r="AH27" i="12"/>
  <c r="AI27" i="12"/>
  <c r="AI35" i="12" s="1"/>
  <c r="E28" i="12"/>
  <c r="F28" i="12"/>
  <c r="G28" i="12"/>
  <c r="H28" i="12"/>
  <c r="I28" i="12"/>
  <c r="J28" i="12"/>
  <c r="K28" i="12"/>
  <c r="L28" i="12"/>
  <c r="M28" i="12"/>
  <c r="N28" i="12"/>
  <c r="N29" i="12" s="1"/>
  <c r="O28" i="12"/>
  <c r="P28" i="12"/>
  <c r="Q28" i="12"/>
  <c r="R28" i="12"/>
  <c r="S28" i="12"/>
  <c r="T28" i="12"/>
  <c r="U28" i="12"/>
  <c r="V28" i="12"/>
  <c r="W28" i="12"/>
  <c r="X28" i="12"/>
  <c r="Y28" i="12"/>
  <c r="Z28" i="12"/>
  <c r="AA28" i="12"/>
  <c r="AB28" i="12"/>
  <c r="AC28" i="12"/>
  <c r="AD28" i="12"/>
  <c r="AE28" i="12"/>
  <c r="AF28" i="12"/>
  <c r="AG28" i="12"/>
  <c r="AH28" i="12"/>
  <c r="AI28" i="12"/>
  <c r="AK28" i="12"/>
  <c r="AM28" i="12"/>
  <c r="E29" i="12"/>
  <c r="F29" i="12"/>
  <c r="G29" i="12"/>
  <c r="J29" i="12"/>
  <c r="O29" i="12"/>
  <c r="R29" i="12"/>
  <c r="U29" i="12"/>
  <c r="V29" i="12"/>
  <c r="W29" i="12"/>
  <c r="Z29" i="12"/>
  <c r="AE29" i="12"/>
  <c r="AH29" i="12"/>
  <c r="AK33" i="12"/>
  <c r="AL33" i="12"/>
  <c r="AM33" i="12"/>
  <c r="E34" i="12"/>
  <c r="F34" i="12"/>
  <c r="G34" i="12"/>
  <c r="I34" i="12"/>
  <c r="J34" i="12"/>
  <c r="K34" i="12"/>
  <c r="M34" i="12"/>
  <c r="N34" i="12"/>
  <c r="O34" i="12"/>
  <c r="R34" i="12"/>
  <c r="S34" i="12"/>
  <c r="V34" i="12"/>
  <c r="W34" i="12"/>
  <c r="Y34" i="12"/>
  <c r="Z34" i="12"/>
  <c r="AA34" i="12"/>
  <c r="AE34" i="12"/>
  <c r="AG34" i="12"/>
  <c r="AH34" i="12"/>
  <c r="E35" i="12"/>
  <c r="G35" i="12"/>
  <c r="J35" i="12"/>
  <c r="M35" i="12"/>
  <c r="O35" i="12"/>
  <c r="P35" i="12"/>
  <c r="R35" i="12"/>
  <c r="U35" i="12"/>
  <c r="W35" i="12"/>
  <c r="Z35" i="12"/>
  <c r="AB35" i="12"/>
  <c r="AC35" i="12"/>
  <c r="AE35" i="12"/>
  <c r="AH35" i="12"/>
  <c r="E38" i="12"/>
  <c r="H38" i="12"/>
  <c r="J38" i="12"/>
  <c r="M38" i="12"/>
  <c r="P38" i="12"/>
  <c r="U38" i="12"/>
  <c r="AC38" i="12"/>
  <c r="AH38" i="12"/>
  <c r="G6" i="10"/>
  <c r="H6" i="10"/>
  <c r="I6" i="10"/>
  <c r="L6" i="10"/>
  <c r="N6" i="10"/>
  <c r="P6" i="10"/>
  <c r="Q6" i="10"/>
  <c r="S6" i="10"/>
  <c r="T6" i="10"/>
  <c r="W6" i="10"/>
  <c r="X6" i="10"/>
  <c r="Y6" i="10"/>
  <c r="AB6" i="10"/>
  <c r="AG6" i="10"/>
  <c r="AI6" i="10"/>
  <c r="C7" i="10"/>
  <c r="C8" i="10"/>
  <c r="E8" i="10"/>
  <c r="F8" i="10"/>
  <c r="F6" i="10" s="1"/>
  <c r="G8" i="10"/>
  <c r="H8" i="10"/>
  <c r="I8" i="10"/>
  <c r="J8" i="10"/>
  <c r="K8" i="10"/>
  <c r="K6" i="10" s="1"/>
  <c r="L8" i="10"/>
  <c r="M8" i="10"/>
  <c r="N8" i="10"/>
  <c r="N9" i="10" s="1"/>
  <c r="N17" i="10" s="1"/>
  <c r="O8" i="10"/>
  <c r="O6" i="10" s="1"/>
  <c r="P8" i="10"/>
  <c r="Q8" i="10"/>
  <c r="R8" i="10"/>
  <c r="S8" i="10"/>
  <c r="T9" i="10" s="1"/>
  <c r="T8" i="10"/>
  <c r="U8" i="10"/>
  <c r="V8" i="10"/>
  <c r="W9" i="10" s="1"/>
  <c r="W8" i="10"/>
  <c r="X8" i="10"/>
  <c r="Y8" i="10"/>
  <c r="Z8" i="10"/>
  <c r="AA8" i="10"/>
  <c r="AA6" i="10" s="1"/>
  <c r="AB8" i="10"/>
  <c r="AC8" i="10"/>
  <c r="AD8" i="10"/>
  <c r="AD6" i="10" s="1"/>
  <c r="AE8" i="10"/>
  <c r="AE6" i="10" s="1"/>
  <c r="AF8" i="10"/>
  <c r="AG8" i="10"/>
  <c r="AH8" i="10"/>
  <c r="AI8" i="10"/>
  <c r="AL8" i="10"/>
  <c r="AM8" i="10"/>
  <c r="I9" i="10"/>
  <c r="J9" i="10"/>
  <c r="L9" i="10"/>
  <c r="O9" i="10"/>
  <c r="Q9" i="10"/>
  <c r="U9" i="10"/>
  <c r="V9" i="10"/>
  <c r="Y9" i="10"/>
  <c r="Z9" i="10"/>
  <c r="AB9" i="10"/>
  <c r="AE9" i="10"/>
  <c r="AG9" i="10"/>
  <c r="AL9" i="10"/>
  <c r="AM9" i="10"/>
  <c r="E10" i="10"/>
  <c r="F10" i="10"/>
  <c r="G10" i="10"/>
  <c r="G57" i="10" s="1"/>
  <c r="H10" i="10"/>
  <c r="I10" i="10"/>
  <c r="J10" i="10"/>
  <c r="K10" i="10"/>
  <c r="L10" i="10"/>
  <c r="M10" i="10"/>
  <c r="N10" i="10"/>
  <c r="O10" i="10"/>
  <c r="O57" i="10" s="1"/>
  <c r="P10" i="10"/>
  <c r="AK10" i="10" s="1"/>
  <c r="Q10" i="10"/>
  <c r="R10" i="10"/>
  <c r="R57" i="10" s="1"/>
  <c r="S10" i="10"/>
  <c r="T10" i="10"/>
  <c r="U10" i="10"/>
  <c r="V10" i="10"/>
  <c r="W10" i="10"/>
  <c r="W57" i="10" s="1"/>
  <c r="X10" i="10"/>
  <c r="Y10" i="10"/>
  <c r="Z10" i="10"/>
  <c r="Z57" i="10" s="1"/>
  <c r="AA10" i="10"/>
  <c r="AB10" i="10"/>
  <c r="AC10" i="10"/>
  <c r="AD10" i="10"/>
  <c r="AE10" i="10"/>
  <c r="AP10" i="10" s="1"/>
  <c r="AF10" i="10"/>
  <c r="AG10" i="10"/>
  <c r="AH10" i="10"/>
  <c r="AH57" i="10" s="1"/>
  <c r="AI10" i="10"/>
  <c r="AL10" i="10"/>
  <c r="AM10" i="10"/>
  <c r="F11" i="10"/>
  <c r="G11" i="10"/>
  <c r="H11" i="10"/>
  <c r="I11" i="10"/>
  <c r="J11" i="10"/>
  <c r="K11" i="10"/>
  <c r="L11" i="10"/>
  <c r="N11" i="10"/>
  <c r="P11" i="10"/>
  <c r="Q11" i="10"/>
  <c r="R11" i="10"/>
  <c r="V11" i="10"/>
  <c r="W11" i="10"/>
  <c r="X11" i="10"/>
  <c r="Y11" i="10"/>
  <c r="Z11" i="10"/>
  <c r="AA11" i="10"/>
  <c r="AD11" i="10"/>
  <c r="AE11" i="10"/>
  <c r="AF11" i="10"/>
  <c r="AG11" i="10"/>
  <c r="AH11" i="10"/>
  <c r="AI11" i="10"/>
  <c r="AO11" i="10" s="1"/>
  <c r="AK13" i="10"/>
  <c r="AL13" i="10"/>
  <c r="AM13" i="10"/>
  <c r="AO13" i="10"/>
  <c r="AP13" i="10"/>
  <c r="AQ13" i="10"/>
  <c r="AR13" i="10"/>
  <c r="E14" i="10"/>
  <c r="F14" i="10"/>
  <c r="G14" i="10"/>
  <c r="H14" i="10"/>
  <c r="I14" i="10"/>
  <c r="J14" i="10"/>
  <c r="K14" i="10"/>
  <c r="L14" i="10"/>
  <c r="M14" i="10"/>
  <c r="N14" i="10"/>
  <c r="O14" i="10"/>
  <c r="P14" i="10"/>
  <c r="Q14" i="10"/>
  <c r="R14" i="10"/>
  <c r="S14" i="10"/>
  <c r="T14" i="10"/>
  <c r="U14" i="10"/>
  <c r="V14" i="10"/>
  <c r="W14" i="10"/>
  <c r="X14" i="10"/>
  <c r="Y14" i="10"/>
  <c r="Z14" i="10"/>
  <c r="AA14" i="10"/>
  <c r="AB14" i="10"/>
  <c r="AQ14" i="10" s="1"/>
  <c r="AC14" i="10"/>
  <c r="AC83" i="10" s="1"/>
  <c r="AD14" i="10"/>
  <c r="AE14" i="10"/>
  <c r="AF14" i="10"/>
  <c r="AG14" i="10"/>
  <c r="AH14" i="10"/>
  <c r="AI14" i="10"/>
  <c r="AK14" i="10"/>
  <c r="AL14" i="10"/>
  <c r="AM14" i="10"/>
  <c r="I17" i="10"/>
  <c r="W17" i="10"/>
  <c r="AE17" i="10"/>
  <c r="G56" i="10"/>
  <c r="G82" i="10" s="1"/>
  <c r="H56" i="10"/>
  <c r="I56" i="10"/>
  <c r="K56" i="10"/>
  <c r="K82" i="10" s="1"/>
  <c r="L56" i="10"/>
  <c r="O56" i="10"/>
  <c r="P56" i="10"/>
  <c r="Q56" i="10"/>
  <c r="S56" i="10"/>
  <c r="S82" i="10" s="1"/>
  <c r="T56" i="10"/>
  <c r="W56" i="10"/>
  <c r="W82" i="10" s="1"/>
  <c r="X56" i="10"/>
  <c r="X82" i="10" s="1"/>
  <c r="Y56" i="10"/>
  <c r="AA56" i="10"/>
  <c r="AB56" i="10"/>
  <c r="AE56" i="10"/>
  <c r="AE82" i="10" s="1"/>
  <c r="AF56" i="10"/>
  <c r="AF82" i="10" s="1"/>
  <c r="AG56" i="10"/>
  <c r="AI56" i="10"/>
  <c r="AI82" i="10" s="1"/>
  <c r="F57" i="10"/>
  <c r="H57" i="10"/>
  <c r="I57" i="10"/>
  <c r="K57" i="10"/>
  <c r="L57" i="10"/>
  <c r="N57" i="10"/>
  <c r="P57" i="10"/>
  <c r="Q57" i="10"/>
  <c r="S57" i="10"/>
  <c r="T57" i="10"/>
  <c r="V57" i="10"/>
  <c r="X57" i="10"/>
  <c r="Y57" i="10"/>
  <c r="AA57" i="10"/>
  <c r="AB57" i="10"/>
  <c r="AD57" i="10"/>
  <c r="AF57" i="10"/>
  <c r="AG57" i="10"/>
  <c r="AI57" i="10"/>
  <c r="I58" i="10"/>
  <c r="H82" i="10"/>
  <c r="I82" i="10"/>
  <c r="L82" i="10"/>
  <c r="O82" i="10"/>
  <c r="P82" i="10"/>
  <c r="Q82" i="10"/>
  <c r="T82" i="10"/>
  <c r="Y82" i="10"/>
  <c r="AA82" i="10"/>
  <c r="AB82" i="10"/>
  <c r="AG82" i="10"/>
  <c r="E83" i="10"/>
  <c r="F83" i="10"/>
  <c r="G83" i="10"/>
  <c r="H83" i="10"/>
  <c r="J83" i="10"/>
  <c r="K83" i="10"/>
  <c r="L83" i="10"/>
  <c r="M83" i="10"/>
  <c r="N83" i="10"/>
  <c r="O83" i="10"/>
  <c r="P83" i="10"/>
  <c r="R83" i="10"/>
  <c r="S83" i="10"/>
  <c r="T83" i="10"/>
  <c r="U83" i="10"/>
  <c r="V83" i="10"/>
  <c r="W83" i="10"/>
  <c r="X83" i="10"/>
  <c r="Z83" i="10"/>
  <c r="AA83" i="10"/>
  <c r="AB83" i="10"/>
  <c r="AD83" i="10"/>
  <c r="AE83" i="10"/>
  <c r="AF83" i="10"/>
  <c r="AH83" i="10"/>
  <c r="AI83" i="10"/>
  <c r="C8" i="9"/>
  <c r="E8" i="9"/>
  <c r="F8" i="9"/>
  <c r="G8" i="9"/>
  <c r="H8" i="9"/>
  <c r="I8" i="9"/>
  <c r="J8" i="9"/>
  <c r="K8" i="9"/>
  <c r="L8" i="9"/>
  <c r="M8" i="9"/>
  <c r="N8" i="9"/>
  <c r="O8" i="9"/>
  <c r="P8" i="9"/>
  <c r="Q8" i="9"/>
  <c r="R8" i="9"/>
  <c r="S8" i="9"/>
  <c r="T8" i="9"/>
  <c r="U8" i="9"/>
  <c r="V8" i="9"/>
  <c r="W8" i="9"/>
  <c r="X8" i="9"/>
  <c r="Y8" i="9"/>
  <c r="Z8" i="9"/>
  <c r="AA8" i="9"/>
  <c r="AB8" i="9"/>
  <c r="AC8" i="9"/>
  <c r="AD8" i="9"/>
  <c r="AE8" i="9"/>
  <c r="AF8" i="9"/>
  <c r="AG8" i="9"/>
  <c r="AH8" i="9"/>
  <c r="AI8" i="9"/>
  <c r="AM8" i="9" s="1"/>
  <c r="AK8" i="9"/>
  <c r="AL8" i="9"/>
  <c r="AK11" i="9"/>
  <c r="AK15" i="9" s="1"/>
  <c r="AL11" i="9"/>
  <c r="AM11" i="9"/>
  <c r="AM15" i="9" s="1"/>
  <c r="AM23" i="9" s="1"/>
  <c r="AK14" i="9"/>
  <c r="AL14" i="9"/>
  <c r="AL30" i="9" s="1"/>
  <c r="AM14" i="9"/>
  <c r="E15" i="9"/>
  <c r="F15" i="9"/>
  <c r="G15" i="9"/>
  <c r="H15" i="9"/>
  <c r="I15" i="9"/>
  <c r="J15" i="9"/>
  <c r="K15" i="9"/>
  <c r="K23" i="9" s="1"/>
  <c r="L15" i="9"/>
  <c r="M15" i="9"/>
  <c r="M23" i="9" s="1"/>
  <c r="N15" i="9"/>
  <c r="O15" i="9"/>
  <c r="P15" i="9"/>
  <c r="Q15" i="9"/>
  <c r="R15" i="9"/>
  <c r="S15" i="9"/>
  <c r="S23" i="9" s="1"/>
  <c r="T15" i="9"/>
  <c r="T23" i="9" s="1"/>
  <c r="U15" i="9"/>
  <c r="U23" i="9" s="1"/>
  <c r="V15" i="9"/>
  <c r="W15" i="9"/>
  <c r="X15" i="9"/>
  <c r="Y15" i="9"/>
  <c r="Z15" i="9"/>
  <c r="AA15" i="9"/>
  <c r="AB15" i="9"/>
  <c r="AB23" i="9" s="1"/>
  <c r="AC15" i="9"/>
  <c r="AC23" i="9" s="1"/>
  <c r="AD15" i="9"/>
  <c r="AE15" i="9"/>
  <c r="AF15" i="9"/>
  <c r="AG15" i="9"/>
  <c r="AH15" i="9"/>
  <c r="AI15" i="9"/>
  <c r="AL15" i="9"/>
  <c r="AL23" i="9" s="1"/>
  <c r="AK18" i="9"/>
  <c r="AL18" i="9"/>
  <c r="AM18" i="9"/>
  <c r="AK19" i="9"/>
  <c r="AL19" i="9"/>
  <c r="AM19" i="9"/>
  <c r="AK20" i="9"/>
  <c r="AL20" i="9"/>
  <c r="AM20" i="9"/>
  <c r="AM22" i="9" s="1"/>
  <c r="AK21" i="9"/>
  <c r="AL21" i="9"/>
  <c r="AM21" i="9"/>
  <c r="E22" i="9"/>
  <c r="F22" i="9"/>
  <c r="F23" i="9" s="1"/>
  <c r="G22" i="9"/>
  <c r="G23" i="9" s="1"/>
  <c r="H22" i="9"/>
  <c r="H23" i="9" s="1"/>
  <c r="I22" i="9"/>
  <c r="J22" i="9"/>
  <c r="K22" i="9"/>
  <c r="L22" i="9"/>
  <c r="M22" i="9"/>
  <c r="N22" i="9"/>
  <c r="O22" i="9"/>
  <c r="P22" i="9"/>
  <c r="P23" i="9" s="1"/>
  <c r="Q22" i="9"/>
  <c r="R22" i="9"/>
  <c r="S22" i="9"/>
  <c r="T22" i="9"/>
  <c r="U22" i="9"/>
  <c r="V22" i="9"/>
  <c r="W22" i="9"/>
  <c r="W23" i="9" s="1"/>
  <c r="X22" i="9"/>
  <c r="X23" i="9" s="1"/>
  <c r="Y22" i="9"/>
  <c r="Y23" i="9" s="1"/>
  <c r="Z22" i="9"/>
  <c r="AA22" i="9"/>
  <c r="AB22" i="9"/>
  <c r="AC22" i="9"/>
  <c r="AD22" i="9"/>
  <c r="AE22" i="9"/>
  <c r="AF22" i="9"/>
  <c r="AF23" i="9" s="1"/>
  <c r="AG22" i="9"/>
  <c r="AH22" i="9"/>
  <c r="AI22" i="9"/>
  <c r="AL22" i="9"/>
  <c r="E23" i="9"/>
  <c r="I23" i="9"/>
  <c r="J23" i="9"/>
  <c r="L23" i="9"/>
  <c r="N23" i="9"/>
  <c r="Q23" i="9"/>
  <c r="R23" i="9"/>
  <c r="V23" i="9"/>
  <c r="Z23" i="9"/>
  <c r="AA23" i="9"/>
  <c r="AD23" i="9"/>
  <c r="AG23" i="9"/>
  <c r="AH23" i="9"/>
  <c r="AI23" i="9"/>
  <c r="E30" i="9"/>
  <c r="F30" i="9"/>
  <c r="G30" i="9"/>
  <c r="H30" i="9"/>
  <c r="I30" i="9"/>
  <c r="J30" i="9"/>
  <c r="K30" i="9"/>
  <c r="L30" i="9"/>
  <c r="M30" i="9"/>
  <c r="N30" i="9"/>
  <c r="O30" i="9"/>
  <c r="P30" i="9"/>
  <c r="Q30" i="9"/>
  <c r="R30" i="9"/>
  <c r="S30" i="9"/>
  <c r="T30" i="9"/>
  <c r="U30" i="9"/>
  <c r="V30" i="9"/>
  <c r="W30" i="9"/>
  <c r="X30" i="9"/>
  <c r="Y30" i="9"/>
  <c r="Z30" i="9"/>
  <c r="AA30" i="9"/>
  <c r="AB30" i="9"/>
  <c r="AC30" i="9"/>
  <c r="AD30" i="9"/>
  <c r="AE30" i="9"/>
  <c r="AF30" i="9"/>
  <c r="AG30" i="9"/>
  <c r="AH30" i="9"/>
  <c r="AI30" i="9"/>
  <c r="AK30" i="9"/>
  <c r="AM30" i="9"/>
  <c r="C7" i="8"/>
  <c r="C8" i="8"/>
  <c r="E8" i="8"/>
  <c r="F8" i="8"/>
  <c r="G8" i="8"/>
  <c r="H8" i="8"/>
  <c r="I8" i="8"/>
  <c r="J8" i="8"/>
  <c r="K8" i="8"/>
  <c r="L8" i="8"/>
  <c r="M8" i="8"/>
  <c r="N8" i="8"/>
  <c r="O8" i="8"/>
  <c r="P8" i="8"/>
  <c r="AK8" i="8" s="1"/>
  <c r="Q8" i="8"/>
  <c r="R8" i="8"/>
  <c r="S8" i="8"/>
  <c r="T8" i="8"/>
  <c r="U8" i="8"/>
  <c r="V8" i="8"/>
  <c r="W8" i="8"/>
  <c r="X8" i="8"/>
  <c r="Y8" i="8"/>
  <c r="Z8" i="8"/>
  <c r="AA8" i="8"/>
  <c r="AB8" i="8"/>
  <c r="AC8" i="8"/>
  <c r="AD8" i="8"/>
  <c r="AE8" i="8"/>
  <c r="AF8" i="8"/>
  <c r="AG8" i="8"/>
  <c r="AH8" i="8"/>
  <c r="AI8" i="8"/>
  <c r="AM8" i="8" s="1"/>
  <c r="AM55" i="8" s="1"/>
  <c r="AL8" i="8"/>
  <c r="O30" i="8"/>
  <c r="AH38" i="8"/>
  <c r="F55" i="8"/>
  <c r="G55" i="8"/>
  <c r="H55" i="8"/>
  <c r="I55" i="8"/>
  <c r="J55" i="8"/>
  <c r="K55" i="8"/>
  <c r="L55" i="8"/>
  <c r="M55" i="8"/>
  <c r="N55" i="8"/>
  <c r="O55" i="8"/>
  <c r="P55" i="8"/>
  <c r="Q55" i="8"/>
  <c r="R55" i="8"/>
  <c r="S55" i="8"/>
  <c r="T55" i="8"/>
  <c r="U55" i="8"/>
  <c r="V55" i="8"/>
  <c r="W55" i="8"/>
  <c r="X55" i="8"/>
  <c r="Y55" i="8"/>
  <c r="Z55" i="8"/>
  <c r="AA55" i="8"/>
  <c r="AB55" i="8"/>
  <c r="AC55" i="8"/>
  <c r="AD55" i="8"/>
  <c r="AE55" i="8"/>
  <c r="AF55" i="8"/>
  <c r="AG55" i="8"/>
  <c r="AH55" i="8"/>
  <c r="AI55" i="8"/>
  <c r="AL55" i="8"/>
  <c r="X61" i="8"/>
  <c r="Y61" i="8"/>
  <c r="Z61" i="8"/>
  <c r="AA61" i="8"/>
  <c r="AB61" i="8"/>
  <c r="AC61" i="8"/>
  <c r="AD61" i="8"/>
  <c r="AE61" i="8"/>
  <c r="AF61" i="8"/>
  <c r="AG61" i="8"/>
  <c r="AH61" i="8"/>
  <c r="AI61" i="8"/>
  <c r="AE20" i="8"/>
  <c r="AE21" i="8" s="1"/>
  <c r="AE64" i="8" s="1"/>
  <c r="C7" i="7"/>
  <c r="C8" i="7"/>
  <c r="E8" i="7"/>
  <c r="F8" i="7"/>
  <c r="G8" i="7"/>
  <c r="H8" i="7"/>
  <c r="I8" i="7"/>
  <c r="J8" i="7"/>
  <c r="K8" i="7"/>
  <c r="L8" i="7"/>
  <c r="M8" i="7"/>
  <c r="N8" i="7"/>
  <c r="O8" i="7"/>
  <c r="P8" i="7"/>
  <c r="AK8" i="7" s="1"/>
  <c r="Q8" i="7"/>
  <c r="R8" i="7"/>
  <c r="S8" i="7"/>
  <c r="T8" i="7"/>
  <c r="U8" i="7"/>
  <c r="V8" i="7"/>
  <c r="W8" i="7"/>
  <c r="X8" i="7"/>
  <c r="Y8" i="7"/>
  <c r="Z8" i="7"/>
  <c r="AA8" i="7"/>
  <c r="AB8" i="7"/>
  <c r="AC8" i="7"/>
  <c r="AD8" i="7"/>
  <c r="AE8" i="7"/>
  <c r="AF8" i="7"/>
  <c r="AG8" i="7"/>
  <c r="AH8" i="7"/>
  <c r="AI8" i="7"/>
  <c r="AM8" i="7" s="1"/>
  <c r="AL8" i="7"/>
  <c r="E9" i="7"/>
  <c r="E11" i="7" s="1"/>
  <c r="F9" i="7"/>
  <c r="G9" i="7"/>
  <c r="H9" i="7"/>
  <c r="I9" i="7"/>
  <c r="J9" i="7"/>
  <c r="K9" i="7"/>
  <c r="K11" i="7" s="1"/>
  <c r="L9" i="7"/>
  <c r="M9" i="7"/>
  <c r="M11" i="7" s="1"/>
  <c r="N9" i="7"/>
  <c r="O9" i="7"/>
  <c r="P9" i="7"/>
  <c r="Q9" i="7"/>
  <c r="R9" i="7"/>
  <c r="S9" i="7"/>
  <c r="S11" i="7" s="1"/>
  <c r="T9" i="7"/>
  <c r="U9" i="7"/>
  <c r="U11" i="7" s="1"/>
  <c r="V9" i="7"/>
  <c r="W9" i="7"/>
  <c r="X9" i="7"/>
  <c r="Y9" i="7"/>
  <c r="Z9" i="7"/>
  <c r="AA9" i="7"/>
  <c r="AA11" i="7" s="1"/>
  <c r="AB9" i="7"/>
  <c r="AC9" i="7"/>
  <c r="AC11" i="7" s="1"/>
  <c r="AD9" i="7"/>
  <c r="AP9" i="7" s="1"/>
  <c r="AE9" i="7"/>
  <c r="AF9" i="7"/>
  <c r="AG9" i="7"/>
  <c r="AH9" i="7"/>
  <c r="AI9" i="7"/>
  <c r="AM9" i="7" s="1"/>
  <c r="AM11" i="7" s="1"/>
  <c r="AK9" i="7"/>
  <c r="AL9" i="7"/>
  <c r="E10" i="7"/>
  <c r="F10" i="7"/>
  <c r="G10" i="7"/>
  <c r="H10" i="7"/>
  <c r="I10" i="7"/>
  <c r="J10" i="7"/>
  <c r="K10" i="7"/>
  <c r="L10" i="7"/>
  <c r="M10" i="7"/>
  <c r="N10" i="7"/>
  <c r="O10" i="7"/>
  <c r="O11" i="7" s="1"/>
  <c r="P10" i="7"/>
  <c r="AK10" i="7" s="1"/>
  <c r="AK11" i="7" s="1"/>
  <c r="Q10" i="7"/>
  <c r="R10" i="7"/>
  <c r="S10" i="7"/>
  <c r="T10" i="7"/>
  <c r="U10" i="7"/>
  <c r="V10" i="7"/>
  <c r="W10" i="7"/>
  <c r="W11" i="7" s="1"/>
  <c r="X10" i="7"/>
  <c r="X11" i="7" s="1"/>
  <c r="Y10" i="7"/>
  <c r="Z10" i="7"/>
  <c r="AA10" i="7"/>
  <c r="AB10" i="7"/>
  <c r="AC10" i="7"/>
  <c r="AD10" i="7"/>
  <c r="AD11" i="7" s="1"/>
  <c r="AE10" i="7"/>
  <c r="AP10" i="7" s="1"/>
  <c r="AF10" i="7"/>
  <c r="AF11" i="7" s="1"/>
  <c r="AF26" i="7" s="1"/>
  <c r="AG10" i="7"/>
  <c r="AH10" i="7"/>
  <c r="AI10" i="7"/>
  <c r="AL10" i="7"/>
  <c r="AM10" i="7"/>
  <c r="AO10" i="7"/>
  <c r="F11" i="7"/>
  <c r="G11" i="7"/>
  <c r="G51" i="7" s="1"/>
  <c r="H11" i="7"/>
  <c r="I11" i="7"/>
  <c r="I51" i="7" s="1"/>
  <c r="J11" i="7"/>
  <c r="L11" i="7"/>
  <c r="N11" i="7"/>
  <c r="Q11" i="7"/>
  <c r="Q51" i="7" s="1"/>
  <c r="R11" i="7"/>
  <c r="T11" i="7"/>
  <c r="V11" i="7"/>
  <c r="Y11" i="7"/>
  <c r="Y51" i="7" s="1"/>
  <c r="Z11" i="7"/>
  <c r="AB11" i="7"/>
  <c r="AE11" i="7"/>
  <c r="AE51" i="7" s="1"/>
  <c r="AG11" i="7"/>
  <c r="AG51" i="7" s="1"/>
  <c r="AH11" i="7"/>
  <c r="E13" i="7"/>
  <c r="F13" i="7"/>
  <c r="G13" i="7"/>
  <c r="H13" i="7"/>
  <c r="I13" i="7"/>
  <c r="I14" i="7" s="1"/>
  <c r="J13" i="7"/>
  <c r="K13" i="7"/>
  <c r="L13" i="7"/>
  <c r="M13" i="7"/>
  <c r="N13" i="7"/>
  <c r="N14" i="7" s="1"/>
  <c r="O13" i="7"/>
  <c r="P13" i="7"/>
  <c r="Q13" i="7"/>
  <c r="Q14" i="7" s="1"/>
  <c r="R13" i="7"/>
  <c r="S13" i="7"/>
  <c r="T13" i="7"/>
  <c r="T14" i="7" s="1"/>
  <c r="U13" i="7"/>
  <c r="V13" i="7"/>
  <c r="V14" i="7" s="1"/>
  <c r="W13" i="7"/>
  <c r="X13" i="7"/>
  <c r="Y13" i="7"/>
  <c r="Z13" i="7"/>
  <c r="AA13" i="7"/>
  <c r="AA14" i="7" s="1"/>
  <c r="AB13" i="7"/>
  <c r="AL13" i="7" s="1"/>
  <c r="AC13" i="7"/>
  <c r="AD13" i="7"/>
  <c r="AD14" i="7" s="1"/>
  <c r="AE13" i="7"/>
  <c r="AF13" i="7"/>
  <c r="AG13" i="7"/>
  <c r="AQ13" i="7" s="1"/>
  <c r="AQ14" i="7" s="1"/>
  <c r="AH13" i="7"/>
  <c r="AH14" i="7" s="1"/>
  <c r="AI13" i="7"/>
  <c r="AM13" i="7" s="1"/>
  <c r="AM14" i="7" s="1"/>
  <c r="AK13" i="7"/>
  <c r="AK14" i="7" s="1"/>
  <c r="E14" i="7"/>
  <c r="F14" i="7"/>
  <c r="G14" i="7"/>
  <c r="H14" i="7"/>
  <c r="J14" i="7"/>
  <c r="K14" i="7"/>
  <c r="L14" i="7"/>
  <c r="M14" i="7"/>
  <c r="O14" i="7"/>
  <c r="P14" i="7"/>
  <c r="R14" i="7"/>
  <c r="S14" i="7"/>
  <c r="U14" i="7"/>
  <c r="W14" i="7"/>
  <c r="X14" i="7"/>
  <c r="Z14" i="7"/>
  <c r="AC14" i="7"/>
  <c r="AE14" i="7"/>
  <c r="AF14" i="7"/>
  <c r="AL14" i="7"/>
  <c r="E16" i="7"/>
  <c r="F16" i="7"/>
  <c r="G16" i="7"/>
  <c r="H16" i="7"/>
  <c r="I16" i="7"/>
  <c r="J16" i="7"/>
  <c r="K16" i="7"/>
  <c r="L16" i="7"/>
  <c r="M16" i="7"/>
  <c r="N16" i="7"/>
  <c r="O16" i="7"/>
  <c r="P16" i="7"/>
  <c r="AK16" i="7" s="1"/>
  <c r="Q16" i="7"/>
  <c r="R16" i="7"/>
  <c r="S16" i="7"/>
  <c r="T16" i="7"/>
  <c r="U16" i="7"/>
  <c r="V16" i="7"/>
  <c r="W16" i="7"/>
  <c r="X16" i="7"/>
  <c r="Y16" i="7"/>
  <c r="Z16" i="7"/>
  <c r="AA16" i="7"/>
  <c r="AB16" i="7"/>
  <c r="AC16" i="7"/>
  <c r="AD16" i="7"/>
  <c r="AE16" i="7"/>
  <c r="AF16" i="7"/>
  <c r="AG16" i="7"/>
  <c r="AH16" i="7"/>
  <c r="AI16" i="7"/>
  <c r="AL16" i="7"/>
  <c r="AM16" i="7"/>
  <c r="AO16" i="7"/>
  <c r="E17" i="7"/>
  <c r="F17" i="7"/>
  <c r="G17" i="7"/>
  <c r="H17" i="7"/>
  <c r="I17" i="7"/>
  <c r="J17" i="7"/>
  <c r="K17" i="7"/>
  <c r="L17" i="7"/>
  <c r="M17" i="7"/>
  <c r="N17" i="7"/>
  <c r="O17" i="7"/>
  <c r="P17" i="7"/>
  <c r="Q17" i="7"/>
  <c r="R17" i="7"/>
  <c r="S17" i="7"/>
  <c r="T17" i="7"/>
  <c r="U17" i="7"/>
  <c r="V17" i="7"/>
  <c r="W17" i="7"/>
  <c r="X17" i="7"/>
  <c r="Y17" i="7"/>
  <c r="Z17" i="7"/>
  <c r="AA17" i="7"/>
  <c r="AB17" i="7"/>
  <c r="AL17" i="7" s="1"/>
  <c r="AC17" i="7"/>
  <c r="AD17" i="7"/>
  <c r="AE17" i="7"/>
  <c r="AP17" i="7" s="1"/>
  <c r="AF17" i="7"/>
  <c r="AG17" i="7"/>
  <c r="AH17" i="7"/>
  <c r="AI17" i="7"/>
  <c r="AM17" i="7" s="1"/>
  <c r="AK17" i="7"/>
  <c r="AO17" i="7"/>
  <c r="E18" i="7"/>
  <c r="F18" i="7"/>
  <c r="G18" i="7"/>
  <c r="H18" i="7"/>
  <c r="I18" i="7"/>
  <c r="J18" i="7"/>
  <c r="K18" i="7"/>
  <c r="L18" i="7"/>
  <c r="M18" i="7"/>
  <c r="N18" i="7"/>
  <c r="O18" i="7"/>
  <c r="P18" i="7"/>
  <c r="Q18" i="7"/>
  <c r="R18" i="7"/>
  <c r="S18" i="7"/>
  <c r="T18" i="7"/>
  <c r="U18" i="7"/>
  <c r="V18" i="7"/>
  <c r="W18" i="7"/>
  <c r="X18" i="7"/>
  <c r="Y18" i="7"/>
  <c r="Z18" i="7"/>
  <c r="AA18" i="7"/>
  <c r="AQ18" i="7" s="1"/>
  <c r="AB18" i="7"/>
  <c r="AL18" i="7" s="1"/>
  <c r="AC18" i="7"/>
  <c r="AD18" i="7"/>
  <c r="AP18" i="7" s="1"/>
  <c r="AE18" i="7"/>
  <c r="AF18" i="7"/>
  <c r="AG18" i="7"/>
  <c r="AH18" i="7"/>
  <c r="AI18" i="7"/>
  <c r="AM18" i="7" s="1"/>
  <c r="AK18" i="7"/>
  <c r="E19" i="7"/>
  <c r="F19" i="7"/>
  <c r="G19" i="7"/>
  <c r="H19" i="7"/>
  <c r="H22" i="7" s="1"/>
  <c r="I19" i="7"/>
  <c r="J19" i="7"/>
  <c r="K19" i="7"/>
  <c r="L19" i="7"/>
  <c r="M19" i="7"/>
  <c r="N19" i="7"/>
  <c r="O19" i="7"/>
  <c r="P19" i="7"/>
  <c r="P22" i="7" s="1"/>
  <c r="Q19" i="7"/>
  <c r="R19" i="7"/>
  <c r="S19" i="7"/>
  <c r="T19" i="7"/>
  <c r="U19" i="7"/>
  <c r="V19" i="7"/>
  <c r="W19" i="7"/>
  <c r="X19" i="7"/>
  <c r="Y19" i="7"/>
  <c r="Z19" i="7"/>
  <c r="AA19" i="7"/>
  <c r="AB19" i="7"/>
  <c r="AC19" i="7"/>
  <c r="AD19" i="7"/>
  <c r="AE19" i="7"/>
  <c r="AF19" i="7"/>
  <c r="AF22" i="7" s="1"/>
  <c r="AG19" i="7"/>
  <c r="AH19" i="7"/>
  <c r="AI19" i="7"/>
  <c r="AL19" i="7"/>
  <c r="E20" i="7"/>
  <c r="F20" i="7"/>
  <c r="G20" i="7"/>
  <c r="H20" i="7"/>
  <c r="I20" i="7"/>
  <c r="J20" i="7"/>
  <c r="J22" i="7" s="1"/>
  <c r="J26" i="7" s="1"/>
  <c r="K20" i="7"/>
  <c r="L20" i="7"/>
  <c r="M20" i="7"/>
  <c r="N20" i="7"/>
  <c r="O20" i="7"/>
  <c r="P20" i="7"/>
  <c r="AK20" i="7" s="1"/>
  <c r="Q20" i="7"/>
  <c r="R20" i="7"/>
  <c r="R22" i="7" s="1"/>
  <c r="R26" i="7" s="1"/>
  <c r="S20" i="7"/>
  <c r="T20" i="7"/>
  <c r="U20" i="7"/>
  <c r="V20" i="7"/>
  <c r="W20" i="7"/>
  <c r="X20" i="7"/>
  <c r="Y20" i="7"/>
  <c r="Z20" i="7"/>
  <c r="Z22" i="7" s="1"/>
  <c r="Z26" i="7" s="1"/>
  <c r="AA20" i="7"/>
  <c r="AB20" i="7"/>
  <c r="AC20" i="7"/>
  <c r="AD20" i="7"/>
  <c r="AE20" i="7"/>
  <c r="AP20" i="7" s="1"/>
  <c r="AF20" i="7"/>
  <c r="AG20" i="7"/>
  <c r="AH20" i="7"/>
  <c r="AH22" i="7" s="1"/>
  <c r="AI20" i="7"/>
  <c r="AM20" i="7" s="1"/>
  <c r="AL20" i="7"/>
  <c r="AO20" i="7"/>
  <c r="E21" i="7"/>
  <c r="F21" i="7"/>
  <c r="G21" i="7"/>
  <c r="H21" i="7"/>
  <c r="I21" i="7"/>
  <c r="I22" i="7" s="1"/>
  <c r="J21" i="7"/>
  <c r="K21" i="7"/>
  <c r="L21" i="7"/>
  <c r="L22" i="7" s="1"/>
  <c r="L26" i="7" s="1"/>
  <c r="L82" i="7" s="1"/>
  <c r="M21" i="7"/>
  <c r="N21" i="7"/>
  <c r="O21" i="7"/>
  <c r="P21" i="7"/>
  <c r="Q21" i="7"/>
  <c r="Q22" i="7" s="1"/>
  <c r="R21" i="7"/>
  <c r="S21" i="7"/>
  <c r="T21" i="7"/>
  <c r="T22" i="7" s="1"/>
  <c r="U21" i="7"/>
  <c r="V21" i="7"/>
  <c r="W21" i="7"/>
  <c r="X21" i="7"/>
  <c r="Y21" i="7"/>
  <c r="Z21" i="7"/>
  <c r="AA21" i="7"/>
  <c r="AB21" i="7"/>
  <c r="AB22" i="7" s="1"/>
  <c r="AC21" i="7"/>
  <c r="AD21" i="7"/>
  <c r="AE21" i="7"/>
  <c r="AF21" i="7"/>
  <c r="AG21" i="7"/>
  <c r="AO21" i="7" s="1"/>
  <c r="AH21" i="7"/>
  <c r="AI21" i="7"/>
  <c r="AM21" i="7" s="1"/>
  <c r="AK21" i="7"/>
  <c r="F22" i="7"/>
  <c r="F26" i="7" s="1"/>
  <c r="F82" i="7" s="1"/>
  <c r="K22" i="7"/>
  <c r="N22" i="7"/>
  <c r="S22" i="7"/>
  <c r="V22" i="7"/>
  <c r="AA22" i="7"/>
  <c r="AD22" i="7"/>
  <c r="AG22" i="7"/>
  <c r="E24" i="7"/>
  <c r="E25" i="7" s="1"/>
  <c r="F24" i="7"/>
  <c r="G24" i="7"/>
  <c r="H24" i="7"/>
  <c r="H25" i="7" s="1"/>
  <c r="I24" i="7"/>
  <c r="J24" i="7"/>
  <c r="K24" i="7"/>
  <c r="K25" i="7" s="1"/>
  <c r="L24" i="7"/>
  <c r="M24" i="7"/>
  <c r="M25" i="7" s="1"/>
  <c r="N24" i="7"/>
  <c r="N25" i="7" s="1"/>
  <c r="O24" i="7"/>
  <c r="P24" i="7"/>
  <c r="P25" i="7" s="1"/>
  <c r="Q24" i="7"/>
  <c r="Q25" i="7" s="1"/>
  <c r="R24" i="7"/>
  <c r="S24" i="7"/>
  <c r="S25" i="7" s="1"/>
  <c r="T24" i="7"/>
  <c r="U24" i="7"/>
  <c r="U25" i="7" s="1"/>
  <c r="V24" i="7"/>
  <c r="V25" i="7" s="1"/>
  <c r="W24" i="7"/>
  <c r="X24" i="7"/>
  <c r="X25" i="7" s="1"/>
  <c r="Y24" i="7"/>
  <c r="Y25" i="7" s="1"/>
  <c r="Z24" i="7"/>
  <c r="AA24" i="7"/>
  <c r="AB24" i="7"/>
  <c r="AB25" i="7" s="1"/>
  <c r="AC24" i="7"/>
  <c r="AC25" i="7" s="1"/>
  <c r="AD24" i="7"/>
  <c r="AE24" i="7"/>
  <c r="AF24" i="7"/>
  <c r="AF25" i="7" s="1"/>
  <c r="AG24" i="7"/>
  <c r="AH24" i="7"/>
  <c r="AI24" i="7"/>
  <c r="AL24" i="7"/>
  <c r="AL25" i="7" s="1"/>
  <c r="F25" i="7"/>
  <c r="G25" i="7"/>
  <c r="I25" i="7"/>
  <c r="J25" i="7"/>
  <c r="L25" i="7"/>
  <c r="O25" i="7"/>
  <c r="R25" i="7"/>
  <c r="T25" i="7"/>
  <c r="W25" i="7"/>
  <c r="Z25" i="7"/>
  <c r="AD25" i="7"/>
  <c r="AE25" i="7"/>
  <c r="AH25" i="7"/>
  <c r="E28" i="7"/>
  <c r="F28" i="7"/>
  <c r="F29" i="7" s="1"/>
  <c r="G28" i="7"/>
  <c r="H28" i="7"/>
  <c r="I28" i="7"/>
  <c r="I29" i="7" s="1"/>
  <c r="J28" i="7"/>
  <c r="K28" i="7"/>
  <c r="L28" i="7"/>
  <c r="M28" i="7"/>
  <c r="N28" i="7"/>
  <c r="N29" i="7" s="1"/>
  <c r="O28" i="7"/>
  <c r="O29" i="7" s="1"/>
  <c r="P28" i="7"/>
  <c r="Q28" i="7"/>
  <c r="Q29" i="7" s="1"/>
  <c r="R28" i="7"/>
  <c r="R29" i="7" s="1"/>
  <c r="S28" i="7"/>
  <c r="S29" i="7" s="1"/>
  <c r="S47" i="7" s="1"/>
  <c r="T28" i="7"/>
  <c r="U28" i="7"/>
  <c r="V28" i="7"/>
  <c r="V29" i="7" s="1"/>
  <c r="W28" i="7"/>
  <c r="W29" i="7" s="1"/>
  <c r="X28" i="7"/>
  <c r="Y28" i="7"/>
  <c r="Z28" i="7"/>
  <c r="Z29" i="7" s="1"/>
  <c r="AA28" i="7"/>
  <c r="AQ28" i="7" s="1"/>
  <c r="AQ29" i="7" s="1"/>
  <c r="AB28" i="7"/>
  <c r="AC28" i="7"/>
  <c r="AD28" i="7"/>
  <c r="AD29" i="7" s="1"/>
  <c r="AE28" i="7"/>
  <c r="AE29" i="7" s="1"/>
  <c r="AF28" i="7"/>
  <c r="AG28" i="7"/>
  <c r="AH28" i="7"/>
  <c r="AH29" i="7" s="1"/>
  <c r="AI28" i="7"/>
  <c r="AM28" i="7" s="1"/>
  <c r="AM29" i="7" s="1"/>
  <c r="AK28" i="7"/>
  <c r="AL28" i="7"/>
  <c r="E29" i="7"/>
  <c r="G29" i="7"/>
  <c r="H29" i="7"/>
  <c r="J29" i="7"/>
  <c r="K29" i="7"/>
  <c r="L29" i="7"/>
  <c r="M29" i="7"/>
  <c r="P29" i="7"/>
  <c r="T29" i="7"/>
  <c r="U29" i="7"/>
  <c r="X29" i="7"/>
  <c r="AA29" i="7"/>
  <c r="AB29" i="7"/>
  <c r="AC29" i="7"/>
  <c r="AF29" i="7"/>
  <c r="AK29" i="7"/>
  <c r="AL29" i="7"/>
  <c r="E31" i="7"/>
  <c r="F31" i="7"/>
  <c r="G31" i="7"/>
  <c r="H31" i="7"/>
  <c r="I31" i="7"/>
  <c r="J31" i="7"/>
  <c r="K31" i="7"/>
  <c r="L31" i="7"/>
  <c r="M31" i="7"/>
  <c r="M35" i="7" s="1"/>
  <c r="N31" i="7"/>
  <c r="O31" i="7"/>
  <c r="P31" i="7"/>
  <c r="AK31" i="7" s="1"/>
  <c r="Q31" i="7"/>
  <c r="R31" i="7"/>
  <c r="S31" i="7"/>
  <c r="T31" i="7"/>
  <c r="U31" i="7"/>
  <c r="V31" i="7"/>
  <c r="W31" i="7"/>
  <c r="X31" i="7"/>
  <c r="Y31" i="7"/>
  <c r="Z31" i="7"/>
  <c r="AA31" i="7"/>
  <c r="AQ31" i="7" s="1"/>
  <c r="AB31" i="7"/>
  <c r="AC31" i="7"/>
  <c r="AR31" i="7" s="1"/>
  <c r="AD31" i="7"/>
  <c r="AP31" i="7" s="1"/>
  <c r="AE31" i="7"/>
  <c r="AF31" i="7"/>
  <c r="AG31" i="7"/>
  <c r="AH31" i="7"/>
  <c r="AI31" i="7"/>
  <c r="AM31" i="7" s="1"/>
  <c r="AL31" i="7"/>
  <c r="AO31" i="7"/>
  <c r="E32" i="7"/>
  <c r="F32" i="7"/>
  <c r="G32" i="7"/>
  <c r="G35" i="7" s="1"/>
  <c r="H32" i="7"/>
  <c r="I32" i="7"/>
  <c r="I35" i="7" s="1"/>
  <c r="J32" i="7"/>
  <c r="K32" i="7"/>
  <c r="L32" i="7"/>
  <c r="L35" i="7" s="1"/>
  <c r="M32" i="7"/>
  <c r="N32" i="7"/>
  <c r="O32" i="7"/>
  <c r="P32" i="7"/>
  <c r="Q32" i="7"/>
  <c r="Q35" i="7" s="1"/>
  <c r="R32" i="7"/>
  <c r="S32" i="7"/>
  <c r="T32" i="7"/>
  <c r="T35" i="7" s="1"/>
  <c r="U32" i="7"/>
  <c r="V32" i="7"/>
  <c r="W32" i="7"/>
  <c r="X32" i="7"/>
  <c r="Y32" i="7"/>
  <c r="Y35" i="7" s="1"/>
  <c r="Z32" i="7"/>
  <c r="AA32" i="7"/>
  <c r="AB32" i="7"/>
  <c r="AQ32" i="7" s="1"/>
  <c r="AC32" i="7"/>
  <c r="AD32" i="7"/>
  <c r="AE32" i="7"/>
  <c r="AP32" i="7" s="1"/>
  <c r="AF32" i="7"/>
  <c r="AG32" i="7"/>
  <c r="AG35" i="7" s="1"/>
  <c r="AH32" i="7"/>
  <c r="AI32" i="7"/>
  <c r="AM32" i="7" s="1"/>
  <c r="AK32" i="7"/>
  <c r="AO32" i="7"/>
  <c r="E33" i="7"/>
  <c r="F33" i="7"/>
  <c r="F35" i="7" s="1"/>
  <c r="G33" i="7"/>
  <c r="H33" i="7"/>
  <c r="I33" i="7"/>
  <c r="J33" i="7"/>
  <c r="K33" i="7"/>
  <c r="K35" i="7" s="1"/>
  <c r="L33" i="7"/>
  <c r="M33" i="7"/>
  <c r="N33" i="7"/>
  <c r="N35" i="7" s="1"/>
  <c r="O33" i="7"/>
  <c r="P33" i="7"/>
  <c r="Q33" i="7"/>
  <c r="R33" i="7"/>
  <c r="S33" i="7"/>
  <c r="S35" i="7" s="1"/>
  <c r="T33" i="7"/>
  <c r="U33" i="7"/>
  <c r="V33" i="7"/>
  <c r="V35" i="7" s="1"/>
  <c r="W33" i="7"/>
  <c r="X33" i="7"/>
  <c r="Y33" i="7"/>
  <c r="Z33" i="7"/>
  <c r="AA33" i="7"/>
  <c r="AA35" i="7" s="1"/>
  <c r="AB33" i="7"/>
  <c r="AC33" i="7"/>
  <c r="AD33" i="7"/>
  <c r="AE33" i="7"/>
  <c r="AF33" i="7"/>
  <c r="AG33" i="7"/>
  <c r="AH33" i="7"/>
  <c r="AI33" i="7"/>
  <c r="AI35" i="7" s="1"/>
  <c r="AK33" i="7"/>
  <c r="AL33" i="7"/>
  <c r="E34" i="7"/>
  <c r="E35" i="7" s="1"/>
  <c r="F34" i="7"/>
  <c r="G34" i="7"/>
  <c r="H34" i="7"/>
  <c r="H35" i="7" s="1"/>
  <c r="I34" i="7"/>
  <c r="J34" i="7"/>
  <c r="K34" i="7"/>
  <c r="L34" i="7"/>
  <c r="M34" i="7"/>
  <c r="N34" i="7"/>
  <c r="O34" i="7"/>
  <c r="P34" i="7"/>
  <c r="Q34" i="7"/>
  <c r="R34" i="7"/>
  <c r="S34" i="7"/>
  <c r="T34" i="7"/>
  <c r="U34" i="7"/>
  <c r="U35" i="7" s="1"/>
  <c r="V34" i="7"/>
  <c r="W34" i="7"/>
  <c r="X34" i="7"/>
  <c r="Y34" i="7"/>
  <c r="Z34" i="7"/>
  <c r="AA34" i="7"/>
  <c r="AB34" i="7"/>
  <c r="AC34" i="7"/>
  <c r="AC35" i="7" s="1"/>
  <c r="AD34" i="7"/>
  <c r="AE34" i="7"/>
  <c r="AF34" i="7"/>
  <c r="AF35" i="7" s="1"/>
  <c r="AG34" i="7"/>
  <c r="AH34" i="7"/>
  <c r="AI34" i="7"/>
  <c r="AM34" i="7" s="1"/>
  <c r="AL34" i="7"/>
  <c r="AP34" i="7"/>
  <c r="J35" i="7"/>
  <c r="J47" i="7" s="1"/>
  <c r="J83" i="7" s="1"/>
  <c r="O35" i="7"/>
  <c r="R35" i="7"/>
  <c r="W35" i="7"/>
  <c r="Z35" i="7"/>
  <c r="AE35" i="7"/>
  <c r="AH35" i="7"/>
  <c r="E37" i="7"/>
  <c r="F37" i="7"/>
  <c r="G37" i="7"/>
  <c r="G38" i="7" s="1"/>
  <c r="H37" i="7"/>
  <c r="I37" i="7"/>
  <c r="J37" i="7"/>
  <c r="K37" i="7"/>
  <c r="L37" i="7"/>
  <c r="L38" i="7" s="1"/>
  <c r="M37" i="7"/>
  <c r="M38" i="7" s="1"/>
  <c r="N37" i="7"/>
  <c r="O37" i="7"/>
  <c r="O38" i="7" s="1"/>
  <c r="P37" i="7"/>
  <c r="P38" i="7" s="1"/>
  <c r="Q37" i="7"/>
  <c r="R37" i="7"/>
  <c r="S37" i="7"/>
  <c r="T37" i="7"/>
  <c r="T38" i="7" s="1"/>
  <c r="U37" i="7"/>
  <c r="U38" i="7" s="1"/>
  <c r="V37" i="7"/>
  <c r="W37" i="7"/>
  <c r="W38" i="7" s="1"/>
  <c r="X37" i="7"/>
  <c r="AR37" i="7" s="1"/>
  <c r="AR38" i="7" s="1"/>
  <c r="Y37" i="7"/>
  <c r="Z37" i="7"/>
  <c r="AA37" i="7"/>
  <c r="AB37" i="7"/>
  <c r="AC37" i="7"/>
  <c r="AC38" i="7" s="1"/>
  <c r="AD37" i="7"/>
  <c r="AE37" i="7"/>
  <c r="AF37" i="7"/>
  <c r="AF38" i="7" s="1"/>
  <c r="AG37" i="7"/>
  <c r="AG38" i="7" s="1"/>
  <c r="AH37" i="7"/>
  <c r="AI37" i="7"/>
  <c r="AM37" i="7" s="1"/>
  <c r="AM38" i="7" s="1"/>
  <c r="AK37" i="7"/>
  <c r="AK38" i="7" s="1"/>
  <c r="AO37" i="7"/>
  <c r="AO38" i="7" s="1"/>
  <c r="E38" i="7"/>
  <c r="F38" i="7"/>
  <c r="H38" i="7"/>
  <c r="I38" i="7"/>
  <c r="J38" i="7"/>
  <c r="K38" i="7"/>
  <c r="N38" i="7"/>
  <c r="Q38" i="7"/>
  <c r="R38" i="7"/>
  <c r="S38" i="7"/>
  <c r="V38" i="7"/>
  <c r="Y38" i="7"/>
  <c r="Z38" i="7"/>
  <c r="AA38" i="7"/>
  <c r="AD38" i="7"/>
  <c r="AH38" i="7"/>
  <c r="AI38" i="7"/>
  <c r="E40" i="7"/>
  <c r="E43" i="7" s="1"/>
  <c r="F40" i="7"/>
  <c r="G40" i="7"/>
  <c r="H40" i="7"/>
  <c r="H43" i="7" s="1"/>
  <c r="I40" i="7"/>
  <c r="J40" i="7"/>
  <c r="K40" i="7"/>
  <c r="L40" i="7"/>
  <c r="M40" i="7"/>
  <c r="M43" i="7" s="1"/>
  <c r="N40" i="7"/>
  <c r="O40" i="7"/>
  <c r="P40" i="7"/>
  <c r="Q40" i="7"/>
  <c r="R40" i="7"/>
  <c r="S40" i="7"/>
  <c r="T40" i="7"/>
  <c r="U40" i="7"/>
  <c r="U43" i="7" s="1"/>
  <c r="V40" i="7"/>
  <c r="W40" i="7"/>
  <c r="X40" i="7"/>
  <c r="Y40" i="7"/>
  <c r="Z40" i="7"/>
  <c r="AA40" i="7"/>
  <c r="AB40" i="7"/>
  <c r="AC40" i="7"/>
  <c r="AC43" i="7" s="1"/>
  <c r="AD40" i="7"/>
  <c r="AE40" i="7"/>
  <c r="AF40" i="7"/>
  <c r="AF43" i="7" s="1"/>
  <c r="AG40" i="7"/>
  <c r="AO40" i="7" s="1"/>
  <c r="AH40" i="7"/>
  <c r="AI40" i="7"/>
  <c r="AM40" i="7" s="1"/>
  <c r="AL40" i="7"/>
  <c r="AP40" i="7"/>
  <c r="E41" i="7"/>
  <c r="F41" i="7"/>
  <c r="G41" i="7"/>
  <c r="H41" i="7"/>
  <c r="I41" i="7"/>
  <c r="J41" i="7"/>
  <c r="J43" i="7" s="1"/>
  <c r="K41" i="7"/>
  <c r="L41" i="7"/>
  <c r="M41" i="7"/>
  <c r="N41" i="7"/>
  <c r="O41" i="7"/>
  <c r="P41" i="7"/>
  <c r="AK41" i="7" s="1"/>
  <c r="Q41" i="7"/>
  <c r="R41" i="7"/>
  <c r="R43" i="7" s="1"/>
  <c r="S41" i="7"/>
  <c r="T41" i="7"/>
  <c r="U41" i="7"/>
  <c r="V41" i="7"/>
  <c r="W41" i="7"/>
  <c r="X41" i="7"/>
  <c r="Y41" i="7"/>
  <c r="Z41" i="7"/>
  <c r="Z43" i="7" s="1"/>
  <c r="AA41" i="7"/>
  <c r="AB41" i="7"/>
  <c r="AC41" i="7"/>
  <c r="AD41" i="7"/>
  <c r="AE41" i="7"/>
  <c r="AF41" i="7"/>
  <c r="AG41" i="7"/>
  <c r="AH41" i="7"/>
  <c r="AH43" i="7" s="1"/>
  <c r="AI41" i="7"/>
  <c r="AM41" i="7" s="1"/>
  <c r="AL41" i="7"/>
  <c r="AR41" i="7"/>
  <c r="E42" i="7"/>
  <c r="F42" i="7"/>
  <c r="G42" i="7"/>
  <c r="H42" i="7"/>
  <c r="I42" i="7"/>
  <c r="I43" i="7" s="1"/>
  <c r="I47" i="7" s="1"/>
  <c r="J42" i="7"/>
  <c r="K42" i="7"/>
  <c r="L42" i="7"/>
  <c r="L43" i="7" s="1"/>
  <c r="L47" i="7" s="1"/>
  <c r="M42" i="7"/>
  <c r="N42" i="7"/>
  <c r="O42" i="7"/>
  <c r="P42" i="7"/>
  <c r="Q42" i="7"/>
  <c r="Q43" i="7" s="1"/>
  <c r="Q47" i="7" s="1"/>
  <c r="Q83" i="7" s="1"/>
  <c r="R42" i="7"/>
  <c r="S42" i="7"/>
  <c r="T42" i="7"/>
  <c r="T43" i="7" s="1"/>
  <c r="U42" i="7"/>
  <c r="V42" i="7"/>
  <c r="W42" i="7"/>
  <c r="X42" i="7"/>
  <c r="Y42" i="7"/>
  <c r="Z42" i="7"/>
  <c r="AA42" i="7"/>
  <c r="AB42" i="7"/>
  <c r="AC42" i="7"/>
  <c r="AD42" i="7"/>
  <c r="AE42" i="7"/>
  <c r="AP42" i="7" s="1"/>
  <c r="AF42" i="7"/>
  <c r="AG42" i="7"/>
  <c r="AO42" i="7" s="1"/>
  <c r="AH42" i="7"/>
  <c r="AI42" i="7"/>
  <c r="AM42" i="7" s="1"/>
  <c r="AK42" i="7"/>
  <c r="F43" i="7"/>
  <c r="K43" i="7"/>
  <c r="N43" i="7"/>
  <c r="S43" i="7"/>
  <c r="V43" i="7"/>
  <c r="AA43" i="7"/>
  <c r="AD43" i="7"/>
  <c r="AG43" i="7"/>
  <c r="AI43" i="7"/>
  <c r="AM43" i="7"/>
  <c r="E45" i="7"/>
  <c r="F45" i="7"/>
  <c r="F46" i="7" s="1"/>
  <c r="G45" i="7"/>
  <c r="H45" i="7"/>
  <c r="I45" i="7"/>
  <c r="J45" i="7"/>
  <c r="K45" i="7"/>
  <c r="K46" i="7" s="1"/>
  <c r="L45" i="7"/>
  <c r="M45" i="7"/>
  <c r="N45" i="7"/>
  <c r="N46" i="7" s="1"/>
  <c r="O45" i="7"/>
  <c r="P45" i="7"/>
  <c r="AK45" i="7" s="1"/>
  <c r="AK46" i="7" s="1"/>
  <c r="Q45" i="7"/>
  <c r="R45" i="7"/>
  <c r="S45" i="7"/>
  <c r="S46" i="7" s="1"/>
  <c r="T45" i="7"/>
  <c r="T46" i="7" s="1"/>
  <c r="T47" i="7" s="1"/>
  <c r="T83" i="7" s="1"/>
  <c r="U45" i="7"/>
  <c r="U46" i="7" s="1"/>
  <c r="V45" i="7"/>
  <c r="V46" i="7" s="1"/>
  <c r="W45" i="7"/>
  <c r="X45" i="7"/>
  <c r="Y45" i="7"/>
  <c r="Y46" i="7" s="1"/>
  <c r="Z45" i="7"/>
  <c r="AA45" i="7"/>
  <c r="AB45" i="7"/>
  <c r="AB46" i="7" s="1"/>
  <c r="AC45" i="7"/>
  <c r="AC46" i="7" s="1"/>
  <c r="AD45" i="7"/>
  <c r="AD46" i="7" s="1"/>
  <c r="AE45" i="7"/>
  <c r="AF45" i="7"/>
  <c r="AP45" i="7" s="1"/>
  <c r="AP46" i="7" s="1"/>
  <c r="AG45" i="7"/>
  <c r="AO45" i="7" s="1"/>
  <c r="AO46" i="7" s="1"/>
  <c r="AH45" i="7"/>
  <c r="AI45" i="7"/>
  <c r="AI46" i="7" s="1"/>
  <c r="AL45" i="7"/>
  <c r="AL46" i="7" s="1"/>
  <c r="AM45" i="7"/>
  <c r="AM46" i="7" s="1"/>
  <c r="E46" i="7"/>
  <c r="G46" i="7"/>
  <c r="H46" i="7"/>
  <c r="I46" i="7"/>
  <c r="J46" i="7"/>
  <c r="L46" i="7"/>
  <c r="M46" i="7"/>
  <c r="O46" i="7"/>
  <c r="P46" i="7"/>
  <c r="Q46" i="7"/>
  <c r="R46" i="7"/>
  <c r="W46" i="7"/>
  <c r="X46" i="7"/>
  <c r="Z46" i="7"/>
  <c r="AE46" i="7"/>
  <c r="AF46" i="7"/>
  <c r="AH46" i="7"/>
  <c r="R47" i="7"/>
  <c r="R83" i="7" s="1"/>
  <c r="Z47" i="7"/>
  <c r="AH47" i="7"/>
  <c r="AH83" i="7" s="1"/>
  <c r="E51" i="7"/>
  <c r="F51" i="7"/>
  <c r="H51" i="7"/>
  <c r="H55" i="7" s="1"/>
  <c r="J51" i="7"/>
  <c r="K51" i="7"/>
  <c r="L51" i="7"/>
  <c r="M51" i="7"/>
  <c r="N51" i="7"/>
  <c r="R51" i="7"/>
  <c r="S51" i="7"/>
  <c r="S55" i="7" s="1"/>
  <c r="T51" i="7"/>
  <c r="U51" i="7"/>
  <c r="V51" i="7"/>
  <c r="Z51" i="7"/>
  <c r="AA51" i="7"/>
  <c r="AB51" i="7"/>
  <c r="AC51" i="7"/>
  <c r="AD51" i="7"/>
  <c r="AH51" i="7"/>
  <c r="AL51" i="7"/>
  <c r="AK52" i="7"/>
  <c r="AL52" i="7"/>
  <c r="AM52" i="7"/>
  <c r="AO52" i="7"/>
  <c r="AP52" i="7"/>
  <c r="AQ52" i="7"/>
  <c r="AR52" i="7"/>
  <c r="AK53" i="7"/>
  <c r="AL53" i="7"/>
  <c r="AM53" i="7"/>
  <c r="AO53" i="7"/>
  <c r="AP53" i="7"/>
  <c r="AQ53" i="7"/>
  <c r="AR53" i="7"/>
  <c r="AK54" i="7"/>
  <c r="AL54" i="7"/>
  <c r="AM54" i="7"/>
  <c r="AO54" i="7"/>
  <c r="AP54" i="7"/>
  <c r="AQ54" i="7"/>
  <c r="AR54" i="7"/>
  <c r="J55" i="7"/>
  <c r="L55" i="7"/>
  <c r="M55" i="7"/>
  <c r="R55" i="7"/>
  <c r="T55" i="7"/>
  <c r="U55" i="7"/>
  <c r="Z55" i="7"/>
  <c r="AA55" i="7"/>
  <c r="AB55" i="7"/>
  <c r="AC55" i="7"/>
  <c r="AH55" i="7"/>
  <c r="AL55" i="7"/>
  <c r="AK59" i="7"/>
  <c r="AL59" i="7"/>
  <c r="AM59" i="7"/>
  <c r="AO59" i="7"/>
  <c r="AP59" i="7"/>
  <c r="AQ59" i="7"/>
  <c r="AR59" i="7"/>
  <c r="AK60" i="7"/>
  <c r="AL60" i="7"/>
  <c r="AM60" i="7"/>
  <c r="AO60" i="7"/>
  <c r="AP60" i="7"/>
  <c r="AQ60" i="7"/>
  <c r="AQ72" i="7" s="1"/>
  <c r="AR60" i="7"/>
  <c r="AK61" i="7"/>
  <c r="AL61" i="7"/>
  <c r="AM61" i="7"/>
  <c r="AO61" i="7"/>
  <c r="AO72" i="7" s="1"/>
  <c r="AP61" i="7"/>
  <c r="AQ61" i="7"/>
  <c r="AR61" i="7"/>
  <c r="AR72" i="7" s="1"/>
  <c r="AK62" i="7"/>
  <c r="AL62" i="7"/>
  <c r="AM62" i="7"/>
  <c r="AO62" i="7"/>
  <c r="AP62" i="7"/>
  <c r="AQ62" i="7"/>
  <c r="AR62" i="7"/>
  <c r="AK63" i="7"/>
  <c r="AL63" i="7"/>
  <c r="AM63" i="7"/>
  <c r="AO63" i="7"/>
  <c r="AP63" i="7"/>
  <c r="AQ63" i="7"/>
  <c r="AR63" i="7"/>
  <c r="AK64" i="7"/>
  <c r="AL64" i="7"/>
  <c r="AM64" i="7"/>
  <c r="AO64" i="7"/>
  <c r="AP64" i="7"/>
  <c r="AQ64" i="7"/>
  <c r="AR64" i="7"/>
  <c r="AK67" i="7"/>
  <c r="AL67" i="7"/>
  <c r="AM67" i="7"/>
  <c r="AO67" i="7"/>
  <c r="AP67" i="7"/>
  <c r="AQ67" i="7"/>
  <c r="AR67" i="7"/>
  <c r="AK68" i="7"/>
  <c r="AK72" i="7" s="1"/>
  <c r="AL68" i="7"/>
  <c r="AM68" i="7"/>
  <c r="AO68" i="7"/>
  <c r="AP68" i="7"/>
  <c r="AQ68" i="7"/>
  <c r="AR68" i="7"/>
  <c r="AK69" i="7"/>
  <c r="AL69" i="7"/>
  <c r="AM69" i="7"/>
  <c r="AO69" i="7"/>
  <c r="AP69" i="7"/>
  <c r="AQ69" i="7"/>
  <c r="AR69" i="7"/>
  <c r="AK70" i="7"/>
  <c r="AL70" i="7"/>
  <c r="AM70" i="7"/>
  <c r="AO70" i="7"/>
  <c r="AP70" i="7"/>
  <c r="AQ70" i="7"/>
  <c r="AR70" i="7"/>
  <c r="AK71" i="7"/>
  <c r="AL71" i="7"/>
  <c r="AM71" i="7"/>
  <c r="AO71" i="7"/>
  <c r="AP71" i="7"/>
  <c r="AQ71" i="7"/>
  <c r="AR71" i="7"/>
  <c r="E72" i="7"/>
  <c r="F72" i="7"/>
  <c r="G72" i="7"/>
  <c r="H72" i="7"/>
  <c r="I72" i="7"/>
  <c r="J72" i="7"/>
  <c r="K72" i="7"/>
  <c r="L72" i="7"/>
  <c r="M72" i="7"/>
  <c r="N72" i="7"/>
  <c r="O72" i="7"/>
  <c r="P72" i="7"/>
  <c r="Q72" i="7"/>
  <c r="R72" i="7"/>
  <c r="S72" i="7"/>
  <c r="T72" i="7"/>
  <c r="U72" i="7"/>
  <c r="V72" i="7"/>
  <c r="W72" i="7"/>
  <c r="X72" i="7"/>
  <c r="Y72" i="7"/>
  <c r="Z72" i="7"/>
  <c r="AA72" i="7"/>
  <c r="AB72" i="7"/>
  <c r="AC72" i="7"/>
  <c r="AD72" i="7"/>
  <c r="AE72" i="7"/>
  <c r="AF72" i="7"/>
  <c r="AG72" i="7"/>
  <c r="AH72" i="7"/>
  <c r="AI72" i="7"/>
  <c r="AK77" i="7"/>
  <c r="AL77" i="7"/>
  <c r="AM77" i="7"/>
  <c r="AO77" i="7"/>
  <c r="AP77" i="7"/>
  <c r="AQ77" i="7"/>
  <c r="AR77" i="7"/>
  <c r="J82" i="7"/>
  <c r="Z82" i="7"/>
  <c r="S83" i="7"/>
  <c r="Z83" i="7"/>
  <c r="C7" i="5"/>
  <c r="C8" i="5"/>
  <c r="E8" i="5"/>
  <c r="F8" i="5"/>
  <c r="G8" i="5"/>
  <c r="H8" i="5"/>
  <c r="I8" i="5"/>
  <c r="J8" i="5"/>
  <c r="K8" i="5"/>
  <c r="L8" i="5"/>
  <c r="M8" i="5"/>
  <c r="N8" i="5"/>
  <c r="O8" i="5"/>
  <c r="P8" i="5"/>
  <c r="Q8" i="5"/>
  <c r="R8" i="5"/>
  <c r="S8" i="5"/>
  <c r="T8" i="5"/>
  <c r="U8" i="5"/>
  <c r="V8" i="5"/>
  <c r="W8" i="5"/>
  <c r="X8" i="5"/>
  <c r="Y8" i="5"/>
  <c r="Z8" i="5"/>
  <c r="AA8" i="5"/>
  <c r="AB8" i="5"/>
  <c r="AC8" i="5"/>
  <c r="AD8" i="5"/>
  <c r="AE8" i="5"/>
  <c r="AF8" i="5"/>
  <c r="AG8" i="5"/>
  <c r="AH8" i="5"/>
  <c r="AI8" i="5"/>
  <c r="AM7" i="5" s="1"/>
  <c r="AK8" i="5"/>
  <c r="AL8" i="5"/>
  <c r="AM8" i="5"/>
  <c r="E10" i="5"/>
  <c r="F10" i="5"/>
  <c r="G10" i="5"/>
  <c r="H10" i="5"/>
  <c r="I10" i="5"/>
  <c r="J10" i="5"/>
  <c r="K10" i="5"/>
  <c r="L10" i="5"/>
  <c r="M10" i="5"/>
  <c r="N10" i="5"/>
  <c r="O10" i="5"/>
  <c r="P10" i="5"/>
  <c r="Q10" i="5"/>
  <c r="R10" i="5"/>
  <c r="S10" i="5"/>
  <c r="T10" i="5"/>
  <c r="U10" i="5"/>
  <c r="AL10" i="5" s="1"/>
  <c r="V10" i="5"/>
  <c r="W10" i="5"/>
  <c r="X10" i="5"/>
  <c r="Y10" i="5"/>
  <c r="Z10" i="5"/>
  <c r="AA10" i="5"/>
  <c r="AB10" i="5"/>
  <c r="AC10" i="5"/>
  <c r="AD10" i="5"/>
  <c r="AE10" i="5"/>
  <c r="AF10" i="5"/>
  <c r="AG10" i="5"/>
  <c r="AH10" i="5"/>
  <c r="AI10" i="5"/>
  <c r="E11" i="5"/>
  <c r="F11" i="5"/>
  <c r="G11" i="5"/>
  <c r="I11" i="5"/>
  <c r="J11" i="5"/>
  <c r="K11" i="5"/>
  <c r="L11" i="5"/>
  <c r="M11" i="5"/>
  <c r="N11" i="5"/>
  <c r="O11" i="5"/>
  <c r="Q11" i="5"/>
  <c r="R11" i="5"/>
  <c r="S11" i="5"/>
  <c r="U11" i="5"/>
  <c r="V11" i="5"/>
  <c r="W11" i="5"/>
  <c r="Y11" i="5"/>
  <c r="Z11" i="5"/>
  <c r="AA11" i="5"/>
  <c r="AE11" i="5"/>
  <c r="AG11" i="5"/>
  <c r="AH11" i="5"/>
  <c r="E12" i="5"/>
  <c r="F12" i="5"/>
  <c r="G12" i="5"/>
  <c r="H12" i="5"/>
  <c r="I12" i="5"/>
  <c r="J12" i="5"/>
  <c r="L12" i="5"/>
  <c r="M12" i="5"/>
  <c r="N12" i="5"/>
  <c r="O12" i="5"/>
  <c r="P12" i="5"/>
  <c r="R12" i="5"/>
  <c r="T12" i="5"/>
  <c r="U12" i="5"/>
  <c r="V12" i="5"/>
  <c r="W12" i="5"/>
  <c r="Y12" i="5"/>
  <c r="Z12" i="5"/>
  <c r="AB12" i="5"/>
  <c r="AC12" i="5"/>
  <c r="AD12" i="5"/>
  <c r="AE12" i="5"/>
  <c r="AF12" i="5"/>
  <c r="AG12" i="5"/>
  <c r="AH12" i="5"/>
  <c r="AI12" i="5"/>
  <c r="AK16" i="5"/>
  <c r="AK21" i="5" s="1"/>
  <c r="AL16" i="5"/>
  <c r="AM16" i="5"/>
  <c r="AK17" i="5"/>
  <c r="AL17" i="5"/>
  <c r="AL21" i="5" s="1"/>
  <c r="AM17" i="5"/>
  <c r="AM21" i="5" s="1"/>
  <c r="AK18" i="5"/>
  <c r="AL18" i="5"/>
  <c r="AM18" i="5"/>
  <c r="AK19" i="5"/>
  <c r="AL19" i="5"/>
  <c r="AM19" i="5"/>
  <c r="AK20" i="5"/>
  <c r="AL20" i="5"/>
  <c r="AM20" i="5"/>
  <c r="E21" i="5"/>
  <c r="F21" i="5"/>
  <c r="G21" i="5"/>
  <c r="H21" i="5"/>
  <c r="I21" i="5"/>
  <c r="J21" i="5"/>
  <c r="K21" i="5"/>
  <c r="L21" i="5"/>
  <c r="M21" i="5"/>
  <c r="N21" i="5"/>
  <c r="O21" i="5"/>
  <c r="P21" i="5"/>
  <c r="Q21" i="5"/>
  <c r="R21" i="5"/>
  <c r="S21" i="5"/>
  <c r="T21" i="5"/>
  <c r="U21" i="5"/>
  <c r="V21" i="5"/>
  <c r="W21" i="5"/>
  <c r="X21" i="5"/>
  <c r="Y21" i="5"/>
  <c r="Z21" i="5"/>
  <c r="AA21" i="5"/>
  <c r="AB21" i="5"/>
  <c r="AC21" i="5"/>
  <c r="AD21" i="5"/>
  <c r="AE21" i="5"/>
  <c r="AF21" i="5"/>
  <c r="AG21" i="5"/>
  <c r="AH21" i="5"/>
  <c r="AI21" i="5"/>
  <c r="AK25" i="5"/>
  <c r="AL25" i="5"/>
  <c r="AM25" i="5"/>
  <c r="AM41" i="5" s="1"/>
  <c r="AK26" i="5"/>
  <c r="AL26" i="5"/>
  <c r="AM26" i="5"/>
  <c r="AK27" i="5"/>
  <c r="AL27" i="5"/>
  <c r="AM27" i="5"/>
  <c r="AK28" i="5"/>
  <c r="AL28" i="5"/>
  <c r="AM28" i="5"/>
  <c r="AK29" i="5"/>
  <c r="AL29" i="5"/>
  <c r="AM29" i="5"/>
  <c r="AK32" i="5"/>
  <c r="AL32" i="5"/>
  <c r="AM32" i="5"/>
  <c r="AK33" i="5"/>
  <c r="AL33" i="5"/>
  <c r="AM33" i="5"/>
  <c r="AK34" i="5"/>
  <c r="AL34" i="5"/>
  <c r="AM34" i="5"/>
  <c r="AK35" i="5"/>
  <c r="AL35" i="5"/>
  <c r="AM35" i="5"/>
  <c r="AK36" i="5"/>
  <c r="AL36" i="5"/>
  <c r="AM36" i="5"/>
  <c r="AK37" i="5"/>
  <c r="AL37" i="5"/>
  <c r="AM37" i="5"/>
  <c r="AK38" i="5"/>
  <c r="AL38" i="5"/>
  <c r="AM38" i="5"/>
  <c r="AK39" i="5"/>
  <c r="AL39" i="5"/>
  <c r="AM39" i="5"/>
  <c r="AK40" i="5"/>
  <c r="AL40" i="5"/>
  <c r="AM40" i="5"/>
  <c r="E41" i="5"/>
  <c r="F41" i="5"/>
  <c r="G41" i="5"/>
  <c r="H41" i="5"/>
  <c r="I41" i="5"/>
  <c r="J41" i="5"/>
  <c r="K41" i="5"/>
  <c r="L41" i="5"/>
  <c r="M41" i="5"/>
  <c r="N41" i="5"/>
  <c r="O41" i="5"/>
  <c r="P41" i="5"/>
  <c r="Q41" i="5"/>
  <c r="R41" i="5"/>
  <c r="S41" i="5"/>
  <c r="T41" i="5"/>
  <c r="U41" i="5"/>
  <c r="V41" i="5"/>
  <c r="W41" i="5"/>
  <c r="X41" i="5"/>
  <c r="Y41" i="5"/>
  <c r="Z41" i="5"/>
  <c r="AA41" i="5"/>
  <c r="AB41" i="5"/>
  <c r="AC41" i="5"/>
  <c r="AD41" i="5"/>
  <c r="AE41" i="5"/>
  <c r="AF41" i="5"/>
  <c r="AG41" i="5"/>
  <c r="AH41" i="5"/>
  <c r="AI41" i="5"/>
  <c r="AK47" i="5"/>
  <c r="AL47" i="5"/>
  <c r="AM47" i="5"/>
  <c r="AM50" i="5" s="1"/>
  <c r="AK48" i="5"/>
  <c r="AK50" i="5" s="1"/>
  <c r="AL48" i="5"/>
  <c r="AM48" i="5"/>
  <c r="AK49" i="5"/>
  <c r="AL49" i="5"/>
  <c r="AL50" i="5" s="1"/>
  <c r="AM49" i="5"/>
  <c r="E50" i="5"/>
  <c r="F50" i="5"/>
  <c r="G50" i="5"/>
  <c r="H50" i="5"/>
  <c r="I50" i="5"/>
  <c r="J50" i="5"/>
  <c r="K50" i="5"/>
  <c r="L50" i="5"/>
  <c r="M50" i="5"/>
  <c r="N50" i="5"/>
  <c r="O50" i="5"/>
  <c r="P50" i="5"/>
  <c r="Q50" i="5"/>
  <c r="R50" i="5"/>
  <c r="S50" i="5"/>
  <c r="T50" i="5"/>
  <c r="U50" i="5"/>
  <c r="V50" i="5"/>
  <c r="W50" i="5"/>
  <c r="X50" i="5"/>
  <c r="Y50" i="5"/>
  <c r="Z50" i="5"/>
  <c r="AA50" i="5"/>
  <c r="AB50" i="5"/>
  <c r="AC50" i="5"/>
  <c r="AD50" i="5"/>
  <c r="AE50" i="5"/>
  <c r="AF50" i="5"/>
  <c r="AG50" i="5"/>
  <c r="AH50" i="5"/>
  <c r="AI50" i="5"/>
  <c r="C7" i="3"/>
  <c r="C8" i="3"/>
  <c r="E8" i="3"/>
  <c r="U8" i="3" s="1"/>
  <c r="F8" i="3"/>
  <c r="N8" i="3" s="1"/>
  <c r="G8" i="3"/>
  <c r="O8" i="3" s="1"/>
  <c r="I8" i="3"/>
  <c r="M8" i="3"/>
  <c r="Q8" i="3"/>
  <c r="S8" i="3"/>
  <c r="W8" i="3"/>
  <c r="E9" i="3"/>
  <c r="E10" i="3" s="1"/>
  <c r="E13" i="3" s="1"/>
  <c r="I9" i="3"/>
  <c r="J9" i="3"/>
  <c r="J10" i="3" s="1"/>
  <c r="J13" i="3" s="1"/>
  <c r="K9" i="3"/>
  <c r="M9" i="3"/>
  <c r="M10" i="3" s="1"/>
  <c r="M13" i="3" s="1"/>
  <c r="N9" i="3"/>
  <c r="N10" i="3" s="1"/>
  <c r="N13" i="3" s="1"/>
  <c r="O9" i="3"/>
  <c r="O10" i="3" s="1"/>
  <c r="O13" i="3" s="1"/>
  <c r="Q9" i="3"/>
  <c r="R9" i="3"/>
  <c r="R10" i="3" s="1"/>
  <c r="R13" i="3" s="1"/>
  <c r="S9" i="3"/>
  <c r="I10" i="3"/>
  <c r="I13" i="3" s="1"/>
  <c r="K10" i="3"/>
  <c r="K13" i="3" s="1"/>
  <c r="Q10" i="3"/>
  <c r="Q13" i="3" s="1"/>
  <c r="S10" i="3"/>
  <c r="S13" i="3" s="1"/>
  <c r="U12" i="3"/>
  <c r="V12" i="3"/>
  <c r="W12" i="3"/>
  <c r="F15" i="3"/>
  <c r="I15" i="3"/>
  <c r="J15" i="3"/>
  <c r="K15" i="3"/>
  <c r="M15" i="3"/>
  <c r="N15" i="3"/>
  <c r="O15" i="3"/>
  <c r="Q15" i="3"/>
  <c r="R15" i="3"/>
  <c r="S15" i="3"/>
  <c r="I16" i="3"/>
  <c r="J16" i="3"/>
  <c r="K16" i="3"/>
  <c r="M16" i="3"/>
  <c r="N16" i="3"/>
  <c r="O16" i="3"/>
  <c r="Q16" i="3"/>
  <c r="R16" i="3"/>
  <c r="S16" i="3"/>
  <c r="I17" i="3"/>
  <c r="J17" i="3"/>
  <c r="K17" i="3"/>
  <c r="M17" i="3"/>
  <c r="N17" i="3"/>
  <c r="O17" i="3"/>
  <c r="Q17" i="3"/>
  <c r="R17" i="3"/>
  <c r="S17" i="3"/>
  <c r="F18" i="3"/>
  <c r="G18" i="3"/>
  <c r="I18" i="3"/>
  <c r="J18" i="3"/>
  <c r="K18" i="3"/>
  <c r="M18" i="3"/>
  <c r="N18" i="3"/>
  <c r="O18" i="3"/>
  <c r="Q18" i="3"/>
  <c r="R18" i="3"/>
  <c r="S18" i="3"/>
  <c r="E19" i="3"/>
  <c r="I19" i="3"/>
  <c r="J19" i="3"/>
  <c r="K19" i="3"/>
  <c r="K21" i="3" s="1"/>
  <c r="M19" i="3"/>
  <c r="N19" i="3"/>
  <c r="O19" i="3"/>
  <c r="Q19" i="3"/>
  <c r="R19" i="3"/>
  <c r="S19" i="3"/>
  <c r="E20" i="3"/>
  <c r="F20" i="3"/>
  <c r="I20" i="3"/>
  <c r="U20" i="3" s="1"/>
  <c r="J20" i="3"/>
  <c r="K20" i="3"/>
  <c r="M20" i="3"/>
  <c r="N20" i="3"/>
  <c r="O20" i="3"/>
  <c r="Q20" i="3"/>
  <c r="R20" i="3"/>
  <c r="S20" i="3"/>
  <c r="M24" i="3"/>
  <c r="N24" i="3"/>
  <c r="O24" i="3"/>
  <c r="Q24" i="3"/>
  <c r="R24" i="3"/>
  <c r="S24" i="3"/>
  <c r="M25" i="3"/>
  <c r="N25" i="3"/>
  <c r="O25" i="3"/>
  <c r="Q25" i="3"/>
  <c r="R25" i="3"/>
  <c r="S25" i="3"/>
  <c r="E26" i="3"/>
  <c r="G26" i="3"/>
  <c r="I26" i="3"/>
  <c r="J26" i="3"/>
  <c r="K26" i="3"/>
  <c r="M26" i="3"/>
  <c r="N26" i="3"/>
  <c r="O26" i="3"/>
  <c r="Q26" i="3"/>
  <c r="R26" i="3"/>
  <c r="S26" i="3"/>
  <c r="R27" i="3"/>
  <c r="C7" i="2"/>
  <c r="AM7" i="2"/>
  <c r="C8" i="2"/>
  <c r="AO8" i="2"/>
  <c r="AP8" i="2"/>
  <c r="AQ8" i="2"/>
  <c r="E9" i="2"/>
  <c r="E10" i="2" s="1"/>
  <c r="E15" i="2" s="1"/>
  <c r="E32" i="2" s="1"/>
  <c r="F9" i="2"/>
  <c r="F10" i="2" s="1"/>
  <c r="G9" i="2"/>
  <c r="H9" i="2"/>
  <c r="H10" i="2" s="1"/>
  <c r="I9" i="2"/>
  <c r="I10" i="2" s="1"/>
  <c r="J9" i="2"/>
  <c r="K9" i="2"/>
  <c r="L9" i="2"/>
  <c r="L10" i="2" s="1"/>
  <c r="M9" i="2"/>
  <c r="M10" i="2" s="1"/>
  <c r="N9" i="2"/>
  <c r="N10" i="2" s="1"/>
  <c r="O9" i="2"/>
  <c r="O10" i="2" s="1"/>
  <c r="P9" i="2"/>
  <c r="P10" i="2" s="1"/>
  <c r="Q9" i="2"/>
  <c r="R9" i="2"/>
  <c r="S9" i="2"/>
  <c r="T9" i="2"/>
  <c r="T10" i="2" s="1"/>
  <c r="U9" i="2"/>
  <c r="U10" i="2" s="1"/>
  <c r="U12" i="2" s="1"/>
  <c r="V9" i="2"/>
  <c r="V10" i="2" s="1"/>
  <c r="W9" i="2"/>
  <c r="W10" i="2" s="1"/>
  <c r="X9" i="2"/>
  <c r="X10" i="2" s="1"/>
  <c r="Y9" i="2"/>
  <c r="Y10" i="2" s="1"/>
  <c r="Z9" i="2"/>
  <c r="AA9" i="2"/>
  <c r="AB9" i="2"/>
  <c r="AB10" i="2" s="1"/>
  <c r="AC9" i="2"/>
  <c r="AC10" i="2" s="1"/>
  <c r="AC15" i="2" s="1"/>
  <c r="AC32" i="2" s="1"/>
  <c r="AD9" i="2"/>
  <c r="AD10" i="2" s="1"/>
  <c r="AE9" i="2"/>
  <c r="AE10" i="2" s="1"/>
  <c r="AE87" i="7" s="1"/>
  <c r="AF9" i="2"/>
  <c r="AF10" i="2" s="1"/>
  <c r="AG9" i="2"/>
  <c r="AG10" i="2" s="1"/>
  <c r="AH9" i="2"/>
  <c r="AI9" i="2"/>
  <c r="AI10" i="2" s="1"/>
  <c r="J10" i="2"/>
  <c r="K10" i="2"/>
  <c r="R10" i="2"/>
  <c r="S10" i="2"/>
  <c r="S15" i="2" s="1"/>
  <c r="S32" i="2" s="1"/>
  <c r="Z10" i="2"/>
  <c r="AA10" i="2"/>
  <c r="AA12" i="2" s="1"/>
  <c r="AH10" i="2"/>
  <c r="AK14" i="2"/>
  <c r="AL14" i="2"/>
  <c r="AM14" i="2"/>
  <c r="K15" i="2"/>
  <c r="E17" i="2"/>
  <c r="F17" i="2"/>
  <c r="G17" i="2"/>
  <c r="H17" i="2"/>
  <c r="I17" i="2"/>
  <c r="J17" i="2"/>
  <c r="K17" i="2"/>
  <c r="L17" i="2"/>
  <c r="M17" i="2"/>
  <c r="N17" i="2"/>
  <c r="O17" i="2"/>
  <c r="P17" i="2"/>
  <c r="Q17" i="2"/>
  <c r="R17" i="2"/>
  <c r="S17" i="2"/>
  <c r="T17" i="2"/>
  <c r="U17" i="2"/>
  <c r="V17" i="2"/>
  <c r="W17" i="2"/>
  <c r="W23" i="2" s="1"/>
  <c r="X17" i="2"/>
  <c r="Y17" i="2"/>
  <c r="Z17" i="2"/>
  <c r="AA17" i="2"/>
  <c r="AB17" i="2"/>
  <c r="AC17" i="2"/>
  <c r="AD17" i="2"/>
  <c r="AE17" i="2"/>
  <c r="AF17" i="2"/>
  <c r="AG17" i="2"/>
  <c r="AH17" i="2"/>
  <c r="AI17" i="2"/>
  <c r="E18" i="2"/>
  <c r="F18" i="2"/>
  <c r="G18" i="2"/>
  <c r="H18" i="2"/>
  <c r="I18" i="2"/>
  <c r="J18" i="2"/>
  <c r="K18" i="2"/>
  <c r="L18" i="2"/>
  <c r="M18" i="2"/>
  <c r="N18" i="2"/>
  <c r="O18" i="2"/>
  <c r="P18" i="2"/>
  <c r="Q18" i="2"/>
  <c r="R18" i="2"/>
  <c r="S18" i="2"/>
  <c r="T18" i="2"/>
  <c r="U18" i="2"/>
  <c r="V18" i="2"/>
  <c r="W18" i="2"/>
  <c r="X18" i="2"/>
  <c r="Y18" i="2"/>
  <c r="Z18" i="2"/>
  <c r="AA18" i="2"/>
  <c r="AB18" i="2"/>
  <c r="AC18" i="2"/>
  <c r="AD18" i="2"/>
  <c r="AE18" i="2"/>
  <c r="AF18" i="2"/>
  <c r="AG18" i="2"/>
  <c r="AH18" i="2"/>
  <c r="AI18" i="2"/>
  <c r="E19" i="2"/>
  <c r="F19" i="2"/>
  <c r="G19" i="2"/>
  <c r="H19" i="2"/>
  <c r="I19" i="2"/>
  <c r="J19" i="2"/>
  <c r="K19" i="2"/>
  <c r="L19" i="2"/>
  <c r="M19" i="2"/>
  <c r="N19" i="2"/>
  <c r="O19" i="2"/>
  <c r="P19" i="2"/>
  <c r="Q19" i="2"/>
  <c r="R19" i="2"/>
  <c r="S19" i="2"/>
  <c r="T19" i="2"/>
  <c r="U19" i="2"/>
  <c r="V19" i="2"/>
  <c r="W19" i="2"/>
  <c r="X19" i="2"/>
  <c r="Y19" i="2"/>
  <c r="Z19" i="2"/>
  <c r="AA19" i="2"/>
  <c r="AB19" i="2"/>
  <c r="AC19" i="2"/>
  <c r="AD19" i="2"/>
  <c r="AE19" i="2"/>
  <c r="AF19" i="2"/>
  <c r="AG19" i="2"/>
  <c r="AH19" i="2"/>
  <c r="AI19" i="2"/>
  <c r="E20" i="2"/>
  <c r="F20" i="2"/>
  <c r="G20" i="2"/>
  <c r="H20" i="2"/>
  <c r="I20" i="2"/>
  <c r="J20" i="2"/>
  <c r="K20" i="2"/>
  <c r="L20" i="2"/>
  <c r="M20" i="2"/>
  <c r="N20" i="2"/>
  <c r="O20" i="2"/>
  <c r="P20" i="2"/>
  <c r="Q20" i="2"/>
  <c r="R20" i="2"/>
  <c r="R23" i="2" s="1"/>
  <c r="S20" i="2"/>
  <c r="T20" i="2"/>
  <c r="U20" i="2"/>
  <c r="V20" i="2"/>
  <c r="W20" i="2"/>
  <c r="X20" i="2"/>
  <c r="Y20" i="2"/>
  <c r="Z20" i="2"/>
  <c r="AA20" i="2"/>
  <c r="AB20" i="2"/>
  <c r="AC20" i="2"/>
  <c r="AD20" i="2"/>
  <c r="AE20" i="2"/>
  <c r="AF20" i="2"/>
  <c r="AG20" i="2"/>
  <c r="AH20" i="2"/>
  <c r="AI20" i="2"/>
  <c r="E21" i="2"/>
  <c r="F21" i="2"/>
  <c r="G21" i="2"/>
  <c r="H21" i="2"/>
  <c r="I21" i="2"/>
  <c r="J21" i="2"/>
  <c r="K21" i="2"/>
  <c r="L21" i="2"/>
  <c r="M21" i="2"/>
  <c r="N21" i="2"/>
  <c r="O21" i="2"/>
  <c r="P21" i="2"/>
  <c r="Q21" i="2"/>
  <c r="R21" i="2"/>
  <c r="S21" i="2"/>
  <c r="T21" i="2"/>
  <c r="U21" i="2"/>
  <c r="V21" i="2"/>
  <c r="W21" i="2"/>
  <c r="X21" i="2"/>
  <c r="Y21" i="2"/>
  <c r="Z21" i="2"/>
  <c r="AA21" i="2"/>
  <c r="AB21" i="2"/>
  <c r="AC21" i="2"/>
  <c r="AD21" i="2"/>
  <c r="AE21" i="2"/>
  <c r="AF21" i="2"/>
  <c r="AG21" i="2"/>
  <c r="AH21" i="2"/>
  <c r="AI21" i="2"/>
  <c r="E22" i="2"/>
  <c r="F22" i="2"/>
  <c r="G22" i="2"/>
  <c r="H22" i="2"/>
  <c r="I22" i="2"/>
  <c r="J22" i="2"/>
  <c r="K22" i="2"/>
  <c r="L22" i="2"/>
  <c r="M22" i="2"/>
  <c r="N22" i="2"/>
  <c r="O22" i="2"/>
  <c r="P22" i="2"/>
  <c r="Q22" i="2"/>
  <c r="R22" i="2"/>
  <c r="S22" i="2"/>
  <c r="T22" i="2"/>
  <c r="U22" i="2"/>
  <c r="V22" i="2"/>
  <c r="W22" i="2"/>
  <c r="X22" i="2"/>
  <c r="Y22" i="2"/>
  <c r="Z22" i="2"/>
  <c r="AA22" i="2"/>
  <c r="AB22" i="2"/>
  <c r="AC22" i="2"/>
  <c r="AD22" i="2"/>
  <c r="AE22" i="2"/>
  <c r="AF22" i="2"/>
  <c r="AG22" i="2"/>
  <c r="AH22" i="2"/>
  <c r="AI22" i="2"/>
  <c r="J23" i="2"/>
  <c r="E28" i="2"/>
  <c r="F28" i="2"/>
  <c r="G28" i="2"/>
  <c r="H28" i="2"/>
  <c r="I28" i="2"/>
  <c r="J28" i="2"/>
  <c r="AK28" i="2" s="1"/>
  <c r="K28" i="2"/>
  <c r="L28" i="2"/>
  <c r="M28" i="2"/>
  <c r="N28" i="2"/>
  <c r="O28" i="2"/>
  <c r="P28" i="2"/>
  <c r="Q28" i="2"/>
  <c r="R28" i="2"/>
  <c r="S28" i="2"/>
  <c r="T28" i="2"/>
  <c r="U28" i="2"/>
  <c r="V28" i="2"/>
  <c r="W28" i="2"/>
  <c r="X28" i="2"/>
  <c r="Y28" i="2"/>
  <c r="Z28" i="2"/>
  <c r="AA28" i="2"/>
  <c r="AB28" i="2"/>
  <c r="AC28" i="2"/>
  <c r="AD28" i="2"/>
  <c r="AE28" i="2"/>
  <c r="AF28" i="2"/>
  <c r="AG28" i="2"/>
  <c r="AH28" i="2"/>
  <c r="AI28" i="2"/>
  <c r="K32" i="2"/>
  <c r="M15" i="2" l="1"/>
  <c r="M32" i="2" s="1"/>
  <c r="Y12" i="2"/>
  <c r="AI12" i="2"/>
  <c r="AI15" i="2"/>
  <c r="AI32" i="2" s="1"/>
  <c r="AF60" i="21"/>
  <c r="AF58" i="21"/>
  <c r="N57" i="8"/>
  <c r="N15" i="2"/>
  <c r="N32" i="2" s="1"/>
  <c r="F57" i="8"/>
  <c r="F15" i="2"/>
  <c r="F32" i="2" s="1"/>
  <c r="AJ15" i="21"/>
  <c r="AO12" i="21"/>
  <c r="AN12" i="21"/>
  <c r="AM12" i="21"/>
  <c r="X23" i="2"/>
  <c r="P23" i="2"/>
  <c r="P58" i="8" s="1"/>
  <c r="AE23" i="2"/>
  <c r="AE59" i="8" s="1"/>
  <c r="O23" i="2"/>
  <c r="O59" i="8" s="1"/>
  <c r="G23" i="2"/>
  <c r="S27" i="3"/>
  <c r="O21" i="3"/>
  <c r="O22" i="3" s="1"/>
  <c r="P58" i="21"/>
  <c r="AN13" i="21"/>
  <c r="AM13" i="21"/>
  <c r="U9" i="3"/>
  <c r="U10" i="3" s="1"/>
  <c r="U13" i="3" s="1"/>
  <c r="W26" i="3"/>
  <c r="AD15" i="21"/>
  <c r="AN11" i="21"/>
  <c r="AN15" i="21" s="1"/>
  <c r="AN60" i="21" s="1"/>
  <c r="N15" i="21"/>
  <c r="N60" i="21" s="1"/>
  <c r="AN77" i="21"/>
  <c r="AN98" i="21" s="1"/>
  <c r="AO77" i="21"/>
  <c r="AO98" i="21" s="1"/>
  <c r="V87" i="7"/>
  <c r="V15" i="2"/>
  <c r="V32" i="2" s="1"/>
  <c r="AH58" i="21"/>
  <c r="AH60" i="21"/>
  <c r="R58" i="21"/>
  <c r="R60" i="21"/>
  <c r="AD57" i="8"/>
  <c r="AD15" i="2"/>
  <c r="AD32" i="2" s="1"/>
  <c r="AG58" i="21"/>
  <c r="AG60" i="21"/>
  <c r="AM77" i="21"/>
  <c r="AM98" i="21" s="1"/>
  <c r="AD60" i="21"/>
  <c r="AD58" i="21"/>
  <c r="N58" i="21"/>
  <c r="M22" i="3"/>
  <c r="AJ58" i="21"/>
  <c r="AJ60" i="21"/>
  <c r="AM20" i="2"/>
  <c r="M21" i="3"/>
  <c r="AK60" i="21"/>
  <c r="AC60" i="21"/>
  <c r="U60" i="21"/>
  <c r="M60" i="21"/>
  <c r="AE58" i="21"/>
  <c r="W58" i="21"/>
  <c r="O58" i="21"/>
  <c r="G58" i="21"/>
  <c r="AB15" i="21"/>
  <c r="T15" i="21"/>
  <c r="L15" i="21"/>
  <c r="V18" i="3"/>
  <c r="W18" i="3"/>
  <c r="N21" i="3"/>
  <c r="AO13" i="21"/>
  <c r="AM11" i="21"/>
  <c r="AA15" i="2"/>
  <c r="AA32" i="2" s="1"/>
  <c r="Z15" i="21"/>
  <c r="J15" i="21"/>
  <c r="AL22" i="2"/>
  <c r="AK22" i="2"/>
  <c r="U26" i="3"/>
  <c r="F87" i="7"/>
  <c r="AF23" i="2"/>
  <c r="AF58" i="8" s="1"/>
  <c r="H23" i="2"/>
  <c r="H58" i="8" s="1"/>
  <c r="U15" i="2"/>
  <c r="U32" i="2" s="1"/>
  <c r="J21" i="3"/>
  <c r="J22" i="3" s="1"/>
  <c r="AK76" i="21"/>
  <c r="AK77" i="21" s="1"/>
  <c r="AK98" i="21" s="1"/>
  <c r="AK18" i="2"/>
  <c r="AH23" i="2"/>
  <c r="AH59" i="8" s="1"/>
  <c r="Z23" i="2"/>
  <c r="Z58" i="8" s="1"/>
  <c r="O27" i="3"/>
  <c r="Q21" i="3"/>
  <c r="Q22" i="3" s="1"/>
  <c r="AO11" i="21"/>
  <c r="AK21" i="2"/>
  <c r="AC23" i="2"/>
  <c r="AC58" i="8" s="1"/>
  <c r="U23" i="2"/>
  <c r="U58" i="8" s="1"/>
  <c r="M23" i="2"/>
  <c r="M59" i="8" s="1"/>
  <c r="AG12" i="2"/>
  <c r="M27" i="3"/>
  <c r="N27" i="3"/>
  <c r="R21" i="3"/>
  <c r="V15" i="3"/>
  <c r="V15" i="21"/>
  <c r="AF59" i="8"/>
  <c r="H59" i="8"/>
  <c r="W51" i="7"/>
  <c r="U19" i="3"/>
  <c r="S22" i="3"/>
  <c r="S28" i="3" s="1"/>
  <c r="S34" i="3" s="1"/>
  <c r="W47" i="7"/>
  <c r="W83" i="7" s="1"/>
  <c r="AE58" i="8"/>
  <c r="G58" i="8"/>
  <c r="G59" i="8"/>
  <c r="AK20" i="2"/>
  <c r="U24" i="2"/>
  <c r="T57" i="8"/>
  <c r="T87" i="7"/>
  <c r="T15" i="2"/>
  <c r="T12" i="2"/>
  <c r="O51" i="7"/>
  <c r="X58" i="8"/>
  <c r="X59" i="8"/>
  <c r="AL28" i="2"/>
  <c r="L83" i="7"/>
  <c r="L48" i="7"/>
  <c r="L56" i="7" s="1"/>
  <c r="L73" i="7" s="1"/>
  <c r="AG57" i="8"/>
  <c r="AG87" i="7"/>
  <c r="AG15" i="2"/>
  <c r="Y57" i="8"/>
  <c r="Y87" i="7"/>
  <c r="Y15" i="2"/>
  <c r="AL9" i="2"/>
  <c r="I57" i="8"/>
  <c r="I87" i="7"/>
  <c r="I15" i="2"/>
  <c r="Q26" i="7"/>
  <c r="I26" i="7"/>
  <c r="W58" i="8"/>
  <c r="W59" i="8"/>
  <c r="AM19" i="2"/>
  <c r="S23" i="2"/>
  <c r="X57" i="8"/>
  <c r="X87" i="7"/>
  <c r="X15" i="2"/>
  <c r="X12" i="2"/>
  <c r="H87" i="7"/>
  <c r="H57" i="8"/>
  <c r="H15" i="2"/>
  <c r="AM21" i="2"/>
  <c r="AG23" i="2"/>
  <c r="AE57" i="8"/>
  <c r="AE15" i="2"/>
  <c r="AE12" i="2"/>
  <c r="O57" i="8"/>
  <c r="O15" i="2"/>
  <c r="O87" i="7"/>
  <c r="AK9" i="2"/>
  <c r="G10" i="2"/>
  <c r="S12" i="2" s="1"/>
  <c r="K22" i="3"/>
  <c r="N22" i="3"/>
  <c r="E23" i="2"/>
  <c r="AK17" i="2"/>
  <c r="AB57" i="8"/>
  <c r="AB15" i="2"/>
  <c r="AB12" i="2"/>
  <c r="AB87" i="7"/>
  <c r="L57" i="8"/>
  <c r="L15" i="2"/>
  <c r="L87" i="7"/>
  <c r="AL17" i="2"/>
  <c r="R57" i="8"/>
  <c r="R12" i="2"/>
  <c r="AD12" i="2"/>
  <c r="AM28" i="2"/>
  <c r="T23" i="2"/>
  <c r="AL19" i="2"/>
  <c r="AI23" i="2"/>
  <c r="K23" i="2"/>
  <c r="R15" i="2"/>
  <c r="R22" i="3"/>
  <c r="R28" i="3" s="1"/>
  <c r="R34" i="3" s="1"/>
  <c r="R87" i="7"/>
  <c r="AH58" i="8"/>
  <c r="Z59" i="8"/>
  <c r="AF87" i="7"/>
  <c r="AF57" i="8"/>
  <c r="AF15" i="2"/>
  <c r="AF12" i="2"/>
  <c r="P87" i="7"/>
  <c r="P57" i="8"/>
  <c r="P15" i="2"/>
  <c r="Q27" i="3"/>
  <c r="AK10" i="5"/>
  <c r="O58" i="8"/>
  <c r="AM22" i="2"/>
  <c r="AL21" i="2"/>
  <c r="Q23" i="2"/>
  <c r="AM17" i="2"/>
  <c r="Z57" i="8"/>
  <c r="Z12" i="2"/>
  <c r="Z87" i="7"/>
  <c r="J57" i="8"/>
  <c r="J87" i="7"/>
  <c r="V12" i="2"/>
  <c r="W57" i="8"/>
  <c r="W87" i="7"/>
  <c r="W15" i="2"/>
  <c r="W12" i="2"/>
  <c r="Z15" i="2"/>
  <c r="J15" i="2"/>
  <c r="V20" i="3"/>
  <c r="AK41" i="5"/>
  <c r="AH12" i="2"/>
  <c r="AH87" i="7"/>
  <c r="AH57" i="8"/>
  <c r="AB23" i="2"/>
  <c r="L23" i="2"/>
  <c r="AA23" i="2"/>
  <c r="AH15" i="2"/>
  <c r="Y23" i="2"/>
  <c r="I23" i="2"/>
  <c r="AM18" i="2"/>
  <c r="AD23" i="2"/>
  <c r="V23" i="2"/>
  <c r="N23" i="2"/>
  <c r="AK19" i="2"/>
  <c r="S21" i="3"/>
  <c r="I21" i="3"/>
  <c r="I22" i="3" s="1"/>
  <c r="AL41" i="5"/>
  <c r="AQ20" i="7"/>
  <c r="AR20" i="7"/>
  <c r="AG25" i="9"/>
  <c r="AG31" i="9"/>
  <c r="AG55" i="7"/>
  <c r="AF82" i="7"/>
  <c r="AG9" i="8"/>
  <c r="F23" i="2"/>
  <c r="AL20" i="2"/>
  <c r="Q10" i="2"/>
  <c r="AM9" i="2"/>
  <c r="V8" i="3"/>
  <c r="K8" i="3"/>
  <c r="AD87" i="7"/>
  <c r="AA25" i="9"/>
  <c r="AA31" i="9" s="1"/>
  <c r="E25" i="9"/>
  <c r="E31" i="9"/>
  <c r="AQ45" i="7"/>
  <c r="AQ46" i="7" s="1"/>
  <c r="AA46" i="7"/>
  <c r="AO41" i="7"/>
  <c r="AB38" i="7"/>
  <c r="AL37" i="7"/>
  <c r="AL38" i="7" s="1"/>
  <c r="AQ33" i="7"/>
  <c r="AQ35" i="7" s="1"/>
  <c r="AQ47" i="7" s="1"/>
  <c r="AI29" i="7"/>
  <c r="AI47" i="7" s="1"/>
  <c r="E47" i="7"/>
  <c r="E83" i="7" s="1"/>
  <c r="AE31" i="9"/>
  <c r="AE25" i="9"/>
  <c r="AE55" i="7"/>
  <c r="Q31" i="9"/>
  <c r="Q25" i="9"/>
  <c r="Q55" i="7"/>
  <c r="K38" i="8"/>
  <c r="U29" i="8"/>
  <c r="G26" i="9"/>
  <c r="AB43" i="7"/>
  <c r="AL42" i="7"/>
  <c r="AM35" i="7"/>
  <c r="AM47" i="7" s="1"/>
  <c r="G31" i="9"/>
  <c r="G25" i="9"/>
  <c r="G55" i="7"/>
  <c r="E9" i="8"/>
  <c r="E10" i="8" s="1"/>
  <c r="M9" i="8"/>
  <c r="M10" i="8" s="1"/>
  <c r="U9" i="8"/>
  <c r="U10" i="8" s="1"/>
  <c r="AC9" i="8"/>
  <c r="AC10" i="8" s="1"/>
  <c r="N9" i="8"/>
  <c r="N10" i="8" s="1"/>
  <c r="W9" i="8"/>
  <c r="W10" i="8" s="1"/>
  <c r="AF9" i="8"/>
  <c r="AF10" i="8" s="1"/>
  <c r="J12" i="8"/>
  <c r="R12" i="8"/>
  <c r="Z12" i="8"/>
  <c r="AH12" i="8"/>
  <c r="L13" i="8"/>
  <c r="T13" i="8"/>
  <c r="AB13" i="8"/>
  <c r="AL13" i="8" s="1"/>
  <c r="F14" i="8"/>
  <c r="N14" i="8"/>
  <c r="V14" i="8"/>
  <c r="AD14" i="8"/>
  <c r="H15" i="8"/>
  <c r="P15" i="8"/>
  <c r="AK15" i="8" s="1"/>
  <c r="X15" i="8"/>
  <c r="AF15" i="8"/>
  <c r="J16" i="8"/>
  <c r="F9" i="8"/>
  <c r="F10" i="8" s="1"/>
  <c r="O9" i="8"/>
  <c r="O10" i="8" s="1"/>
  <c r="X9" i="8"/>
  <c r="H9" i="8"/>
  <c r="H10" i="8" s="1"/>
  <c r="Q9" i="8"/>
  <c r="Q10" i="8" s="1"/>
  <c r="Z9" i="8"/>
  <c r="Z10" i="8" s="1"/>
  <c r="AI9" i="8"/>
  <c r="E12" i="8"/>
  <c r="M12" i="8"/>
  <c r="U12" i="8"/>
  <c r="AC12" i="8"/>
  <c r="G13" i="8"/>
  <c r="O13" i="8"/>
  <c r="W13" i="8"/>
  <c r="AE13" i="8"/>
  <c r="I14" i="8"/>
  <c r="Q14" i="8"/>
  <c r="Y14" i="8"/>
  <c r="AG14" i="8"/>
  <c r="K15" i="8"/>
  <c r="S15" i="8"/>
  <c r="AA15" i="8"/>
  <c r="AI15" i="8"/>
  <c r="AM15" i="8" s="1"/>
  <c r="E16" i="8"/>
  <c r="I9" i="8"/>
  <c r="I10" i="8" s="1"/>
  <c r="R9" i="8"/>
  <c r="R10" i="8" s="1"/>
  <c r="AA9" i="8"/>
  <c r="F12" i="8"/>
  <c r="N12" i="8"/>
  <c r="V12" i="8"/>
  <c r="AD12" i="8"/>
  <c r="H13" i="8"/>
  <c r="P13" i="8"/>
  <c r="AK13" i="8" s="1"/>
  <c r="X13" i="8"/>
  <c r="AF13" i="8"/>
  <c r="J14" i="8"/>
  <c r="R14" i="8"/>
  <c r="Z14" i="8"/>
  <c r="AH14" i="8"/>
  <c r="L15" i="8"/>
  <c r="T15" i="8"/>
  <c r="AB15" i="8"/>
  <c r="AL15" i="8" s="1"/>
  <c r="F16" i="8"/>
  <c r="N16" i="8"/>
  <c r="J9" i="8"/>
  <c r="J10" i="8" s="1"/>
  <c r="S9" i="8"/>
  <c r="S10" i="8" s="1"/>
  <c r="AB9" i="8"/>
  <c r="G12" i="8"/>
  <c r="O12" i="8"/>
  <c r="W12" i="8"/>
  <c r="AE12" i="8"/>
  <c r="I13" i="8"/>
  <c r="Q13" i="8"/>
  <c r="Y13" i="8"/>
  <c r="AG13" i="8"/>
  <c r="K9" i="8"/>
  <c r="K10" i="8" s="1"/>
  <c r="T9" i="8"/>
  <c r="T10" i="8" s="1"/>
  <c r="AD9" i="8"/>
  <c r="H12" i="8"/>
  <c r="P12" i="8"/>
  <c r="X12" i="8"/>
  <c r="AF12" i="8"/>
  <c r="J13" i="8"/>
  <c r="R13" i="8"/>
  <c r="Z13" i="8"/>
  <c r="AH13" i="8"/>
  <c r="L14" i="8"/>
  <c r="T14" i="8"/>
  <c r="AB14" i="8"/>
  <c r="AL14" i="8" s="1"/>
  <c r="F15" i="8"/>
  <c r="AH9" i="8"/>
  <c r="AH10" i="8" s="1"/>
  <c r="I12" i="8"/>
  <c r="AB12" i="8"/>
  <c r="M13" i="8"/>
  <c r="AI13" i="8"/>
  <c r="AM13" i="8" s="1"/>
  <c r="M14" i="8"/>
  <c r="AC14" i="8"/>
  <c r="G15" i="8"/>
  <c r="U15" i="8"/>
  <c r="AG15" i="8"/>
  <c r="H16" i="8"/>
  <c r="R16" i="8"/>
  <c r="Z16" i="8"/>
  <c r="AH16" i="8"/>
  <c r="L17" i="8"/>
  <c r="T17" i="8"/>
  <c r="AB17" i="8"/>
  <c r="AL17" i="8" s="1"/>
  <c r="H20" i="8"/>
  <c r="H21" i="8" s="1"/>
  <c r="P20" i="8"/>
  <c r="X20" i="8"/>
  <c r="AF20" i="8"/>
  <c r="AF21" i="8" s="1"/>
  <c r="AF64" i="8" s="1"/>
  <c r="F24" i="8"/>
  <c r="F25" i="8" s="1"/>
  <c r="N24" i="8"/>
  <c r="N25" i="8" s="1"/>
  <c r="V24" i="8"/>
  <c r="V25" i="8" s="1"/>
  <c r="AD24" i="8"/>
  <c r="J27" i="8"/>
  <c r="R27" i="8"/>
  <c r="Z27" i="8"/>
  <c r="AH27" i="8"/>
  <c r="L28" i="8"/>
  <c r="T28" i="8"/>
  <c r="AB28" i="8"/>
  <c r="AL28" i="8" s="1"/>
  <c r="F29" i="8"/>
  <c r="N29" i="8"/>
  <c r="V29" i="8"/>
  <c r="AD29" i="8"/>
  <c r="H30" i="8"/>
  <c r="P30" i="8"/>
  <c r="AK30" i="8" s="1"/>
  <c r="X30" i="8"/>
  <c r="AF30" i="8"/>
  <c r="L33" i="8"/>
  <c r="L34" i="8" s="1"/>
  <c r="T33" i="8"/>
  <c r="T34" i="8" s="1"/>
  <c r="AB33" i="8"/>
  <c r="H36" i="8"/>
  <c r="P36" i="8"/>
  <c r="X36" i="8"/>
  <c r="AF36" i="8"/>
  <c r="J37" i="8"/>
  <c r="R37" i="8"/>
  <c r="Z37" i="8"/>
  <c r="AH37" i="8"/>
  <c r="L38" i="8"/>
  <c r="T38" i="8"/>
  <c r="AB38" i="8"/>
  <c r="AL38" i="8" s="1"/>
  <c r="H41" i="8"/>
  <c r="H42" i="8" s="1"/>
  <c r="P41" i="8"/>
  <c r="X41" i="8"/>
  <c r="AF41" i="8"/>
  <c r="AF42" i="8" s="1"/>
  <c r="AF69" i="8" s="1"/>
  <c r="G9" i="8"/>
  <c r="G10" i="8" s="1"/>
  <c r="K12" i="8"/>
  <c r="AG12" i="8"/>
  <c r="N13" i="8"/>
  <c r="O14" i="8"/>
  <c r="AE14" i="8"/>
  <c r="I15" i="8"/>
  <c r="V15" i="8"/>
  <c r="AH15" i="8"/>
  <c r="I16" i="8"/>
  <c r="S16" i="8"/>
  <c r="AA16" i="8"/>
  <c r="AI16" i="8"/>
  <c r="AM16" i="8" s="1"/>
  <c r="E17" i="8"/>
  <c r="M17" i="8"/>
  <c r="U17" i="8"/>
  <c r="AC17" i="8"/>
  <c r="I20" i="8"/>
  <c r="I21" i="8" s="1"/>
  <c r="Q20" i="8"/>
  <c r="Q21" i="8" s="1"/>
  <c r="Y20" i="8"/>
  <c r="Y21" i="8" s="1"/>
  <c r="Y64" i="8" s="1"/>
  <c r="AG20" i="8"/>
  <c r="G24" i="8"/>
  <c r="G25" i="8" s="1"/>
  <c r="O24" i="8"/>
  <c r="O25" i="8" s="1"/>
  <c r="W24" i="8"/>
  <c r="W25" i="8" s="1"/>
  <c r="AE24" i="8"/>
  <c r="AE25" i="8" s="1"/>
  <c r="K27" i="8"/>
  <c r="S27" i="8"/>
  <c r="AA27" i="8"/>
  <c r="AI27" i="8"/>
  <c r="E28" i="8"/>
  <c r="M28" i="8"/>
  <c r="U28" i="8"/>
  <c r="AC28" i="8"/>
  <c r="G29" i="8"/>
  <c r="O29" i="8"/>
  <c r="W29" i="8"/>
  <c r="AE29" i="8"/>
  <c r="I30" i="8"/>
  <c r="Q30" i="8"/>
  <c r="Y30" i="8"/>
  <c r="AG30" i="8"/>
  <c r="E33" i="8"/>
  <c r="E34" i="8" s="1"/>
  <c r="M33" i="8"/>
  <c r="M34" i="8" s="1"/>
  <c r="U33" i="8"/>
  <c r="U34" i="8" s="1"/>
  <c r="AC33" i="8"/>
  <c r="AC34" i="8" s="1"/>
  <c r="AC67" i="8" s="1"/>
  <c r="I36" i="8"/>
  <c r="Q36" i="8"/>
  <c r="Y36" i="8"/>
  <c r="AG36" i="8"/>
  <c r="K37" i="8"/>
  <c r="S37" i="8"/>
  <c r="AA37" i="8"/>
  <c r="AI37" i="8"/>
  <c r="AM37" i="8" s="1"/>
  <c r="E38" i="8"/>
  <c r="M38" i="8"/>
  <c r="U38" i="8"/>
  <c r="AC38" i="8"/>
  <c r="I41" i="8"/>
  <c r="I42" i="8" s="1"/>
  <c r="Q41" i="8"/>
  <c r="Q42" i="8" s="1"/>
  <c r="Y41" i="8"/>
  <c r="Y42" i="8" s="1"/>
  <c r="Y69" i="8" s="1"/>
  <c r="AG41" i="8"/>
  <c r="L9" i="8"/>
  <c r="L10" i="8" s="1"/>
  <c r="L12" i="8"/>
  <c r="AI12" i="8"/>
  <c r="S13" i="8"/>
  <c r="P14" i="8"/>
  <c r="AK14" i="8" s="1"/>
  <c r="AF14" i="8"/>
  <c r="J15" i="8"/>
  <c r="W15" i="8"/>
  <c r="K16" i="8"/>
  <c r="T16" i="8"/>
  <c r="AB16" i="8"/>
  <c r="AL16" i="8" s="1"/>
  <c r="F17" i="8"/>
  <c r="N17" i="8"/>
  <c r="V17" i="8"/>
  <c r="AD17" i="8"/>
  <c r="J20" i="8"/>
  <c r="J21" i="8" s="1"/>
  <c r="R20" i="8"/>
  <c r="R21" i="8" s="1"/>
  <c r="Z20" i="8"/>
  <c r="Z21" i="8" s="1"/>
  <c r="Z64" i="8" s="1"/>
  <c r="AH20" i="8"/>
  <c r="AH21" i="8" s="1"/>
  <c r="AH64" i="8" s="1"/>
  <c r="H24" i="8"/>
  <c r="H25" i="8" s="1"/>
  <c r="P24" i="8"/>
  <c r="X24" i="8"/>
  <c r="AF24" i="8"/>
  <c r="AF25" i="8" s="1"/>
  <c r="L27" i="8"/>
  <c r="T27" i="8"/>
  <c r="AB27" i="8"/>
  <c r="F28" i="8"/>
  <c r="N28" i="8"/>
  <c r="V28" i="8"/>
  <c r="AD28" i="8"/>
  <c r="H29" i="8"/>
  <c r="P29" i="8"/>
  <c r="AK29" i="8" s="1"/>
  <c r="X29" i="8"/>
  <c r="AF29" i="8"/>
  <c r="J30" i="8"/>
  <c r="R30" i="8"/>
  <c r="Z30" i="8"/>
  <c r="AH30" i="8"/>
  <c r="F33" i="8"/>
  <c r="F34" i="8" s="1"/>
  <c r="N33" i="8"/>
  <c r="N34" i="8" s="1"/>
  <c r="V33" i="8"/>
  <c r="V34" i="8" s="1"/>
  <c r="AD33" i="8"/>
  <c r="J36" i="8"/>
  <c r="R36" i="8"/>
  <c r="Z36" i="8"/>
  <c r="AH36" i="8"/>
  <c r="L37" i="8"/>
  <c r="T37" i="8"/>
  <c r="AB37" i="8"/>
  <c r="AL37" i="8" s="1"/>
  <c r="F38" i="8"/>
  <c r="N38" i="8"/>
  <c r="V38" i="8"/>
  <c r="AD38" i="8"/>
  <c r="J41" i="8"/>
  <c r="J42" i="8" s="1"/>
  <c r="R41" i="8"/>
  <c r="R42" i="8" s="1"/>
  <c r="Z41" i="8"/>
  <c r="Z42" i="8" s="1"/>
  <c r="Z69" i="8" s="1"/>
  <c r="AH41" i="8"/>
  <c r="AH42" i="8" s="1"/>
  <c r="AH69" i="8" s="1"/>
  <c r="P9" i="8"/>
  <c r="Q12" i="8"/>
  <c r="U13" i="8"/>
  <c r="S14" i="8"/>
  <c r="AI14" i="8"/>
  <c r="AM14" i="8" s="1"/>
  <c r="M15" i="8"/>
  <c r="Y15" i="8"/>
  <c r="L16" i="8"/>
  <c r="U16" i="8"/>
  <c r="AC16" i="8"/>
  <c r="G17" i="8"/>
  <c r="O17" i="8"/>
  <c r="W17" i="8"/>
  <c r="AE17" i="8"/>
  <c r="K20" i="8"/>
  <c r="K21" i="8" s="1"/>
  <c r="S20" i="8"/>
  <c r="S21" i="8" s="1"/>
  <c r="AA20" i="8"/>
  <c r="AI20" i="8"/>
  <c r="I24" i="8"/>
  <c r="I25" i="8" s="1"/>
  <c r="Q24" i="8"/>
  <c r="Q25" i="8" s="1"/>
  <c r="Y24" i="8"/>
  <c r="Y25" i="8" s="1"/>
  <c r="AG24" i="8"/>
  <c r="E27" i="8"/>
  <c r="M27" i="8"/>
  <c r="U27" i="8"/>
  <c r="AC27" i="8"/>
  <c r="G28" i="8"/>
  <c r="O28" i="8"/>
  <c r="W28" i="8"/>
  <c r="AE28" i="8"/>
  <c r="I29" i="8"/>
  <c r="Q29" i="8"/>
  <c r="Y29" i="8"/>
  <c r="AG29" i="8"/>
  <c r="K30" i="8"/>
  <c r="S30" i="8"/>
  <c r="AA30" i="8"/>
  <c r="AI30" i="8"/>
  <c r="AM30" i="8" s="1"/>
  <c r="G33" i="8"/>
  <c r="G34" i="8" s="1"/>
  <c r="O33" i="8"/>
  <c r="O34" i="8" s="1"/>
  <c r="W33" i="8"/>
  <c r="W34" i="8" s="1"/>
  <c r="AE33" i="8"/>
  <c r="AE34" i="8" s="1"/>
  <c r="AE67" i="8" s="1"/>
  <c r="K36" i="8"/>
  <c r="S36" i="8"/>
  <c r="AA36" i="8"/>
  <c r="AI36" i="8"/>
  <c r="E37" i="8"/>
  <c r="M37" i="8"/>
  <c r="U37" i="8"/>
  <c r="AC37" i="8"/>
  <c r="G38" i="8"/>
  <c r="O38" i="8"/>
  <c r="W38" i="8"/>
  <c r="AE38" i="8"/>
  <c r="K41" i="8"/>
  <c r="K42" i="8" s="1"/>
  <c r="S41" i="8"/>
  <c r="S42" i="8" s="1"/>
  <c r="AA41" i="8"/>
  <c r="AI41" i="8"/>
  <c r="V9" i="8"/>
  <c r="V10" i="8" s="1"/>
  <c r="S12" i="8"/>
  <c r="V13" i="8"/>
  <c r="E14" i="8"/>
  <c r="U14" i="8"/>
  <c r="N15" i="8"/>
  <c r="Z15" i="8"/>
  <c r="M16" i="8"/>
  <c r="V16" i="8"/>
  <c r="AD16" i="8"/>
  <c r="H17" i="8"/>
  <c r="P17" i="8"/>
  <c r="AK17" i="8" s="1"/>
  <c r="X17" i="8"/>
  <c r="AF17" i="8"/>
  <c r="L20" i="8"/>
  <c r="L21" i="8" s="1"/>
  <c r="T20" i="8"/>
  <c r="T21" i="8" s="1"/>
  <c r="AB20" i="8"/>
  <c r="J24" i="8"/>
  <c r="J25" i="8" s="1"/>
  <c r="R24" i="8"/>
  <c r="R25" i="8" s="1"/>
  <c r="Z24" i="8"/>
  <c r="Z25" i="8" s="1"/>
  <c r="AH24" i="8"/>
  <c r="AH25" i="8" s="1"/>
  <c r="F27" i="8"/>
  <c r="N27" i="8"/>
  <c r="V27" i="8"/>
  <c r="AD27" i="8"/>
  <c r="H28" i="8"/>
  <c r="P28" i="8"/>
  <c r="AK28" i="8" s="1"/>
  <c r="X28" i="8"/>
  <c r="AF28" i="8"/>
  <c r="J29" i="8"/>
  <c r="R29" i="8"/>
  <c r="Z29" i="8"/>
  <c r="AH29" i="8"/>
  <c r="L30" i="8"/>
  <c r="T30" i="8"/>
  <c r="AB30" i="8"/>
  <c r="AL30" i="8" s="1"/>
  <c r="H33" i="8"/>
  <c r="H34" i="8" s="1"/>
  <c r="P33" i="8"/>
  <c r="X33" i="8"/>
  <c r="AF33" i="8"/>
  <c r="AF34" i="8" s="1"/>
  <c r="AF67" i="8" s="1"/>
  <c r="L36" i="8"/>
  <c r="T36" i="8"/>
  <c r="AB36" i="8"/>
  <c r="F37" i="8"/>
  <c r="N37" i="8"/>
  <c r="V37" i="8"/>
  <c r="AD37" i="8"/>
  <c r="H38" i="8"/>
  <c r="Y9" i="8"/>
  <c r="Y10" i="8" s="1"/>
  <c r="T12" i="8"/>
  <c r="E13" i="8"/>
  <c r="AA13" i="8"/>
  <c r="G14" i="8"/>
  <c r="W14" i="8"/>
  <c r="O15" i="8"/>
  <c r="AC15" i="8"/>
  <c r="O16" i="8"/>
  <c r="W16" i="8"/>
  <c r="AE16" i="8"/>
  <c r="I17" i="8"/>
  <c r="Q17" i="8"/>
  <c r="Y17" i="8"/>
  <c r="AG17" i="8"/>
  <c r="E20" i="8"/>
  <c r="E21" i="8" s="1"/>
  <c r="M20" i="8"/>
  <c r="M21" i="8" s="1"/>
  <c r="U20" i="8"/>
  <c r="U21" i="8" s="1"/>
  <c r="AC20" i="8"/>
  <c r="AC21" i="8" s="1"/>
  <c r="AC64" i="8" s="1"/>
  <c r="K24" i="8"/>
  <c r="K25" i="8" s="1"/>
  <c r="S24" i="8"/>
  <c r="S25" i="8" s="1"/>
  <c r="AA24" i="8"/>
  <c r="AI24" i="8"/>
  <c r="G27" i="8"/>
  <c r="O27" i="8"/>
  <c r="W27" i="8"/>
  <c r="AE27" i="8"/>
  <c r="I28" i="8"/>
  <c r="Q28" i="8"/>
  <c r="Y28" i="8"/>
  <c r="AG28" i="8"/>
  <c r="K29" i="8"/>
  <c r="S29" i="8"/>
  <c r="AA29" i="8"/>
  <c r="AI29" i="8"/>
  <c r="AM29" i="8" s="1"/>
  <c r="E30" i="8"/>
  <c r="M30" i="8"/>
  <c r="U30" i="8"/>
  <c r="AC30" i="8"/>
  <c r="I33" i="8"/>
  <c r="I34" i="8" s="1"/>
  <c r="Q33" i="8"/>
  <c r="Q34" i="8" s="1"/>
  <c r="Y33" i="8"/>
  <c r="Y34" i="8" s="1"/>
  <c r="Y67" i="8" s="1"/>
  <c r="AG33" i="8"/>
  <c r="E36" i="8"/>
  <c r="M36" i="8"/>
  <c r="M39" i="8" s="1"/>
  <c r="U36" i="8"/>
  <c r="U39" i="8" s="1"/>
  <c r="AC36" i="8"/>
  <c r="G37" i="8"/>
  <c r="O37" i="8"/>
  <c r="W37" i="8"/>
  <c r="AE37" i="8"/>
  <c r="I38" i="8"/>
  <c r="Q38" i="8"/>
  <c r="Y38" i="8"/>
  <c r="AG38" i="8"/>
  <c r="E41" i="8"/>
  <c r="E42" i="8" s="1"/>
  <c r="M41" i="8"/>
  <c r="M42" i="8" s="1"/>
  <c r="U41" i="8"/>
  <c r="U42" i="8" s="1"/>
  <c r="AC41" i="8"/>
  <c r="AC42" i="8" s="1"/>
  <c r="AC69" i="8" s="1"/>
  <c r="AC13" i="8"/>
  <c r="Q15" i="8"/>
  <c r="X16" i="8"/>
  <c r="R17" i="8"/>
  <c r="F20" i="8"/>
  <c r="F21" i="8" s="1"/>
  <c r="T24" i="8"/>
  <c r="T25" i="8" s="1"/>
  <c r="H27" i="8"/>
  <c r="AH28" i="8"/>
  <c r="AB29" i="8"/>
  <c r="AL29" i="8" s="1"/>
  <c r="V30" i="8"/>
  <c r="J33" i="8"/>
  <c r="J34" i="8" s="1"/>
  <c r="AD36" i="8"/>
  <c r="X37" i="8"/>
  <c r="P38" i="8"/>
  <c r="AK38" i="8" s="1"/>
  <c r="AI38" i="8"/>
  <c r="AM38" i="8" s="1"/>
  <c r="W41" i="8"/>
  <c r="W42" i="8" s="1"/>
  <c r="AD13" i="8"/>
  <c r="R15" i="8"/>
  <c r="Y16" i="8"/>
  <c r="S17" i="8"/>
  <c r="G20" i="8"/>
  <c r="G21" i="8" s="1"/>
  <c r="U24" i="8"/>
  <c r="U25" i="8" s="1"/>
  <c r="I27" i="8"/>
  <c r="AI28" i="8"/>
  <c r="AM28" i="8" s="1"/>
  <c r="AC29" i="8"/>
  <c r="W30" i="8"/>
  <c r="K33" i="8"/>
  <c r="K34" i="8" s="1"/>
  <c r="AE36" i="8"/>
  <c r="Y37" i="8"/>
  <c r="R38" i="8"/>
  <c r="F41" i="8"/>
  <c r="F42" i="8" s="1"/>
  <c r="AB41" i="8"/>
  <c r="H14" i="8"/>
  <c r="AD15" i="8"/>
  <c r="AF16" i="8"/>
  <c r="Z17" i="8"/>
  <c r="N20" i="8"/>
  <c r="N21" i="8" s="1"/>
  <c r="AB24" i="8"/>
  <c r="P27" i="8"/>
  <c r="J28" i="8"/>
  <c r="AD30" i="8"/>
  <c r="R33" i="8"/>
  <c r="R34" i="8" s="1"/>
  <c r="F36" i="8"/>
  <c r="AF37" i="8"/>
  <c r="S38" i="8"/>
  <c r="G41" i="8"/>
  <c r="G42" i="8" s="1"/>
  <c r="AD41" i="8"/>
  <c r="K14" i="8"/>
  <c r="AE15" i="8"/>
  <c r="AG16" i="8"/>
  <c r="AO16" i="8" s="1"/>
  <c r="AA17" i="8"/>
  <c r="O20" i="8"/>
  <c r="O21" i="8" s="1"/>
  <c r="AC24" i="8"/>
  <c r="AC25" i="8" s="1"/>
  <c r="Q27" i="8"/>
  <c r="K28" i="8"/>
  <c r="E29" i="8"/>
  <c r="AE30" i="8"/>
  <c r="S33" i="8"/>
  <c r="S34" i="8" s="1"/>
  <c r="G36" i="8"/>
  <c r="AG37" i="8"/>
  <c r="X38" i="8"/>
  <c r="L41" i="8"/>
  <c r="L42" i="8" s="1"/>
  <c r="AE41" i="8"/>
  <c r="AE42" i="8" s="1"/>
  <c r="AE69" i="8" s="1"/>
  <c r="Y12" i="8"/>
  <c r="X14" i="8"/>
  <c r="AH17" i="8"/>
  <c r="V20" i="8"/>
  <c r="V21" i="8" s="1"/>
  <c r="X27" i="8"/>
  <c r="R28" i="8"/>
  <c r="L29" i="8"/>
  <c r="F30" i="8"/>
  <c r="Z33" i="8"/>
  <c r="Z34" i="8" s="1"/>
  <c r="Z67" i="8" s="1"/>
  <c r="N36" i="8"/>
  <c r="H37" i="8"/>
  <c r="Z38" i="8"/>
  <c r="N41" i="8"/>
  <c r="N42" i="8" s="1"/>
  <c r="AA12" i="8"/>
  <c r="AA14" i="8"/>
  <c r="G16" i="8"/>
  <c r="AI17" i="8"/>
  <c r="AM17" i="8" s="1"/>
  <c r="W20" i="8"/>
  <c r="W21" i="8" s="1"/>
  <c r="E24" i="8"/>
  <c r="E25" i="8" s="1"/>
  <c r="Y27" i="8"/>
  <c r="Y31" i="8" s="1"/>
  <c r="Y66" i="8" s="1"/>
  <c r="S28" i="8"/>
  <c r="M29" i="8"/>
  <c r="G30" i="8"/>
  <c r="AA33" i="8"/>
  <c r="O36" i="8"/>
  <c r="I37" i="8"/>
  <c r="AA38" i="8"/>
  <c r="O41" i="8"/>
  <c r="O42" i="8" s="1"/>
  <c r="AE9" i="8"/>
  <c r="AE10" i="8" s="1"/>
  <c r="F13" i="8"/>
  <c r="P16" i="8"/>
  <c r="AK16" i="8" s="1"/>
  <c r="J17" i="8"/>
  <c r="AD20" i="8"/>
  <c r="L24" i="8"/>
  <c r="L25" i="8" s="1"/>
  <c r="AF27" i="8"/>
  <c r="AF31" i="8" s="1"/>
  <c r="AF66" i="8" s="1"/>
  <c r="Z28" i="8"/>
  <c r="T29" i="8"/>
  <c r="N30" i="8"/>
  <c r="AH33" i="8"/>
  <c r="AH34" i="8" s="1"/>
  <c r="AH67" i="8" s="1"/>
  <c r="V36" i="8"/>
  <c r="P37" i="8"/>
  <c r="AK37" i="8" s="1"/>
  <c r="J38" i="8"/>
  <c r="AF38" i="8"/>
  <c r="T41" i="8"/>
  <c r="T42" i="8" s="1"/>
  <c r="J8" i="3"/>
  <c r="E55" i="7"/>
  <c r="N25" i="9"/>
  <c r="N26" i="9" s="1"/>
  <c r="N31" i="9"/>
  <c r="N55" i="7"/>
  <c r="AQ34" i="7"/>
  <c r="AM33" i="7"/>
  <c r="AP33" i="7"/>
  <c r="AP35" i="7" s="1"/>
  <c r="AD35" i="7"/>
  <c r="AR32" i="7"/>
  <c r="AR35" i="7" s="1"/>
  <c r="AD47" i="7"/>
  <c r="AD83" i="7" s="1"/>
  <c r="V47" i="7"/>
  <c r="V83" i="7" s="1"/>
  <c r="N47" i="7"/>
  <c r="N83" i="7" s="1"/>
  <c r="F47" i="7"/>
  <c r="AM24" i="7"/>
  <c r="AM25" i="7" s="1"/>
  <c r="AP24" i="7"/>
  <c r="AP25" i="7" s="1"/>
  <c r="AI25" i="7"/>
  <c r="AQ24" i="7"/>
  <c r="AQ25" i="7" s="1"/>
  <c r="AA25" i="7"/>
  <c r="AA26" i="7" s="1"/>
  <c r="AI22" i="7"/>
  <c r="AM19" i="7"/>
  <c r="AO19" i="7"/>
  <c r="AP19" i="7"/>
  <c r="AQ19" i="7"/>
  <c r="AQ17" i="7"/>
  <c r="AK22" i="7"/>
  <c r="AK26" i="7" s="1"/>
  <c r="AK48" i="7" s="1"/>
  <c r="AD26" i="7"/>
  <c r="Q37" i="8"/>
  <c r="AA28" i="8"/>
  <c r="AL18" i="2"/>
  <c r="N87" i="7"/>
  <c r="X51" i="7"/>
  <c r="M25" i="9"/>
  <c r="M31" i="9" s="1"/>
  <c r="AR42" i="7"/>
  <c r="AQ41" i="7"/>
  <c r="AL43" i="7"/>
  <c r="AC47" i="7"/>
  <c r="AC83" i="7" s="1"/>
  <c r="M47" i="7"/>
  <c r="M83" i="7" s="1"/>
  <c r="AR21" i="7"/>
  <c r="Z48" i="7"/>
  <c r="Z56" i="7" s="1"/>
  <c r="Z73" i="7" s="1"/>
  <c r="R48" i="7"/>
  <c r="R56" i="7" s="1"/>
  <c r="R73" i="7" s="1"/>
  <c r="J48" i="7"/>
  <c r="J56" i="7" s="1"/>
  <c r="J73" i="7" s="1"/>
  <c r="AP16" i="7"/>
  <c r="AE22" i="7"/>
  <c r="AE26" i="7" s="1"/>
  <c r="W22" i="7"/>
  <c r="W26" i="7" s="1"/>
  <c r="O22" i="7"/>
  <c r="O26" i="7" s="1"/>
  <c r="G22" i="7"/>
  <c r="V26" i="7"/>
  <c r="N26" i="7"/>
  <c r="AQ10" i="7"/>
  <c r="AR10" i="7"/>
  <c r="AP11" i="7"/>
  <c r="W36" i="8"/>
  <c r="AG27" i="8"/>
  <c r="R8" i="3"/>
  <c r="V25" i="9"/>
  <c r="V26" i="9" s="1"/>
  <c r="V55" i="7"/>
  <c r="AR45" i="7"/>
  <c r="AR46" i="7" s="1"/>
  <c r="AQ40" i="7"/>
  <c r="AQ43" i="7" s="1"/>
  <c r="AO34" i="7"/>
  <c r="AO24" i="7"/>
  <c r="AO25" i="7" s="1"/>
  <c r="AO22" i="7"/>
  <c r="Y31" i="9"/>
  <c r="Y25" i="9"/>
  <c r="Y55" i="7"/>
  <c r="AL11" i="7"/>
  <c r="AC26" i="7"/>
  <c r="M26" i="7"/>
  <c r="M48" i="7" s="1"/>
  <c r="M56" i="7" s="1"/>
  <c r="M73" i="7" s="1"/>
  <c r="E26" i="7"/>
  <c r="E48" i="7" s="1"/>
  <c r="E56" i="7" s="1"/>
  <c r="E73" i="7" s="1"/>
  <c r="V57" i="8"/>
  <c r="K17" i="8"/>
  <c r="AL72" i="7"/>
  <c r="F25" i="9"/>
  <c r="F26" i="9" s="1"/>
  <c r="F55" i="7"/>
  <c r="AO13" i="7"/>
  <c r="AO14" i="7" s="1"/>
  <c r="AG14" i="7"/>
  <c r="AG26" i="7" s="1"/>
  <c r="R58" i="8"/>
  <c r="R59" i="8"/>
  <c r="J59" i="8"/>
  <c r="J58" i="8"/>
  <c r="AC57" i="8"/>
  <c r="AC87" i="7"/>
  <c r="U57" i="8"/>
  <c r="U87" i="7"/>
  <c r="AF86" i="7" s="1"/>
  <c r="M57" i="8"/>
  <c r="M87" i="7"/>
  <c r="E57" i="8"/>
  <c r="E87" i="7"/>
  <c r="AM10" i="5"/>
  <c r="AP72" i="7"/>
  <c r="AF51" i="7"/>
  <c r="U31" i="9"/>
  <c r="U25" i="9"/>
  <c r="K25" i="9"/>
  <c r="K26" i="9" s="1"/>
  <c r="K31" i="9"/>
  <c r="AF47" i="7"/>
  <c r="AF48" i="7" s="1"/>
  <c r="X35" i="7"/>
  <c r="AR34" i="7"/>
  <c r="P35" i="7"/>
  <c r="P47" i="7" s="1"/>
  <c r="AK34" i="7"/>
  <c r="AK35" i="7" s="1"/>
  <c r="AK47" i="7" s="1"/>
  <c r="H47" i="7"/>
  <c r="AA47" i="7"/>
  <c r="K47" i="7"/>
  <c r="K83" i="7" s="1"/>
  <c r="G26" i="7"/>
  <c r="AP21" i="7"/>
  <c r="AR19" i="7"/>
  <c r="H26" i="7"/>
  <c r="AO18" i="7"/>
  <c r="AR18" i="7"/>
  <c r="AM22" i="7"/>
  <c r="AQ16" i="7"/>
  <c r="AQ22" i="7" s="1"/>
  <c r="AC22" i="7"/>
  <c r="AR16" i="7"/>
  <c r="U22" i="7"/>
  <c r="U26" i="7" s="1"/>
  <c r="U48" i="7" s="1"/>
  <c r="U56" i="7" s="1"/>
  <c r="U73" i="7" s="1"/>
  <c r="M22" i="7"/>
  <c r="E22" i="7"/>
  <c r="T26" i="7"/>
  <c r="V41" i="8"/>
  <c r="V42" i="8" s="1"/>
  <c r="AI33" i="8"/>
  <c r="Q16" i="8"/>
  <c r="Y14" i="7"/>
  <c r="Y26" i="7" s="1"/>
  <c r="AR13" i="7"/>
  <c r="AR14" i="7" s="1"/>
  <c r="AD25" i="9"/>
  <c r="AD26" i="9" s="1"/>
  <c r="AD55" i="7"/>
  <c r="T31" i="9"/>
  <c r="Y43" i="7"/>
  <c r="AQ42" i="7"/>
  <c r="AO43" i="7"/>
  <c r="AE38" i="7"/>
  <c r="AE47" i="7" s="1"/>
  <c r="AE83" i="7" s="1"/>
  <c r="AP37" i="7"/>
  <c r="AP38" i="7" s="1"/>
  <c r="AL32" i="7"/>
  <c r="AL35" i="7" s="1"/>
  <c r="AB35" i="7"/>
  <c r="AB47" i="7" s="1"/>
  <c r="Y22" i="7"/>
  <c r="AQ21" i="7"/>
  <c r="AL22" i="7"/>
  <c r="I25" i="9"/>
  <c r="I31" i="9" s="1"/>
  <c r="I55" i="7"/>
  <c r="AM26" i="7"/>
  <c r="S26" i="7"/>
  <c r="K26" i="7"/>
  <c r="M24" i="8"/>
  <c r="M25" i="8" s="1"/>
  <c r="E15" i="8"/>
  <c r="AI57" i="8"/>
  <c r="AI87" i="7"/>
  <c r="AA57" i="8"/>
  <c r="AA87" i="7"/>
  <c r="S57" i="8"/>
  <c r="S87" i="7"/>
  <c r="K57" i="8"/>
  <c r="K87" i="7"/>
  <c r="AM72" i="7"/>
  <c r="K55" i="7"/>
  <c r="AC25" i="9"/>
  <c r="AC26" i="9" s="1"/>
  <c r="S25" i="9"/>
  <c r="S26" i="9" s="1"/>
  <c r="S31" i="9"/>
  <c r="H31" i="9"/>
  <c r="H25" i="9"/>
  <c r="H26" i="9" s="1"/>
  <c r="AP41" i="7"/>
  <c r="AP43" i="7" s="1"/>
  <c r="AE43" i="7"/>
  <c r="W43" i="7"/>
  <c r="O43" i="7"/>
  <c r="O47" i="7" s="1"/>
  <c r="O83" i="7" s="1"/>
  <c r="G43" i="7"/>
  <c r="G47" i="7" s="1"/>
  <c r="G83" i="7" s="1"/>
  <c r="AR40" i="7"/>
  <c r="X43" i="7"/>
  <c r="P43" i="7"/>
  <c r="AK40" i="7"/>
  <c r="AK43" i="7" s="1"/>
  <c r="AQ37" i="7"/>
  <c r="AQ38" i="7" s="1"/>
  <c r="AO33" i="7"/>
  <c r="AO35" i="7" s="1"/>
  <c r="AR33" i="7"/>
  <c r="AL47" i="7"/>
  <c r="U47" i="7"/>
  <c r="U83" i="7" s="1"/>
  <c r="AO28" i="7"/>
  <c r="AO29" i="7" s="1"/>
  <c r="AG29" i="7"/>
  <c r="Y29" i="7"/>
  <c r="AR28" i="7"/>
  <c r="AR29" i="7" s="1"/>
  <c r="AR17" i="7"/>
  <c r="AI14" i="7"/>
  <c r="AH26" i="7"/>
  <c r="K13" i="8"/>
  <c r="AB25" i="9"/>
  <c r="AL25" i="9" s="1"/>
  <c r="AL31" i="9" s="1"/>
  <c r="L31" i="9"/>
  <c r="L25" i="9"/>
  <c r="L26" i="9" s="1"/>
  <c r="AK24" i="7"/>
  <c r="AK25" i="7" s="1"/>
  <c r="AK19" i="7"/>
  <c r="AB14" i="7"/>
  <c r="AB26" i="7" s="1"/>
  <c r="AB48" i="7" s="1"/>
  <c r="AB56" i="7" s="1"/>
  <c r="AB73" i="7" s="1"/>
  <c r="P11" i="7"/>
  <c r="AA26" i="9"/>
  <c r="N58" i="10"/>
  <c r="E26" i="9"/>
  <c r="AH25" i="9"/>
  <c r="AH26" i="9" s="1"/>
  <c r="Z31" i="9"/>
  <c r="Z25" i="9"/>
  <c r="R25" i="9"/>
  <c r="R26" i="9" s="1"/>
  <c r="J25" i="9"/>
  <c r="J26" i="9" s="1"/>
  <c r="X38" i="7"/>
  <c r="AP28" i="7"/>
  <c r="AP29" i="7" s="1"/>
  <c r="AR24" i="7"/>
  <c r="AR25" i="7" s="1"/>
  <c r="X22" i="7"/>
  <c r="X26" i="7" s="1"/>
  <c r="AP13" i="7"/>
  <c r="AP14" i="7" s="1"/>
  <c r="AR9" i="7"/>
  <c r="AR11" i="7" s="1"/>
  <c r="T25" i="9"/>
  <c r="AL21" i="7"/>
  <c r="AQ9" i="7"/>
  <c r="AQ11" i="7" s="1"/>
  <c r="AQ26" i="7" s="1"/>
  <c r="AG46" i="7"/>
  <c r="AG25" i="7"/>
  <c r="AI11" i="7"/>
  <c r="AO9" i="7"/>
  <c r="AO11" i="7" s="1"/>
  <c r="AL26" i="9"/>
  <c r="T26" i="9"/>
  <c r="Z26" i="9"/>
  <c r="AA17" i="10"/>
  <c r="Z48" i="16"/>
  <c r="Z39" i="16" s="1"/>
  <c r="Z47" i="16"/>
  <c r="AQ10" i="10"/>
  <c r="AC57" i="10"/>
  <c r="U17" i="10"/>
  <c r="U57" i="10"/>
  <c r="M57" i="10"/>
  <c r="AF29" i="12"/>
  <c r="AF34" i="12"/>
  <c r="AF11" i="5" s="1"/>
  <c r="X29" i="12"/>
  <c r="X34" i="12"/>
  <c r="AM26" i="12"/>
  <c r="AL26" i="12"/>
  <c r="P29" i="12"/>
  <c r="P34" i="12"/>
  <c r="P11" i="5" s="1"/>
  <c r="H29" i="12"/>
  <c r="H34" i="12"/>
  <c r="H11" i="5" s="1"/>
  <c r="AK11" i="5" s="1"/>
  <c r="AK26" i="12"/>
  <c r="AE23" i="9"/>
  <c r="AE26" i="9" s="1"/>
  <c r="O23" i="9"/>
  <c r="AA48" i="16"/>
  <c r="AA39" i="16" s="1"/>
  <c r="AA47" i="16"/>
  <c r="S47" i="16"/>
  <c r="S48" i="16"/>
  <c r="S39" i="16" s="1"/>
  <c r="Q26" i="9"/>
  <c r="E57" i="10"/>
  <c r="AG26" i="9"/>
  <c r="Y26" i="9"/>
  <c r="AK22" i="9"/>
  <c r="AK23" i="9" s="1"/>
  <c r="U26" i="9"/>
  <c r="M26" i="9"/>
  <c r="X47" i="16"/>
  <c r="X48" i="16"/>
  <c r="X39" i="16" s="1"/>
  <c r="P47" i="16"/>
  <c r="P48" i="16"/>
  <c r="P39" i="16" s="1"/>
  <c r="AK34" i="12"/>
  <c r="AO28" i="12"/>
  <c r="AL21" i="12"/>
  <c r="AE47" i="16"/>
  <c r="AE48" i="16"/>
  <c r="AE39" i="16" s="1"/>
  <c r="W47" i="16"/>
  <c r="W48" i="16"/>
  <c r="W39" i="16" s="1"/>
  <c r="AH133" i="14"/>
  <c r="AE58" i="10"/>
  <c r="AO14" i="10"/>
  <c r="AH6" i="10"/>
  <c r="AH9" i="10"/>
  <c r="AH56" i="10"/>
  <c r="AH82" i="10" s="1"/>
  <c r="Z6" i="10"/>
  <c r="Z56" i="10"/>
  <c r="Z82" i="10" s="1"/>
  <c r="R6" i="10"/>
  <c r="R56" i="10"/>
  <c r="R82" i="10" s="1"/>
  <c r="R9" i="10"/>
  <c r="R17" i="10" s="1"/>
  <c r="J6" i="10"/>
  <c r="J56" i="10"/>
  <c r="J82" i="10" s="1"/>
  <c r="AK27" i="12"/>
  <c r="O47" i="16"/>
  <c r="O48" i="16"/>
  <c r="O39" i="16" s="1"/>
  <c r="H47" i="16"/>
  <c r="H48" i="16"/>
  <c r="H39" i="16" s="1"/>
  <c r="AD47" i="16"/>
  <c r="AD48" i="16"/>
  <c r="AD39" i="16" s="1"/>
  <c r="V47" i="16"/>
  <c r="V48" i="16"/>
  <c r="V39" i="16" s="1"/>
  <c r="AR14" i="10"/>
  <c r="V17" i="10"/>
  <c r="J17" i="10"/>
  <c r="AO9" i="10"/>
  <c r="AG29" i="12"/>
  <c r="L29" i="12"/>
  <c r="AC29" i="12"/>
  <c r="AC34" i="12"/>
  <c r="AC11" i="5" s="1"/>
  <c r="N47" i="16"/>
  <c r="N48" i="16"/>
  <c r="N39" i="16" s="1"/>
  <c r="AE84" i="18"/>
  <c r="AE75" i="18" s="1"/>
  <c r="AE46" i="16"/>
  <c r="AE37" i="16" s="1"/>
  <c r="AE12" i="12"/>
  <c r="AE15" i="12"/>
  <c r="AO10" i="10"/>
  <c r="AG17" i="10"/>
  <c r="AR10" i="10"/>
  <c r="Y17" i="10"/>
  <c r="Q17" i="10"/>
  <c r="AB29" i="12"/>
  <c r="AB34" i="12"/>
  <c r="AB11" i="5" s="1"/>
  <c r="T34" i="12"/>
  <c r="T11" i="5" s="1"/>
  <c r="T29" i="12"/>
  <c r="G47" i="16"/>
  <c r="G48" i="16"/>
  <c r="G39" i="16" s="1"/>
  <c r="AK35" i="12"/>
  <c r="AL27" i="12"/>
  <c r="Q29" i="12"/>
  <c r="AH39" i="12"/>
  <c r="AH30" i="12"/>
  <c r="AI23" i="12"/>
  <c r="K23" i="12"/>
  <c r="AM119" i="14"/>
  <c r="Z120" i="14"/>
  <c r="AM117" i="14"/>
  <c r="W58" i="10"/>
  <c r="F17" i="10"/>
  <c r="AM27" i="12"/>
  <c r="X35" i="12"/>
  <c r="AF47" i="16"/>
  <c r="AF48" i="16"/>
  <c r="AH47" i="16"/>
  <c r="AH48" i="16"/>
  <c r="AH39" i="16" s="1"/>
  <c r="AM19" i="12"/>
  <c r="R47" i="16"/>
  <c r="R48" i="16"/>
  <c r="R39" i="16" s="1"/>
  <c r="J47" i="16"/>
  <c r="J48" i="16"/>
  <c r="J39" i="16" s="1"/>
  <c r="J24" i="12"/>
  <c r="AK10" i="12"/>
  <c r="AO33" i="12" s="1"/>
  <c r="AO9" i="12"/>
  <c r="AB84" i="18"/>
  <c r="AB46" i="16"/>
  <c r="AB37" i="16" s="1"/>
  <c r="AB15" i="12"/>
  <c r="AB12" i="12"/>
  <c r="AB11" i="10"/>
  <c r="T84" i="18"/>
  <c r="T75" i="18" s="1"/>
  <c r="T46" i="16"/>
  <c r="T37" i="16" s="1"/>
  <c r="T15" i="12"/>
  <c r="T12" i="12"/>
  <c r="T11" i="10"/>
  <c r="L84" i="18"/>
  <c r="L75" i="18" s="1"/>
  <c r="L46" i="16"/>
  <c r="L37" i="16" s="1"/>
  <c r="L15" i="12"/>
  <c r="AG83" i="10"/>
  <c r="Y83" i="10"/>
  <c r="Q83" i="10"/>
  <c r="I83" i="10"/>
  <c r="AR11" i="10"/>
  <c r="AC6" i="10"/>
  <c r="AC9" i="10"/>
  <c r="AC56" i="10"/>
  <c r="AC82" i="10" s="1"/>
  <c r="U6" i="10"/>
  <c r="U56" i="10"/>
  <c r="U82" i="10" s="1"/>
  <c r="M6" i="10"/>
  <c r="M9" i="10"/>
  <c r="M56" i="10"/>
  <c r="M82" i="10" s="1"/>
  <c r="E6" i="10"/>
  <c r="F9" i="10"/>
  <c r="E56" i="10"/>
  <c r="E82" i="10" s="1"/>
  <c r="Q35" i="12"/>
  <c r="Y29" i="12"/>
  <c r="I29" i="12"/>
  <c r="Y38" i="12"/>
  <c r="Y24" i="12"/>
  <c r="Z84" i="18"/>
  <c r="Z46" i="16"/>
  <c r="Z37" i="16" s="1"/>
  <c r="Z12" i="12"/>
  <c r="Z15" i="12"/>
  <c r="O84" i="18"/>
  <c r="O75" i="18" s="1"/>
  <c r="O46" i="16"/>
  <c r="O37" i="16" s="1"/>
  <c r="O15" i="12"/>
  <c r="O11" i="10"/>
  <c r="O17" i="10" s="1"/>
  <c r="AL123" i="14"/>
  <c r="S127" i="14"/>
  <c r="S128" i="14" s="1"/>
  <c r="K127" i="14"/>
  <c r="AK123" i="14"/>
  <c r="AM21" i="12"/>
  <c r="AC23" i="12"/>
  <c r="U23" i="12"/>
  <c r="M23" i="12"/>
  <c r="E23" i="12"/>
  <c r="N84" i="18"/>
  <c r="N75" i="18" s="1"/>
  <c r="N46" i="16"/>
  <c r="N37" i="16" s="1"/>
  <c r="N15" i="12"/>
  <c r="AI84" i="18"/>
  <c r="AI75" i="18" s="1"/>
  <c r="AI46" i="16"/>
  <c r="AI15" i="12"/>
  <c r="AI12" i="12"/>
  <c r="AA84" i="18"/>
  <c r="AA75" i="18" s="1"/>
  <c r="AA46" i="16"/>
  <c r="AA37" i="16" s="1"/>
  <c r="AA15" i="12"/>
  <c r="AA12" i="12"/>
  <c r="AL9" i="12"/>
  <c r="S10" i="12"/>
  <c r="K84" i="18"/>
  <c r="K75" i="18" s="1"/>
  <c r="K46" i="16"/>
  <c r="K37" i="16" s="1"/>
  <c r="K15" i="12"/>
  <c r="AM125" i="14"/>
  <c r="AL125" i="14"/>
  <c r="AL124" i="14"/>
  <c r="AL119" i="14"/>
  <c r="AK110" i="14"/>
  <c r="F111" i="14"/>
  <c r="AE57" i="10"/>
  <c r="AD56" i="10"/>
  <c r="AD82" i="10" s="1"/>
  <c r="V56" i="10"/>
  <c r="V82" i="10" s="1"/>
  <c r="N56" i="10"/>
  <c r="N82" i="10" s="1"/>
  <c r="F56" i="10"/>
  <c r="F82" i="10" s="1"/>
  <c r="AH17" i="10"/>
  <c r="Z17" i="10"/>
  <c r="T17" i="10"/>
  <c r="L17" i="10"/>
  <c r="AD9" i="10"/>
  <c r="AF9" i="10"/>
  <c r="AF17" i="10" s="1"/>
  <c r="X9" i="10"/>
  <c r="P9" i="10"/>
  <c r="P17" i="10" s="1"/>
  <c r="AK8" i="10"/>
  <c r="H9" i="10"/>
  <c r="H17" i="10" s="1"/>
  <c r="AF6" i="10"/>
  <c r="V6" i="10"/>
  <c r="AD34" i="12"/>
  <c r="AD11" i="5" s="1"/>
  <c r="AI29" i="12"/>
  <c r="AL19" i="12"/>
  <c r="AK17" i="12"/>
  <c r="AB23" i="12"/>
  <c r="T23" i="12"/>
  <c r="L23" i="12"/>
  <c r="R15" i="12"/>
  <c r="X12" i="12"/>
  <c r="J84" i="18"/>
  <c r="J75" i="18" s="1"/>
  <c r="J46" i="16"/>
  <c r="J37" i="16" s="1"/>
  <c r="AM126" i="14"/>
  <c r="AH127" i="14"/>
  <c r="AH128" i="14" s="1"/>
  <c r="Z127" i="14"/>
  <c r="R127" i="14"/>
  <c r="R128" i="14" s="1"/>
  <c r="J127" i="14"/>
  <c r="J128" i="14" s="1"/>
  <c r="AF128" i="14"/>
  <c r="U128" i="14"/>
  <c r="I128" i="14"/>
  <c r="I133" i="14"/>
  <c r="AP14" i="10"/>
  <c r="G9" i="10"/>
  <c r="AG23" i="12"/>
  <c r="Y23" i="12"/>
  <c r="Q23" i="12"/>
  <c r="I23" i="12"/>
  <c r="AH46" i="16"/>
  <c r="AH37" i="16" s="1"/>
  <c r="AH84" i="18"/>
  <c r="AH12" i="12"/>
  <c r="W84" i="18"/>
  <c r="W75" i="18" s="1"/>
  <c r="W46" i="16"/>
  <c r="W37" i="16" s="1"/>
  <c r="W12" i="12"/>
  <c r="W15" i="12"/>
  <c r="AM123" i="14"/>
  <c r="Q127" i="14"/>
  <c r="Q128" i="14" s="1"/>
  <c r="AL122" i="14"/>
  <c r="AD128" i="14"/>
  <c r="AD133" i="14"/>
  <c r="T128" i="14"/>
  <c r="T133" i="14"/>
  <c r="AM107" i="14"/>
  <c r="Y111" i="14"/>
  <c r="AL107" i="14"/>
  <c r="U87" i="14"/>
  <c r="AL85" i="14"/>
  <c r="E87" i="14"/>
  <c r="AK85" i="14"/>
  <c r="AL28" i="12"/>
  <c r="AM18" i="12"/>
  <c r="V84" i="18"/>
  <c r="V75" i="18" s="1"/>
  <c r="V46" i="16"/>
  <c r="V37" i="16" s="1"/>
  <c r="V15" i="12"/>
  <c r="H24" i="12"/>
  <c r="AM9" i="12"/>
  <c r="AL133" i="14"/>
  <c r="AM122" i="14"/>
  <c r="AC133" i="14"/>
  <c r="AM133" i="14" s="1"/>
  <c r="M133" i="14"/>
  <c r="E128" i="14"/>
  <c r="E133" i="14"/>
  <c r="V128" i="14"/>
  <c r="V133" i="14"/>
  <c r="N128" i="14"/>
  <c r="N133" i="14"/>
  <c r="F117" i="14"/>
  <c r="AK115" i="14"/>
  <c r="AK19" i="12"/>
  <c r="AK18" i="12"/>
  <c r="AF12" i="12"/>
  <c r="R46" i="16"/>
  <c r="R37" i="16" s="1"/>
  <c r="R84" i="18"/>
  <c r="R75" i="18" s="1"/>
  <c r="R12" i="12"/>
  <c r="G84" i="18"/>
  <c r="G75" i="18" s="1"/>
  <c r="G46" i="16"/>
  <c r="G37" i="16" s="1"/>
  <c r="G15" i="12"/>
  <c r="AK125" i="14"/>
  <c r="AM110" i="14"/>
  <c r="AM108" i="14"/>
  <c r="X111" i="14"/>
  <c r="AL108" i="14"/>
  <c r="AP11" i="10"/>
  <c r="AA35" i="12"/>
  <c r="AA12" i="5" s="1"/>
  <c r="AA29" i="12"/>
  <c r="S35" i="12"/>
  <c r="S12" i="5" s="1"/>
  <c r="S29" i="12"/>
  <c r="K35" i="12"/>
  <c r="K12" i="5" s="1"/>
  <c r="AK12" i="5" s="1"/>
  <c r="K29" i="12"/>
  <c r="AG24" i="12"/>
  <c r="F23" i="12"/>
  <c r="AM22" i="12"/>
  <c r="AK20" i="12"/>
  <c r="AM17" i="12"/>
  <c r="V12" i="12"/>
  <c r="F84" i="18"/>
  <c r="F75" i="18" s="1"/>
  <c r="F46" i="16"/>
  <c r="F37" i="16" s="1"/>
  <c r="F15" i="12"/>
  <c r="AE127" i="14"/>
  <c r="AE128" i="14" s="1"/>
  <c r="AK124" i="14"/>
  <c r="AB128" i="14"/>
  <c r="AB134" i="14"/>
  <c r="L128" i="14"/>
  <c r="L134" i="14"/>
  <c r="Q111" i="14"/>
  <c r="J57" i="10"/>
  <c r="G17" i="10"/>
  <c r="AI9" i="10"/>
  <c r="AI17" i="10" s="1"/>
  <c r="AA9" i="10"/>
  <c r="S9" i="10"/>
  <c r="K9" i="10"/>
  <c r="K17" i="10" s="1"/>
  <c r="AD84" i="18"/>
  <c r="AD75" i="18" s="1"/>
  <c r="AD46" i="16"/>
  <c r="AD37" i="16" s="1"/>
  <c r="AD15" i="12"/>
  <c r="P24" i="12"/>
  <c r="AC84" i="18"/>
  <c r="AC75" i="18" s="1"/>
  <c r="AC46" i="16"/>
  <c r="AC37" i="16" s="1"/>
  <c r="AC11" i="10"/>
  <c r="AC17" i="10" s="1"/>
  <c r="U84" i="18"/>
  <c r="U75" i="18" s="1"/>
  <c r="U46" i="16"/>
  <c r="U37" i="16" s="1"/>
  <c r="U11" i="10"/>
  <c r="M84" i="18"/>
  <c r="M75" i="18" s="1"/>
  <c r="M46" i="16"/>
  <c r="M37" i="16" s="1"/>
  <c r="M11" i="10"/>
  <c r="M17" i="10" s="1"/>
  <c r="E84" i="18"/>
  <c r="E75" i="18" s="1"/>
  <c r="E46" i="16"/>
  <c r="E37" i="16" s="1"/>
  <c r="E11" i="10"/>
  <c r="AK11" i="10" s="1"/>
  <c r="AK17" i="10" s="1"/>
  <c r="X127" i="14"/>
  <c r="X128" i="14" s="1"/>
  <c r="AC127" i="14"/>
  <c r="AC128" i="14" s="1"/>
  <c r="U127" i="14"/>
  <c r="M127" i="14"/>
  <c r="M128" i="14" s="1"/>
  <c r="AK122" i="14"/>
  <c r="AK119" i="14"/>
  <c r="K120" i="14"/>
  <c r="G111" i="14"/>
  <c r="AK109" i="14"/>
  <c r="AB20" i="14"/>
  <c r="AB17" i="14"/>
  <c r="AF15" i="12"/>
  <c r="X15" i="12"/>
  <c r="M111" i="14"/>
  <c r="V105" i="14"/>
  <c r="AL104" i="14"/>
  <c r="AM101" i="14"/>
  <c r="AL101" i="14"/>
  <c r="AM98" i="14"/>
  <c r="AL98" i="14"/>
  <c r="AL96" i="14"/>
  <c r="Q105" i="14"/>
  <c r="AL95" i="14"/>
  <c r="AF105" i="14"/>
  <c r="X105" i="14"/>
  <c r="AM92" i="14"/>
  <c r="P105" i="14"/>
  <c r="H105" i="14"/>
  <c r="AK92" i="14"/>
  <c r="AM91" i="14"/>
  <c r="AD67" i="14"/>
  <c r="AM49" i="14"/>
  <c r="AK49" i="14"/>
  <c r="F67" i="14"/>
  <c r="AD44" i="14"/>
  <c r="AD45" i="14" s="1"/>
  <c r="AD112" i="14" s="1"/>
  <c r="AD113" i="14" s="1"/>
  <c r="AM37" i="14"/>
  <c r="AI34" i="12"/>
  <c r="AI11" i="5" s="1"/>
  <c r="AL18" i="12"/>
  <c r="AF133" i="14"/>
  <c r="E127" i="14"/>
  <c r="AM104" i="14"/>
  <c r="AL103" i="14"/>
  <c r="AM96" i="14"/>
  <c r="AM95" i="14"/>
  <c r="AK95" i="14"/>
  <c r="AK89" i="14"/>
  <c r="AM79" i="14"/>
  <c r="AM78" i="14"/>
  <c r="AK78" i="14"/>
  <c r="AK64" i="14"/>
  <c r="AL115" i="14"/>
  <c r="AL110" i="14"/>
  <c r="AL109" i="14"/>
  <c r="AK107" i="14"/>
  <c r="AM103" i="14"/>
  <c r="AK103" i="14"/>
  <c r="AM100" i="14"/>
  <c r="AM99" i="14"/>
  <c r="AK93" i="14"/>
  <c r="AL86" i="14"/>
  <c r="Q87" i="14"/>
  <c r="AK86" i="14"/>
  <c r="I87" i="14"/>
  <c r="AM80" i="14"/>
  <c r="AL70" i="14"/>
  <c r="R83" i="14"/>
  <c r="AL58" i="14"/>
  <c r="AC105" i="14"/>
  <c r="U105" i="14"/>
  <c r="M105" i="14"/>
  <c r="E105" i="14"/>
  <c r="AK91" i="14"/>
  <c r="AM86" i="14"/>
  <c r="AM85" i="14"/>
  <c r="AM82" i="14"/>
  <c r="E67" i="14"/>
  <c r="AK51" i="14"/>
  <c r="T45" i="14"/>
  <c r="L45" i="14"/>
  <c r="AG84" i="18"/>
  <c r="AG75" i="18" s="1"/>
  <c r="AG46" i="16"/>
  <c r="AG37" i="16" s="1"/>
  <c r="Y84" i="18"/>
  <c r="Y75" i="18" s="1"/>
  <c r="Y46" i="16"/>
  <c r="Y37" i="16" s="1"/>
  <c r="Q84" i="18"/>
  <c r="Q75" i="18" s="1"/>
  <c r="Q46" i="16"/>
  <c r="Q37" i="16" s="1"/>
  <c r="I84" i="18"/>
  <c r="I75" i="18" s="1"/>
  <c r="I46" i="16"/>
  <c r="I37" i="16" s="1"/>
  <c r="U133" i="14"/>
  <c r="S111" i="14"/>
  <c r="AK101" i="14"/>
  <c r="AK98" i="14"/>
  <c r="AK94" i="14"/>
  <c r="AM60" i="14"/>
  <c r="AL51" i="14"/>
  <c r="K112" i="14"/>
  <c r="AF46" i="16"/>
  <c r="AF37" i="16" s="1"/>
  <c r="AF84" i="18"/>
  <c r="AF75" i="18" s="1"/>
  <c r="X46" i="16"/>
  <c r="X37" i="16" s="1"/>
  <c r="X84" i="18"/>
  <c r="X75" i="18" s="1"/>
  <c r="P46" i="16"/>
  <c r="P37" i="16" s="1"/>
  <c r="P84" i="18"/>
  <c r="P75" i="18" s="1"/>
  <c r="H46" i="16"/>
  <c r="H37" i="16" s="1"/>
  <c r="H84" i="18"/>
  <c r="H75" i="18" s="1"/>
  <c r="AK116" i="14"/>
  <c r="AM109" i="14"/>
  <c r="AK99" i="14"/>
  <c r="AB105" i="14"/>
  <c r="T105" i="14"/>
  <c r="L105" i="14"/>
  <c r="AI105" i="14"/>
  <c r="AM93" i="14"/>
  <c r="AA105" i="14"/>
  <c r="S105" i="14"/>
  <c r="K105" i="14"/>
  <c r="AH105" i="14"/>
  <c r="Z105" i="14"/>
  <c r="AM90" i="14"/>
  <c r="AL90" i="14"/>
  <c r="R105" i="14"/>
  <c r="J105" i="14"/>
  <c r="AM89" i="14"/>
  <c r="AB83" i="14"/>
  <c r="L83" i="14"/>
  <c r="AI83" i="14"/>
  <c r="AL77" i="14"/>
  <c r="S83" i="14"/>
  <c r="AM72" i="14"/>
  <c r="AH45" i="14"/>
  <c r="AH112" i="14" s="1"/>
  <c r="R45" i="14"/>
  <c r="AK79" i="14"/>
  <c r="AL66" i="14"/>
  <c r="AL60" i="14"/>
  <c r="AM59" i="14"/>
  <c r="AM58" i="14"/>
  <c r="AL53" i="14"/>
  <c r="AC44" i="14"/>
  <c r="AC45" i="14" s="1"/>
  <c r="AC112" i="14" s="1"/>
  <c r="U44" i="14"/>
  <c r="M44" i="14"/>
  <c r="M45" i="14" s="1"/>
  <c r="E44" i="14"/>
  <c r="E45" i="14" s="1"/>
  <c r="E112" i="14" s="1"/>
  <c r="AM25" i="14"/>
  <c r="AL22" i="14"/>
  <c r="AE17" i="14"/>
  <c r="AE20" i="14"/>
  <c r="AL14" i="14"/>
  <c r="G83" i="14"/>
  <c r="AL80" i="14"/>
  <c r="AL79" i="14"/>
  <c r="AL74" i="14"/>
  <c r="AK72" i="14"/>
  <c r="AM70" i="14"/>
  <c r="AM66" i="14"/>
  <c r="AK61" i="14"/>
  <c r="AL55" i="14"/>
  <c r="AM43" i="14"/>
  <c r="AM41" i="14"/>
  <c r="AL41" i="14"/>
  <c r="AL37" i="14"/>
  <c r="AK32" i="14"/>
  <c r="U34" i="14"/>
  <c r="AL31" i="14"/>
  <c r="AK31" i="14"/>
  <c r="AK34" i="14" s="1"/>
  <c r="E34" i="14"/>
  <c r="AL82" i="14"/>
  <c r="AM77" i="14"/>
  <c r="AK75" i="14"/>
  <c r="AL69" i="14"/>
  <c r="AL65" i="14"/>
  <c r="AK62" i="14"/>
  <c r="AK60" i="14"/>
  <c r="AM55" i="14"/>
  <c r="AM53" i="14"/>
  <c r="AH67" i="14"/>
  <c r="Z67" i="14"/>
  <c r="R67" i="14"/>
  <c r="J67" i="14"/>
  <c r="AI67" i="14"/>
  <c r="AI112" i="14" s="1"/>
  <c r="AA67" i="14"/>
  <c r="AA112" i="14" s="1"/>
  <c r="S67" i="14"/>
  <c r="S112" i="14" s="1"/>
  <c r="K67" i="14"/>
  <c r="AL43" i="14"/>
  <c r="AM42" i="14"/>
  <c r="AL40" i="14"/>
  <c r="AM39" i="14"/>
  <c r="AL39" i="14"/>
  <c r="AL36" i="14"/>
  <c r="AF28" i="14"/>
  <c r="P28" i="14"/>
  <c r="H28" i="14"/>
  <c r="AC20" i="14"/>
  <c r="AK14" i="14"/>
  <c r="O28" i="16"/>
  <c r="W28" i="16"/>
  <c r="X87" i="14"/>
  <c r="AD83" i="14"/>
  <c r="V83" i="14"/>
  <c r="N83" i="14"/>
  <c r="F83" i="14"/>
  <c r="AF83" i="14"/>
  <c r="AM69" i="14"/>
  <c r="X83" i="14"/>
  <c r="P83" i="14"/>
  <c r="H83" i="14"/>
  <c r="AM64" i="14"/>
  <c r="AK58" i="14"/>
  <c r="AK57" i="14"/>
  <c r="AM52" i="14"/>
  <c r="AL50" i="14"/>
  <c r="AL38" i="14"/>
  <c r="Q44" i="14"/>
  <c r="AM73" i="14"/>
  <c r="AK71" i="14"/>
  <c r="AK66" i="14"/>
  <c r="AL63" i="14"/>
  <c r="AL61" i="14"/>
  <c r="AM51" i="14"/>
  <c r="AL49" i="14"/>
  <c r="AE44" i="14"/>
  <c r="AE45" i="14" s="1"/>
  <c r="W44" i="14"/>
  <c r="W45" i="14" s="1"/>
  <c r="O44" i="14"/>
  <c r="O45" i="14" s="1"/>
  <c r="G44" i="14"/>
  <c r="G45" i="14" s="1"/>
  <c r="AF45" i="14"/>
  <c r="AF112" i="14" s="1"/>
  <c r="AM38" i="14"/>
  <c r="AM44" i="14" s="1"/>
  <c r="X44" i="14"/>
  <c r="P45" i="14"/>
  <c r="P112" i="14" s="1"/>
  <c r="H45" i="14"/>
  <c r="Z34" i="14"/>
  <c r="Z45" i="14" s="1"/>
  <c r="Z112" i="14" s="1"/>
  <c r="J34" i="14"/>
  <c r="J45" i="14" s="1"/>
  <c r="J112" i="14" s="1"/>
  <c r="AL27" i="14"/>
  <c r="AM27" i="14"/>
  <c r="X28" i="14"/>
  <c r="AL78" i="14"/>
  <c r="AK77" i="14"/>
  <c r="AK65" i="14"/>
  <c r="AM63" i="14"/>
  <c r="AK53" i="14"/>
  <c r="AG67" i="14"/>
  <c r="AG112" i="14" s="1"/>
  <c r="Y67" i="14"/>
  <c r="AL47" i="14"/>
  <c r="Q67" i="14"/>
  <c r="I67" i="14"/>
  <c r="AK41" i="14"/>
  <c r="AK40" i="14"/>
  <c r="AL32" i="14"/>
  <c r="X34" i="14"/>
  <c r="AM30" i="14"/>
  <c r="T20" i="14"/>
  <c r="T17" i="14"/>
  <c r="AI20" i="14"/>
  <c r="AI17" i="14"/>
  <c r="S20" i="14"/>
  <c r="S17" i="14"/>
  <c r="AL72" i="14"/>
  <c r="AK69" i="14"/>
  <c r="AM61" i="14"/>
  <c r="AK54" i="14"/>
  <c r="AK52" i="14"/>
  <c r="AE67" i="14"/>
  <c r="W67" i="14"/>
  <c r="O67" i="14"/>
  <c r="G67" i="14"/>
  <c r="AF67" i="14"/>
  <c r="X67" i="14"/>
  <c r="AM47" i="14"/>
  <c r="P67" i="14"/>
  <c r="H67" i="14"/>
  <c r="AK38" i="14"/>
  <c r="AB28" i="14"/>
  <c r="AB45" i="14" s="1"/>
  <c r="AB112" i="14" s="1"/>
  <c r="L28" i="14"/>
  <c r="AM22" i="14"/>
  <c r="AA20" i="14"/>
  <c r="AA17" i="14"/>
  <c r="AL13" i="14"/>
  <c r="AK37" i="14"/>
  <c r="AK44" i="14" s="1"/>
  <c r="AL25" i="14"/>
  <c r="W14" i="14"/>
  <c r="W15" i="14" s="1"/>
  <c r="AM13" i="14"/>
  <c r="AF17" i="14"/>
  <c r="AL12" i="14"/>
  <c r="AH14" i="14"/>
  <c r="AH15" i="14" s="1"/>
  <c r="Z14" i="14"/>
  <c r="Z15" i="14" s="1"/>
  <c r="R14" i="14"/>
  <c r="R15" i="14" s="1"/>
  <c r="J14" i="14"/>
  <c r="J15" i="14" s="1"/>
  <c r="J20" i="14" s="1"/>
  <c r="Q34" i="14"/>
  <c r="G34" i="14"/>
  <c r="AM32" i="14"/>
  <c r="I34" i="14"/>
  <c r="I45" i="14" s="1"/>
  <c r="I112" i="14" s="1"/>
  <c r="T28" i="14"/>
  <c r="AD28" i="14"/>
  <c r="V28" i="14"/>
  <c r="V45" i="14" s="1"/>
  <c r="V112" i="14" s="1"/>
  <c r="N28" i="14"/>
  <c r="N45" i="14" s="1"/>
  <c r="N112" i="14" s="1"/>
  <c r="F28" i="14"/>
  <c r="F45" i="14" s="1"/>
  <c r="F112" i="14" s="1"/>
  <c r="AE28" i="16"/>
  <c r="AL24" i="14"/>
  <c r="AK22" i="14"/>
  <c r="U17" i="14"/>
  <c r="AG14" i="14"/>
  <c r="AG15" i="14" s="1"/>
  <c r="Y14" i="14"/>
  <c r="Y15" i="14" s="1"/>
  <c r="AL10" i="14"/>
  <c r="Q14" i="14"/>
  <c r="Q15" i="14" s="1"/>
  <c r="AC17" i="14" s="1"/>
  <c r="I14" i="14"/>
  <c r="I15" i="14" s="1"/>
  <c r="I20" i="14" s="1"/>
  <c r="AM32" i="16"/>
  <c r="AM33" i="14"/>
  <c r="AL30" i="14"/>
  <c r="Q28" i="14"/>
  <c r="AK26" i="14"/>
  <c r="AM24" i="14"/>
  <c r="X14" i="14"/>
  <c r="X15" i="14" s="1"/>
  <c r="AM10" i="14"/>
  <c r="E28" i="14"/>
  <c r="AK24" i="14"/>
  <c r="AK12" i="14"/>
  <c r="AK10" i="14"/>
  <c r="AL11" i="14"/>
  <c r="I25" i="16"/>
  <c r="AI25" i="16"/>
  <c r="AD18" i="16"/>
  <c r="P17" i="16"/>
  <c r="AK15" i="16"/>
  <c r="X18" i="16"/>
  <c r="AE18" i="16"/>
  <c r="G28" i="16"/>
  <c r="AF25" i="16"/>
  <c r="X25" i="16"/>
  <c r="P25" i="16"/>
  <c r="AK20" i="16"/>
  <c r="H25" i="16"/>
  <c r="AK31" i="18"/>
  <c r="AK35" i="18" s="1"/>
  <c r="Y36" i="18"/>
  <c r="Q36" i="18"/>
  <c r="I36" i="18"/>
  <c r="AF39" i="16"/>
  <c r="AK13" i="16"/>
  <c r="AL10" i="16"/>
  <c r="AB13" i="16"/>
  <c r="T18" i="16"/>
  <c r="L18" i="16"/>
  <c r="AM13" i="16"/>
  <c r="AI34" i="18"/>
  <c r="AM33" i="18"/>
  <c r="AM34" i="18" s="1"/>
  <c r="AI35" i="18"/>
  <c r="AL22" i="16"/>
  <c r="AL25" i="16" s="1"/>
  <c r="AB25" i="16"/>
  <c r="P13" i="16"/>
  <c r="J18" i="16"/>
  <c r="AM8" i="16"/>
  <c r="AM45" i="16" s="1"/>
  <c r="AI45" i="16"/>
  <c r="AK69" i="18"/>
  <c r="AK70" i="18" s="1"/>
  <c r="P70" i="18"/>
  <c r="AK66" i="18"/>
  <c r="AK67" i="18" s="1"/>
  <c r="P67" i="18"/>
  <c r="AM9" i="14"/>
  <c r="AA25" i="16"/>
  <c r="AF18" i="16"/>
  <c r="R13" i="16"/>
  <c r="AB48" i="18"/>
  <c r="AL47" i="18"/>
  <c r="AL48" i="18" s="1"/>
  <c r="AM20" i="16"/>
  <c r="AE17" i="16"/>
  <c r="W17" i="16"/>
  <c r="W18" i="16" s="1"/>
  <c r="O17" i="16"/>
  <c r="O18" i="16" s="1"/>
  <c r="G17" i="16"/>
  <c r="G18" i="16" s="1"/>
  <c r="AB53" i="18"/>
  <c r="AL52" i="18"/>
  <c r="W26" i="18"/>
  <c r="AL53" i="18"/>
  <c r="G36" i="18"/>
  <c r="O36" i="18"/>
  <c r="AB17" i="16"/>
  <c r="AM53" i="18"/>
  <c r="AI67" i="18"/>
  <c r="AM65" i="18"/>
  <c r="AM67" i="18" s="1"/>
  <c r="P56" i="18"/>
  <c r="AK55" i="18"/>
  <c r="AK56" i="18" s="1"/>
  <c r="AE57" i="18"/>
  <c r="AE60" i="18" s="1"/>
  <c r="AD57" i="18"/>
  <c r="AD60" i="18" s="1"/>
  <c r="V57" i="18"/>
  <c r="V60" i="18" s="1"/>
  <c r="AL18" i="18"/>
  <c r="AB22" i="18"/>
  <c r="L36" i="18"/>
  <c r="Z75" i="18"/>
  <c r="AH26" i="18"/>
  <c r="Z26" i="18"/>
  <c r="Z36" i="18" s="1"/>
  <c r="R26" i="18"/>
  <c r="R36" i="18" s="1"/>
  <c r="J26" i="18"/>
  <c r="AC13" i="16"/>
  <c r="U13" i="16"/>
  <c r="M13" i="16"/>
  <c r="E13" i="16"/>
  <c r="I67" i="18"/>
  <c r="AB45" i="18"/>
  <c r="AB57" i="18" s="1"/>
  <c r="AB60" i="18" s="1"/>
  <c r="AL42" i="18"/>
  <c r="AL45" i="18" s="1"/>
  <c r="L57" i="18"/>
  <c r="L60" i="18" s="1"/>
  <c r="AC57" i="18"/>
  <c r="AC60" i="18" s="1"/>
  <c r="M57" i="18"/>
  <c r="M60" i="18" s="1"/>
  <c r="S36" i="18"/>
  <c r="AM22" i="18"/>
  <c r="AH75" i="18"/>
  <c r="X57" i="18"/>
  <c r="X60" i="18" s="1"/>
  <c r="H57" i="18"/>
  <c r="H60" i="18" s="1"/>
  <c r="K35" i="18"/>
  <c r="K36" i="18" s="1"/>
  <c r="AE31" i="18"/>
  <c r="AE35" i="18" s="1"/>
  <c r="W31" i="18"/>
  <c r="W35" i="18" s="1"/>
  <c r="O31" i="18"/>
  <c r="O35" i="18" s="1"/>
  <c r="G31" i="18"/>
  <c r="G35" i="18" s="1"/>
  <c r="AL22" i="18"/>
  <c r="V26" i="18"/>
  <c r="V36" i="18" s="1"/>
  <c r="AF26" i="18"/>
  <c r="AF36" i="18" s="1"/>
  <c r="AK10" i="18"/>
  <c r="P11" i="18"/>
  <c r="P26" i="18" s="1"/>
  <c r="H26" i="18"/>
  <c r="H36" i="18" s="1"/>
  <c r="AM42" i="18"/>
  <c r="AM45" i="18" s="1"/>
  <c r="AI45" i="18"/>
  <c r="AA45" i="18"/>
  <c r="AA57" i="18" s="1"/>
  <c r="AA60" i="18" s="1"/>
  <c r="S45" i="18"/>
  <c r="S57" i="18" s="1"/>
  <c r="S60" i="18" s="1"/>
  <c r="K45" i="18"/>
  <c r="K57" i="18" s="1"/>
  <c r="K60" i="18" s="1"/>
  <c r="AA35" i="18"/>
  <c r="AA36" i="18" s="1"/>
  <c r="AB70" i="18"/>
  <c r="AM69" i="18"/>
  <c r="AM70" i="18" s="1"/>
  <c r="P45" i="18"/>
  <c r="AK44" i="18"/>
  <c r="AG45" i="18"/>
  <c r="AG57" i="18" s="1"/>
  <c r="AG60" i="18" s="1"/>
  <c r="Y45" i="18"/>
  <c r="Y57" i="18" s="1"/>
  <c r="Y60" i="18" s="1"/>
  <c r="Q45" i="18"/>
  <c r="Q57" i="18" s="1"/>
  <c r="Q60" i="18" s="1"/>
  <c r="I45" i="18"/>
  <c r="I57" i="18" s="1"/>
  <c r="I60" i="18" s="1"/>
  <c r="AK50" i="18"/>
  <c r="AK53" i="18" s="1"/>
  <c r="P53" i="18"/>
  <c r="P57" i="18" s="1"/>
  <c r="P60" i="18" s="1"/>
  <c r="AF57" i="18"/>
  <c r="AF60" i="18" s="1"/>
  <c r="AI39" i="18"/>
  <c r="AM38" i="18"/>
  <c r="AM39" i="18" s="1"/>
  <c r="AI56" i="18"/>
  <c r="AE53" i="18"/>
  <c r="W53" i="18"/>
  <c r="W57" i="18" s="1"/>
  <c r="W60" i="18" s="1"/>
  <c r="O53" i="18"/>
  <c r="O57" i="18" s="1"/>
  <c r="O60" i="18" s="1"/>
  <c r="G53" i="18"/>
  <c r="G57" i="18" s="1"/>
  <c r="G60" i="18" s="1"/>
  <c r="AH57" i="18"/>
  <c r="AH60" i="18" s="1"/>
  <c r="Z57" i="18"/>
  <c r="Z60" i="18" s="1"/>
  <c r="R57" i="18"/>
  <c r="R60" i="18" s="1"/>
  <c r="J57" i="18"/>
  <c r="J60" i="18" s="1"/>
  <c r="S35" i="18"/>
  <c r="AM35" i="18"/>
  <c r="AG26" i="18"/>
  <c r="AG36" i="18" s="1"/>
  <c r="AK16" i="19"/>
  <c r="AK17" i="19" s="1"/>
  <c r="AK12" i="19"/>
  <c r="AK14" i="19" s="1"/>
  <c r="AK9" i="19"/>
  <c r="AK10" i="19" s="1"/>
  <c r="AK13" i="19"/>
  <c r="AL9" i="19"/>
  <c r="AL10" i="19" s="1"/>
  <c r="AL16" i="19"/>
  <c r="AL17" i="19" s="1"/>
  <c r="AL12" i="19"/>
  <c r="AL14" i="19" s="1"/>
  <c r="AL13" i="19"/>
  <c r="AM12" i="19"/>
  <c r="AM14" i="19" s="1"/>
  <c r="AI53" i="18"/>
  <c r="AK45" i="18"/>
  <c r="AH35" i="18"/>
  <c r="Z35" i="18"/>
  <c r="R35" i="18"/>
  <c r="J35" i="18"/>
  <c r="AE26" i="18"/>
  <c r="AE36" i="18" s="1"/>
  <c r="AG24" i="19"/>
  <c r="AF24" i="19"/>
  <c r="AL13" i="18"/>
  <c r="AL14" i="18" s="1"/>
  <c r="AB14" i="18"/>
  <c r="J24" i="19"/>
  <c r="K24" i="19"/>
  <c r="AM24" i="18"/>
  <c r="AM25" i="18" s="1"/>
  <c r="AK11" i="18"/>
  <c r="R24" i="19"/>
  <c r="AL24" i="19" s="1"/>
  <c r="S24" i="19"/>
  <c r="AE24" i="19"/>
  <c r="W24" i="19"/>
  <c r="X24" i="19"/>
  <c r="AM9" i="19"/>
  <c r="AM10" i="19" s="1"/>
  <c r="AM16" i="19"/>
  <c r="AM17" i="19" s="1"/>
  <c r="AM13" i="19"/>
  <c r="AJ118" i="20"/>
  <c r="AI127" i="20"/>
  <c r="AJ125" i="20"/>
  <c r="O24" i="19"/>
  <c r="G24" i="19"/>
  <c r="AK24" i="19" s="1"/>
  <c r="P31" i="18"/>
  <c r="P35" i="18" s="1"/>
  <c r="AK24" i="18"/>
  <c r="AK25" i="18" s="1"/>
  <c r="AF22" i="18"/>
  <c r="X22" i="18"/>
  <c r="X26" i="18" s="1"/>
  <c r="X36" i="18" s="1"/>
  <c r="AK16" i="18"/>
  <c r="AK22" i="18" s="1"/>
  <c r="P22" i="18"/>
  <c r="H22" i="18"/>
  <c r="AB24" i="19"/>
  <c r="AC24" i="19"/>
  <c r="T24" i="19"/>
  <c r="U24" i="19"/>
  <c r="L24" i="19"/>
  <c r="M24" i="19"/>
  <c r="W125" i="20"/>
  <c r="W135" i="20"/>
  <c r="L118" i="20"/>
  <c r="K127" i="20"/>
  <c r="L125" i="20"/>
  <c r="AI22" i="18"/>
  <c r="AI26" i="18" s="1"/>
  <c r="AI36" i="18" s="1"/>
  <c r="AD22" i="18"/>
  <c r="AD26" i="18" s="1"/>
  <c r="AD36" i="18" s="1"/>
  <c r="V22" i="18"/>
  <c r="N22" i="18"/>
  <c r="N26" i="18" s="1"/>
  <c r="N36" i="18" s="1"/>
  <c r="F22" i="18"/>
  <c r="F26" i="18" s="1"/>
  <c r="F36" i="18" s="1"/>
  <c r="AI24" i="19"/>
  <c r="AA24" i="19"/>
  <c r="AM10" i="18"/>
  <c r="AM11" i="18" s="1"/>
  <c r="AM26" i="18" s="1"/>
  <c r="U59" i="8" l="1"/>
  <c r="AO15" i="21"/>
  <c r="AO60" i="21" s="1"/>
  <c r="AC39" i="8"/>
  <c r="AC68" i="8" s="1"/>
  <c r="P59" i="8"/>
  <c r="Q28" i="3"/>
  <c r="Q34" i="3" s="1"/>
  <c r="AN58" i="21"/>
  <c r="AC59" i="8"/>
  <c r="AM15" i="21"/>
  <c r="AM60" i="21" s="1"/>
  <c r="G39" i="8"/>
  <c r="AH39" i="8"/>
  <c r="AH68" i="8" s="1"/>
  <c r="V39" i="8"/>
  <c r="AO58" i="21"/>
  <c r="AF56" i="8"/>
  <c r="O31" i="8"/>
  <c r="K39" i="8"/>
  <c r="O28" i="3"/>
  <c r="O33" i="3" s="1"/>
  <c r="V58" i="21"/>
  <c r="V60" i="21"/>
  <c r="AG86" i="7"/>
  <c r="AC24" i="2"/>
  <c r="M28" i="3"/>
  <c r="M33" i="3" s="1"/>
  <c r="J58" i="21"/>
  <c r="J60" i="21"/>
  <c r="L58" i="21"/>
  <c r="L60" i="21"/>
  <c r="AP15" i="8"/>
  <c r="E31" i="8"/>
  <c r="L31" i="8"/>
  <c r="AR30" i="8"/>
  <c r="N18" i="8"/>
  <c r="N22" i="8" s="1"/>
  <c r="M24" i="2"/>
  <c r="Z58" i="21"/>
  <c r="Z60" i="21"/>
  <c r="T58" i="21"/>
  <c r="T60" i="21"/>
  <c r="AP13" i="8"/>
  <c r="M58" i="8"/>
  <c r="AB58" i="21"/>
  <c r="AB60" i="21"/>
  <c r="W39" i="8"/>
  <c r="O39" i="8"/>
  <c r="N28" i="3"/>
  <c r="N33" i="3" s="1"/>
  <c r="AL28" i="16"/>
  <c r="AL83" i="7"/>
  <c r="M58" i="10"/>
  <c r="F86" i="18"/>
  <c r="F77" i="18" s="1"/>
  <c r="F85" i="18"/>
  <c r="F113" i="14"/>
  <c r="F15" i="10"/>
  <c r="AB85" i="18"/>
  <c r="AB86" i="18"/>
  <c r="AB77" i="18" s="1"/>
  <c r="AB15" i="10"/>
  <c r="J85" i="18"/>
  <c r="J86" i="18"/>
  <c r="J77" i="18" s="1"/>
  <c r="J15" i="10"/>
  <c r="AD138" i="14"/>
  <c r="AD129" i="14"/>
  <c r="O58" i="10"/>
  <c r="V86" i="18"/>
  <c r="V77" i="18" s="1"/>
  <c r="V85" i="18"/>
  <c r="V113" i="14"/>
  <c r="V15" i="10"/>
  <c r="AA85" i="18"/>
  <c r="AA86" i="18"/>
  <c r="AA77" i="18" s="1"/>
  <c r="AA15" i="10"/>
  <c r="AO34" i="14"/>
  <c r="X82" i="7"/>
  <c r="O48" i="7"/>
  <c r="O82" i="7"/>
  <c r="N85" i="18"/>
  <c r="N86" i="18"/>
  <c r="N77" i="18" s="1"/>
  <c r="N113" i="14"/>
  <c r="N15" i="10"/>
  <c r="W48" i="7"/>
  <c r="W82" i="7"/>
  <c r="Z85" i="18"/>
  <c r="Z86" i="18"/>
  <c r="Z77" i="18" s="1"/>
  <c r="Z15" i="10"/>
  <c r="AC58" i="10"/>
  <c r="AG82" i="7"/>
  <c r="AE48" i="7"/>
  <c r="AE56" i="7" s="1"/>
  <c r="AE73" i="7" s="1"/>
  <c r="AE82" i="7"/>
  <c r="I86" i="18"/>
  <c r="I77" i="18" s="1"/>
  <c r="I85" i="18"/>
  <c r="I15" i="10"/>
  <c r="AA82" i="7"/>
  <c r="AA48" i="7"/>
  <c r="AA56" i="7" s="1"/>
  <c r="AA73" i="7" s="1"/>
  <c r="AD82" i="7"/>
  <c r="AD48" i="7"/>
  <c r="AD56" i="7" s="1"/>
  <c r="AD73" i="7" s="1"/>
  <c r="AR17" i="8"/>
  <c r="AI31" i="8"/>
  <c r="AI66" i="8" s="1"/>
  <c r="AM27" i="8"/>
  <c r="AM31" i="8" s="1"/>
  <c r="AF49" i="8"/>
  <c r="AF65" i="8"/>
  <c r="AP17" i="8"/>
  <c r="AQ37" i="8"/>
  <c r="AA31" i="8"/>
  <c r="AA66" i="8" s="1"/>
  <c r="AQ27" i="8"/>
  <c r="AQ16" i="8"/>
  <c r="AR36" i="8"/>
  <c r="X39" i="8"/>
  <c r="X68" i="8" s="1"/>
  <c r="P18" i="8"/>
  <c r="AK12" i="8"/>
  <c r="AK18" i="8" s="1"/>
  <c r="F18" i="8"/>
  <c r="H47" i="8"/>
  <c r="AH18" i="8"/>
  <c r="AH63" i="8" s="1"/>
  <c r="U47" i="8"/>
  <c r="Q57" i="8"/>
  <c r="AB56" i="8" s="1"/>
  <c r="AL56" i="8" s="1"/>
  <c r="Q87" i="7"/>
  <c r="AB86" i="7" s="1"/>
  <c r="AB74" i="7" s="1"/>
  <c r="AL74" i="7" s="1"/>
  <c r="Q15" i="2"/>
  <c r="Q12" i="2"/>
  <c r="N58" i="8"/>
  <c r="N59" i="8"/>
  <c r="N24" i="2"/>
  <c r="L24" i="2"/>
  <c r="L32" i="2"/>
  <c r="E59" i="8"/>
  <c r="E58" i="8"/>
  <c r="E24" i="2"/>
  <c r="O32" i="2"/>
  <c r="O24" i="2"/>
  <c r="I32" i="2"/>
  <c r="I24" i="2"/>
  <c r="U33" i="2"/>
  <c r="AC18" i="16"/>
  <c r="AC82" i="7"/>
  <c r="AK15" i="14"/>
  <c r="AO32" i="14" s="1"/>
  <c r="AO14" i="14"/>
  <c r="AM105" i="14"/>
  <c r="Y47" i="10"/>
  <c r="Y76" i="7"/>
  <c r="AK105" i="14"/>
  <c r="AO105" i="14" s="1"/>
  <c r="AO89" i="14"/>
  <c r="AB113" i="14"/>
  <c r="AB137" i="14"/>
  <c r="F24" i="12"/>
  <c r="F38" i="12"/>
  <c r="J47" i="10"/>
  <c r="J76" i="7"/>
  <c r="AQ38" i="8"/>
  <c r="AO20" i="8"/>
  <c r="AO21" i="8" s="1"/>
  <c r="AG21" i="8"/>
  <c r="AG64" i="8" s="1"/>
  <c r="T59" i="8"/>
  <c r="T58" i="8"/>
  <c r="J113" i="14"/>
  <c r="J137" i="14"/>
  <c r="AM34" i="14"/>
  <c r="N47" i="10"/>
  <c r="N76" i="7"/>
  <c r="AP30" i="8"/>
  <c r="AQ13" i="8"/>
  <c r="AO24" i="8"/>
  <c r="AO25" i="8" s="1"/>
  <c r="AG25" i="8"/>
  <c r="AM36" i="18"/>
  <c r="AL57" i="18"/>
  <c r="AL60" i="18" s="1"/>
  <c r="I28" i="16"/>
  <c r="I83" i="7"/>
  <c r="R17" i="14"/>
  <c r="R20" i="14"/>
  <c r="AD17" i="14"/>
  <c r="W20" i="14"/>
  <c r="W17" i="14"/>
  <c r="Y112" i="14"/>
  <c r="O112" i="14"/>
  <c r="AP39" i="14"/>
  <c r="AI85" i="18"/>
  <c r="AI86" i="18"/>
  <c r="AI15" i="10"/>
  <c r="V17" i="14"/>
  <c r="AO72" i="14"/>
  <c r="AP53" i="14"/>
  <c r="AF47" i="10"/>
  <c r="AF76" i="7"/>
  <c r="AG47" i="10"/>
  <c r="AG76" i="7"/>
  <c r="AK67" i="14"/>
  <c r="AO92" i="14"/>
  <c r="AP96" i="14"/>
  <c r="X24" i="12"/>
  <c r="X38" i="12"/>
  <c r="AO119" i="14"/>
  <c r="AK120" i="14"/>
  <c r="E76" i="7"/>
  <c r="AK117" i="14"/>
  <c r="AO115" i="14"/>
  <c r="H30" i="12"/>
  <c r="H39" i="12"/>
  <c r="AM111" i="14"/>
  <c r="W24" i="12"/>
  <c r="W38" i="12"/>
  <c r="Q48" i="16"/>
  <c r="Q39" i="16" s="1"/>
  <c r="Q47" i="16"/>
  <c r="Q24" i="12"/>
  <c r="AD17" i="10"/>
  <c r="AP9" i="10"/>
  <c r="AA47" i="10"/>
  <c r="AA76" i="7"/>
  <c r="J39" i="12"/>
  <c r="J30" i="12"/>
  <c r="AO21" i="12"/>
  <c r="AO17" i="10"/>
  <c r="AG58" i="10"/>
  <c r="N78" i="7"/>
  <c r="V58" i="10"/>
  <c r="AA78" i="7"/>
  <c r="AO26" i="12"/>
  <c r="AK29" i="12"/>
  <c r="AO29" i="12" s="1"/>
  <c r="E24" i="3"/>
  <c r="AB26" i="9"/>
  <c r="J31" i="9"/>
  <c r="AD86" i="7"/>
  <c r="K82" i="7"/>
  <c r="K48" i="7"/>
  <c r="K56" i="7" s="1"/>
  <c r="K73" i="7" s="1"/>
  <c r="G48" i="7"/>
  <c r="G56" i="7" s="1"/>
  <c r="G73" i="7" s="1"/>
  <c r="G82" i="7"/>
  <c r="AP20" i="8"/>
  <c r="AP21" i="8" s="1"/>
  <c r="AD21" i="8"/>
  <c r="AD64" i="8" s="1"/>
  <c r="Y18" i="8"/>
  <c r="Y63" i="8" s="1"/>
  <c r="AB42" i="8"/>
  <c r="AB69" i="8" s="1"/>
  <c r="AL41" i="8"/>
  <c r="AL42" i="8" s="1"/>
  <c r="AO33" i="8"/>
  <c r="AO34" i="8" s="1"/>
  <c r="AG34" i="8"/>
  <c r="AG67" i="8" s="1"/>
  <c r="AE31" i="8"/>
  <c r="AE66" i="8" s="1"/>
  <c r="AL36" i="8"/>
  <c r="AL39" i="8" s="1"/>
  <c r="AB39" i="8"/>
  <c r="AB68" i="8" s="1"/>
  <c r="R49" i="8"/>
  <c r="AQ36" i="8"/>
  <c r="AA39" i="8"/>
  <c r="AA68" i="8" s="1"/>
  <c r="AQ30" i="8"/>
  <c r="Y65" i="8"/>
  <c r="AP28" i="8"/>
  <c r="X25" i="8"/>
  <c r="AR24" i="8"/>
  <c r="AR25" i="8" s="1"/>
  <c r="S31" i="8"/>
  <c r="AO12" i="8"/>
  <c r="AG18" i="8"/>
  <c r="AG63" i="8" s="1"/>
  <c r="P39" i="8"/>
  <c r="AK36" i="8"/>
  <c r="AK39" i="8" s="1"/>
  <c r="AH31" i="8"/>
  <c r="AH66" i="8" s="1"/>
  <c r="H18" i="8"/>
  <c r="H22" i="8" s="1"/>
  <c r="AE18" i="8"/>
  <c r="AE63" i="8" s="1"/>
  <c r="AQ9" i="8"/>
  <c r="AQ10" i="8" s="1"/>
  <c r="AA10" i="8"/>
  <c r="AO14" i="8"/>
  <c r="AC18" i="8"/>
  <c r="AC63" i="8" s="1"/>
  <c r="X10" i="8"/>
  <c r="AR9" i="8"/>
  <c r="AR10" i="8" s="1"/>
  <c r="AP14" i="8"/>
  <c r="Z18" i="8"/>
  <c r="Z63" i="8" s="1"/>
  <c r="M47" i="8"/>
  <c r="V58" i="8"/>
  <c r="V59" i="8"/>
  <c r="V24" i="2"/>
  <c r="J32" i="2"/>
  <c r="J24" i="2"/>
  <c r="AC86" i="7"/>
  <c r="O31" i="9"/>
  <c r="O25" i="9"/>
  <c r="O55" i="7"/>
  <c r="W127" i="20"/>
  <c r="X125" i="20"/>
  <c r="X118" i="20"/>
  <c r="AM57" i="18"/>
  <c r="AM60" i="18" s="1"/>
  <c r="R18" i="16"/>
  <c r="R82" i="7"/>
  <c r="X28" i="16"/>
  <c r="X83" i="7"/>
  <c r="AF86" i="18"/>
  <c r="AF77" i="18" s="1"/>
  <c r="AF85" i="18"/>
  <c r="AF113" i="14"/>
  <c r="AF15" i="10"/>
  <c r="AO99" i="14"/>
  <c r="AR9" i="10"/>
  <c r="X17" i="10"/>
  <c r="AH23" i="19"/>
  <c r="AH43" i="12"/>
  <c r="AH36" i="12"/>
  <c r="AH9" i="5"/>
  <c r="AH13" i="5" s="1"/>
  <c r="Y58" i="10"/>
  <c r="AP47" i="7"/>
  <c r="P26" i="7"/>
  <c r="P48" i="7" s="1"/>
  <c r="P51" i="7"/>
  <c r="E49" i="8"/>
  <c r="J47" i="8"/>
  <c r="AM10" i="2"/>
  <c r="AQ28" i="2" s="1"/>
  <c r="AO22" i="14"/>
  <c r="AK28" i="14"/>
  <c r="AO28" i="14" s="1"/>
  <c r="AK83" i="14"/>
  <c r="AO69" i="14"/>
  <c r="AE137" i="14"/>
  <c r="AM87" i="14"/>
  <c r="AL117" i="14"/>
  <c r="H78" i="7"/>
  <c r="AF25" i="9"/>
  <c r="AF26" i="9" s="1"/>
  <c r="AF55" i="7"/>
  <c r="AF56" i="7" s="1"/>
  <c r="AF73" i="7" s="1"/>
  <c r="AR28" i="8"/>
  <c r="J36" i="18"/>
  <c r="AA28" i="16"/>
  <c r="AA83" i="7"/>
  <c r="AB18" i="16"/>
  <c r="AB82" i="7"/>
  <c r="AO10" i="14"/>
  <c r="AO26" i="14"/>
  <c r="I113" i="14"/>
  <c r="I137" i="14"/>
  <c r="Z17" i="14"/>
  <c r="Z20" i="14"/>
  <c r="AG86" i="18"/>
  <c r="AG77" i="18" s="1"/>
  <c r="AG85" i="18"/>
  <c r="AG15" i="10"/>
  <c r="W112" i="14"/>
  <c r="AC113" i="14"/>
  <c r="AC137" i="14"/>
  <c r="AP22" i="14"/>
  <c r="AL28" i="14"/>
  <c r="AO91" i="14"/>
  <c r="AP98" i="14"/>
  <c r="AF24" i="12"/>
  <c r="AF38" i="12"/>
  <c r="AK127" i="14"/>
  <c r="AO127" i="14" s="1"/>
  <c r="AC47" i="10"/>
  <c r="AC76" i="7"/>
  <c r="AQ9" i="10"/>
  <c r="F128" i="14"/>
  <c r="F133" i="14"/>
  <c r="V24" i="12"/>
  <c r="V38" i="12"/>
  <c r="AL87" i="14"/>
  <c r="Y47" i="16"/>
  <c r="Y48" i="16"/>
  <c r="Y39" i="16" s="1"/>
  <c r="R24" i="12"/>
  <c r="R38" i="12"/>
  <c r="L58" i="10"/>
  <c r="K24" i="12"/>
  <c r="K38" i="12"/>
  <c r="E48" i="16"/>
  <c r="E39" i="16" s="1"/>
  <c r="E47" i="16"/>
  <c r="E24" i="12"/>
  <c r="Z47" i="10"/>
  <c r="Z76" i="7"/>
  <c r="L24" i="12"/>
  <c r="L38" i="12"/>
  <c r="AQ11" i="10"/>
  <c r="AB17" i="10"/>
  <c r="J78" i="7"/>
  <c r="F25" i="3"/>
  <c r="O78" i="7"/>
  <c r="W78" i="7"/>
  <c r="AL34" i="12"/>
  <c r="AP34" i="12" s="1"/>
  <c r="AC31" i="9"/>
  <c r="AD56" i="8"/>
  <c r="S82" i="7"/>
  <c r="S48" i="7"/>
  <c r="S56" i="7" s="1"/>
  <c r="S73" i="7" s="1"/>
  <c r="AM33" i="8"/>
  <c r="AM34" i="8" s="1"/>
  <c r="AI34" i="8"/>
  <c r="AI67" i="8" s="1"/>
  <c r="X47" i="7"/>
  <c r="X48" i="7" s="1"/>
  <c r="X56" i="7" s="1"/>
  <c r="X73" i="7" s="1"/>
  <c r="F31" i="9"/>
  <c r="AC48" i="7"/>
  <c r="AC56" i="7" s="1"/>
  <c r="AC73" i="7" s="1"/>
  <c r="AO27" i="8"/>
  <c r="AG31" i="8"/>
  <c r="AG66" i="8" s="1"/>
  <c r="X25" i="9"/>
  <c r="X26" i="9" s="1"/>
  <c r="X55" i="7"/>
  <c r="AQ33" i="8"/>
  <c r="AQ34" i="8" s="1"/>
  <c r="AA34" i="8"/>
  <c r="AA67" i="8" s="1"/>
  <c r="AP41" i="8"/>
  <c r="AP42" i="8" s="1"/>
  <c r="AD42" i="8"/>
  <c r="AD69" i="8" s="1"/>
  <c r="AK27" i="8"/>
  <c r="AK31" i="8" s="1"/>
  <c r="P31" i="8"/>
  <c r="I31" i="8"/>
  <c r="I43" i="8" s="1"/>
  <c r="H31" i="8"/>
  <c r="AQ29" i="8"/>
  <c r="W31" i="8"/>
  <c r="T18" i="8"/>
  <c r="U48" i="8" s="1"/>
  <c r="T39" i="8"/>
  <c r="J49" i="8"/>
  <c r="AP16" i="8"/>
  <c r="S18" i="8"/>
  <c r="S22" i="8" s="1"/>
  <c r="S39" i="8"/>
  <c r="AP38" i="8"/>
  <c r="Z39" i="8"/>
  <c r="Z68" i="8" s="1"/>
  <c r="P25" i="8"/>
  <c r="AK24" i="8"/>
  <c r="AK25" i="8" s="1"/>
  <c r="K31" i="8"/>
  <c r="K18" i="8"/>
  <c r="K22" i="8" s="1"/>
  <c r="H39" i="8"/>
  <c r="H43" i="8" s="1"/>
  <c r="AP29" i="8"/>
  <c r="Z31" i="8"/>
  <c r="Z66" i="8" s="1"/>
  <c r="AR20" i="8"/>
  <c r="AR21" i="8" s="1"/>
  <c r="X21" i="8"/>
  <c r="X64" i="8" s="1"/>
  <c r="AD10" i="8"/>
  <c r="AP9" i="8"/>
  <c r="AP10" i="8" s="1"/>
  <c r="W18" i="8"/>
  <c r="W22" i="8" s="1"/>
  <c r="AR13" i="8"/>
  <c r="R47" i="8"/>
  <c r="R22" i="8"/>
  <c r="U18" i="8"/>
  <c r="U22" i="8" s="1"/>
  <c r="O47" i="8"/>
  <c r="R18" i="8"/>
  <c r="E47" i="8"/>
  <c r="F58" i="8"/>
  <c r="F59" i="8"/>
  <c r="F49" i="8" s="1"/>
  <c r="F24" i="2"/>
  <c r="AD59" i="8"/>
  <c r="AD58" i="8"/>
  <c r="AD24" i="2"/>
  <c r="AH32" i="2"/>
  <c r="AH24" i="2"/>
  <c r="M33" i="2"/>
  <c r="Z32" i="2"/>
  <c r="Z24" i="2"/>
  <c r="AF32" i="2"/>
  <c r="AF24" i="2"/>
  <c r="I82" i="7"/>
  <c r="I48" i="7"/>
  <c r="I56" i="7" s="1"/>
  <c r="I73" i="7" s="1"/>
  <c r="AC12" i="2"/>
  <c r="AO57" i="14"/>
  <c r="AL15" i="14"/>
  <c r="AP74" i="14" s="1"/>
  <c r="F16" i="3"/>
  <c r="U47" i="10"/>
  <c r="U76" i="7"/>
  <c r="AG30" i="12"/>
  <c r="AG39" i="12"/>
  <c r="AK133" i="14"/>
  <c r="AO133" i="14" s="1"/>
  <c r="N38" i="12"/>
  <c r="N24" i="12"/>
  <c r="T24" i="12"/>
  <c r="T38" i="12"/>
  <c r="AM29" i="12"/>
  <c r="AQ26" i="12"/>
  <c r="G24" i="3"/>
  <c r="AO47" i="7"/>
  <c r="AG42" i="8"/>
  <c r="AG69" i="8" s="1"/>
  <c r="AO41" i="8"/>
  <c r="AO42" i="8" s="1"/>
  <c r="AC22" i="8"/>
  <c r="AC47" i="8"/>
  <c r="AC62" i="8"/>
  <c r="H32" i="2"/>
  <c r="H24" i="2"/>
  <c r="AF28" i="16"/>
  <c r="AF83" i="7"/>
  <c r="AO58" i="14"/>
  <c r="AL44" i="14"/>
  <c r="K58" i="10"/>
  <c r="AM10" i="12"/>
  <c r="G9" i="3"/>
  <c r="Z24" i="12"/>
  <c r="Z38" i="12"/>
  <c r="M49" i="8"/>
  <c r="AR14" i="8"/>
  <c r="AI39" i="8"/>
  <c r="AI68" i="8" s="1"/>
  <c r="AM36" i="8"/>
  <c r="AM39" i="8" s="1"/>
  <c r="M118" i="20"/>
  <c r="M125" i="20"/>
  <c r="L127" i="20"/>
  <c r="AB26" i="18"/>
  <c r="AB36" i="18" s="1"/>
  <c r="AB75" i="18"/>
  <c r="AM25" i="16"/>
  <c r="AO12" i="14"/>
  <c r="Q20" i="14"/>
  <c r="Q17" i="14"/>
  <c r="AH17" i="14"/>
  <c r="AH20" i="14"/>
  <c r="AO37" i="14"/>
  <c r="AA113" i="14"/>
  <c r="AA137" i="14"/>
  <c r="AO38" i="14"/>
  <c r="S137" i="14"/>
  <c r="S113" i="14"/>
  <c r="AO40" i="14"/>
  <c r="AO53" i="14"/>
  <c r="H112" i="14"/>
  <c r="AE112" i="14"/>
  <c r="AE113" i="14" s="1"/>
  <c r="Q45" i="14"/>
  <c r="Q112" i="14" s="1"/>
  <c r="AP40" i="14"/>
  <c r="AP65" i="14"/>
  <c r="R112" i="14"/>
  <c r="H47" i="10"/>
  <c r="H76" i="7"/>
  <c r="I47" i="10"/>
  <c r="I76" i="7"/>
  <c r="L112" i="14"/>
  <c r="AO51" i="14"/>
  <c r="AO86" i="14"/>
  <c r="AO103" i="14"/>
  <c r="AO64" i="14"/>
  <c r="AP103" i="14"/>
  <c r="AI58" i="10"/>
  <c r="AQ17" i="12"/>
  <c r="AM23" i="12"/>
  <c r="G15" i="3"/>
  <c r="V47" i="10"/>
  <c r="V76" i="7"/>
  <c r="W47" i="10"/>
  <c r="W76" i="7"/>
  <c r="AG47" i="16"/>
  <c r="AG48" i="16"/>
  <c r="AG39" i="16" s="1"/>
  <c r="L48" i="16"/>
  <c r="L39" i="16" s="1"/>
  <c r="L47" i="16"/>
  <c r="T58" i="10"/>
  <c r="K47" i="10"/>
  <c r="K76" i="7"/>
  <c r="M48" i="16"/>
  <c r="M39" i="16" s="1"/>
  <c r="M47" i="16"/>
  <c r="L47" i="10"/>
  <c r="L76" i="7"/>
  <c r="Z134" i="14"/>
  <c r="Z128" i="14"/>
  <c r="AE24" i="12"/>
  <c r="AE38" i="12"/>
  <c r="M24" i="12"/>
  <c r="P78" i="7"/>
  <c r="O26" i="9"/>
  <c r="Z78" i="7"/>
  <c r="R31" i="9"/>
  <c r="E86" i="7"/>
  <c r="F86" i="7"/>
  <c r="AL26" i="7"/>
  <c r="AL48" i="7" s="1"/>
  <c r="AL56" i="7" s="1"/>
  <c r="AL73" i="7" s="1"/>
  <c r="AQ14" i="8"/>
  <c r="Q31" i="8"/>
  <c r="AB25" i="8"/>
  <c r="AL24" i="8"/>
  <c r="AL25" i="8" s="1"/>
  <c r="U49" i="8"/>
  <c r="T49" i="8"/>
  <c r="Y47" i="8"/>
  <c r="Y62" i="8"/>
  <c r="L39" i="8"/>
  <c r="L43" i="8" s="1"/>
  <c r="AD31" i="8"/>
  <c r="AD66" i="8" s="1"/>
  <c r="AP27" i="8"/>
  <c r="AB21" i="8"/>
  <c r="AB64" i="8" s="1"/>
  <c r="AL20" i="8"/>
  <c r="AL21" i="8" s="1"/>
  <c r="V47" i="8"/>
  <c r="R39" i="8"/>
  <c r="H49" i="8"/>
  <c r="AG39" i="8"/>
  <c r="AG68" i="8" s="1"/>
  <c r="AO36" i="8"/>
  <c r="AO30" i="8"/>
  <c r="AE49" i="8"/>
  <c r="AE65" i="8"/>
  <c r="AL33" i="8"/>
  <c r="AL34" i="8" s="1"/>
  <c r="AB34" i="8"/>
  <c r="AB67" i="8" s="1"/>
  <c r="R31" i="8"/>
  <c r="AK20" i="8"/>
  <c r="AK21" i="8" s="1"/>
  <c r="P21" i="8"/>
  <c r="AL12" i="8"/>
  <c r="AL18" i="8" s="1"/>
  <c r="AB18" i="8"/>
  <c r="AB63" i="8" s="1"/>
  <c r="T47" i="8"/>
  <c r="O18" i="8"/>
  <c r="I47" i="8"/>
  <c r="M18" i="8"/>
  <c r="M22" i="8" s="1"/>
  <c r="F22" i="8"/>
  <c r="F47" i="8"/>
  <c r="J18" i="8"/>
  <c r="J22" i="8" s="1"/>
  <c r="AO9" i="8"/>
  <c r="AO10" i="8" s="1"/>
  <c r="AG10" i="8"/>
  <c r="AA58" i="8"/>
  <c r="AA59" i="8"/>
  <c r="AA24" i="2"/>
  <c r="R32" i="2"/>
  <c r="R24" i="2"/>
  <c r="AC56" i="8"/>
  <c r="AE32" i="2"/>
  <c r="AE24" i="2"/>
  <c r="X32" i="2"/>
  <c r="X24" i="2"/>
  <c r="Q82" i="7"/>
  <c r="Q48" i="7"/>
  <c r="Q56" i="7" s="1"/>
  <c r="Q73" i="7" s="1"/>
  <c r="AL10" i="2"/>
  <c r="AP21" i="2" s="1"/>
  <c r="W25" i="9"/>
  <c r="W26" i="9" s="1"/>
  <c r="W31" i="9"/>
  <c r="W55" i="7"/>
  <c r="AP70" i="14"/>
  <c r="AH78" i="7"/>
  <c r="N82" i="7"/>
  <c r="N48" i="7"/>
  <c r="N56" i="7" s="1"/>
  <c r="N73" i="7" s="1"/>
  <c r="AF39" i="8"/>
  <c r="AF68" i="8" s="1"/>
  <c r="AK23" i="2"/>
  <c r="AG32" i="2"/>
  <c r="AG24" i="2"/>
  <c r="AI77" i="18"/>
  <c r="AI57" i="18"/>
  <c r="AI60" i="18" s="1"/>
  <c r="AI28" i="16"/>
  <c r="AI83" i="7"/>
  <c r="G112" i="14"/>
  <c r="G47" i="10"/>
  <c r="G76" i="7"/>
  <c r="AF58" i="10"/>
  <c r="AO123" i="14"/>
  <c r="AK84" i="18"/>
  <c r="AK75" i="18" s="1"/>
  <c r="AK46" i="16"/>
  <c r="AK37" i="16" s="1"/>
  <c r="AK15" i="12"/>
  <c r="AO10" i="12"/>
  <c r="AO14" i="12"/>
  <c r="AO22" i="12"/>
  <c r="J58" i="10"/>
  <c r="AM34" i="12"/>
  <c r="AQ34" i="12" s="1"/>
  <c r="X11" i="5"/>
  <c r="AM11" i="5" s="1"/>
  <c r="AH31" i="9"/>
  <c r="E39" i="8"/>
  <c r="E43" i="8" s="1"/>
  <c r="Z49" i="8"/>
  <c r="Z65" i="8"/>
  <c r="AL26" i="18"/>
  <c r="AL36" i="18" s="1"/>
  <c r="P36" i="18"/>
  <c r="E18" i="16"/>
  <c r="E82" i="7"/>
  <c r="AL34" i="14"/>
  <c r="AP30" i="14"/>
  <c r="AP10" i="14"/>
  <c r="AM28" i="14"/>
  <c r="AO41" i="14"/>
  <c r="P86" i="18"/>
  <c r="P77" i="18" s="1"/>
  <c r="P85" i="18"/>
  <c r="P113" i="14"/>
  <c r="P15" i="10"/>
  <c r="AO66" i="14"/>
  <c r="AP38" i="14"/>
  <c r="AP69" i="14"/>
  <c r="AL83" i="14"/>
  <c r="AP83" i="14" s="1"/>
  <c r="AO31" i="14"/>
  <c r="AP80" i="14"/>
  <c r="E85" i="18"/>
  <c r="E86" i="18"/>
  <c r="E77" i="18" s="1"/>
  <c r="E113" i="14"/>
  <c r="E15" i="10"/>
  <c r="AH85" i="18"/>
  <c r="AH86" i="18"/>
  <c r="AH77" i="18" s="1"/>
  <c r="AH15" i="10"/>
  <c r="K85" i="18"/>
  <c r="K86" i="18"/>
  <c r="K77" i="18" s="1"/>
  <c r="K113" i="14"/>
  <c r="K15" i="10"/>
  <c r="T112" i="14"/>
  <c r="AO78" i="14"/>
  <c r="AP101" i="14"/>
  <c r="M47" i="10"/>
  <c r="M76" i="7"/>
  <c r="P39" i="12"/>
  <c r="P30" i="12"/>
  <c r="G58" i="10"/>
  <c r="AO124" i="14"/>
  <c r="AO20" i="12"/>
  <c r="E18" i="3"/>
  <c r="U18" i="3" s="1"/>
  <c r="R47" i="10"/>
  <c r="R76" i="7"/>
  <c r="T48" i="16"/>
  <c r="T39" i="16" s="1"/>
  <c r="T47" i="16"/>
  <c r="H58" i="10"/>
  <c r="Z58" i="10"/>
  <c r="AI24" i="12"/>
  <c r="AI38" i="12"/>
  <c r="U47" i="16"/>
  <c r="U48" i="16"/>
  <c r="U39" i="16" s="1"/>
  <c r="U24" i="12"/>
  <c r="Y30" i="12"/>
  <c r="Y39" i="12"/>
  <c r="AB24" i="12"/>
  <c r="AB38" i="12"/>
  <c r="R78" i="7"/>
  <c r="AM120" i="14"/>
  <c r="AO35" i="12"/>
  <c r="V78" i="7"/>
  <c r="AO27" i="12"/>
  <c r="E25" i="3"/>
  <c r="AE78" i="7"/>
  <c r="E17" i="10"/>
  <c r="AA58" i="10"/>
  <c r="AQ17" i="10"/>
  <c r="AO26" i="7"/>
  <c r="AO48" i="7" s="1"/>
  <c r="AM48" i="7"/>
  <c r="T82" i="7"/>
  <c r="T48" i="7"/>
  <c r="T56" i="7" s="1"/>
  <c r="T73" i="7" s="1"/>
  <c r="K56" i="8"/>
  <c r="E56" i="8"/>
  <c r="F56" i="8"/>
  <c r="I56" i="8"/>
  <c r="F83" i="7"/>
  <c r="F48" i="7"/>
  <c r="F56" i="7" s="1"/>
  <c r="F73" i="7" s="1"/>
  <c r="AQ12" i="8"/>
  <c r="AA18" i="8"/>
  <c r="AA63" i="8" s="1"/>
  <c r="AR38" i="8"/>
  <c r="AC49" i="8"/>
  <c r="AC65" i="8"/>
  <c r="AR37" i="8"/>
  <c r="G31" i="8"/>
  <c r="V31" i="8"/>
  <c r="AI42" i="8"/>
  <c r="AI69" i="8" s="1"/>
  <c r="AM41" i="8"/>
  <c r="AM42" i="8" s="1"/>
  <c r="AO29" i="8"/>
  <c r="AC31" i="8"/>
  <c r="AC66" i="8" s="1"/>
  <c r="AI21" i="8"/>
  <c r="AI64" i="8" s="1"/>
  <c r="AM20" i="8"/>
  <c r="AM21" i="8" s="1"/>
  <c r="Q18" i="8"/>
  <c r="J39" i="8"/>
  <c r="AM12" i="8"/>
  <c r="AM18" i="8" s="1"/>
  <c r="AI18" i="8"/>
  <c r="AI63" i="8" s="1"/>
  <c r="Y39" i="8"/>
  <c r="Y68" i="8" s="1"/>
  <c r="W49" i="8"/>
  <c r="W43" i="8"/>
  <c r="J31" i="8"/>
  <c r="J43" i="8" s="1"/>
  <c r="AO15" i="8"/>
  <c r="I18" i="8"/>
  <c r="I22" i="8" s="1"/>
  <c r="K47" i="8"/>
  <c r="G18" i="8"/>
  <c r="G48" i="8" s="1"/>
  <c r="E18" i="8"/>
  <c r="E22" i="8" s="1"/>
  <c r="AF47" i="8"/>
  <c r="AF62" i="8"/>
  <c r="I58" i="8"/>
  <c r="I59" i="8"/>
  <c r="L58" i="8"/>
  <c r="L59" i="8"/>
  <c r="L49" i="8" s="1"/>
  <c r="W32" i="2"/>
  <c r="W24" i="2"/>
  <c r="K59" i="8"/>
  <c r="K58" i="8"/>
  <c r="K24" i="2"/>
  <c r="AL23" i="2"/>
  <c r="AB24" i="2"/>
  <c r="AB32" i="2"/>
  <c r="AI86" i="7"/>
  <c r="Y32" i="2"/>
  <c r="Y24" i="2"/>
  <c r="T24" i="2"/>
  <c r="T32" i="2"/>
  <c r="AC33" i="2"/>
  <c r="AM18" i="16"/>
  <c r="AM82" i="7"/>
  <c r="AC85" i="18"/>
  <c r="AC86" i="18"/>
  <c r="AC77" i="18" s="1"/>
  <c r="AC15" i="10"/>
  <c r="AO98" i="14"/>
  <c r="AP95" i="14"/>
  <c r="G24" i="12"/>
  <c r="G38" i="12"/>
  <c r="AH47" i="10"/>
  <c r="AH76" i="7"/>
  <c r="F17" i="3"/>
  <c r="V17" i="3" s="1"/>
  <c r="AQ21" i="12"/>
  <c r="G19" i="3"/>
  <c r="W19" i="3" s="1"/>
  <c r="F58" i="10"/>
  <c r="AH65" i="8"/>
  <c r="AH49" i="8"/>
  <c r="AR12" i="8"/>
  <c r="X18" i="8"/>
  <c r="X63" i="8" s="1"/>
  <c r="AP47" i="14"/>
  <c r="AL67" i="14"/>
  <c r="AP67" i="14" s="1"/>
  <c r="AO85" i="14"/>
  <c r="AK87" i="14"/>
  <c r="AO87" i="14" s="1"/>
  <c r="I47" i="16"/>
  <c r="I48" i="16"/>
  <c r="I39" i="16" s="1"/>
  <c r="I24" i="12"/>
  <c r="AP125" i="14"/>
  <c r="AL35" i="12"/>
  <c r="Q12" i="5"/>
  <c r="AL12" i="5" s="1"/>
  <c r="AQ48" i="7"/>
  <c r="AR43" i="7"/>
  <c r="AR47" i="7" s="1"/>
  <c r="AK26" i="18"/>
  <c r="AK36" i="18" s="1"/>
  <c r="AK18" i="16"/>
  <c r="AK82" i="7"/>
  <c r="AM24" i="19"/>
  <c r="AK57" i="18"/>
  <c r="AK60" i="18" s="1"/>
  <c r="M18" i="16"/>
  <c r="M82" i="7"/>
  <c r="AH36" i="18"/>
  <c r="W36" i="18"/>
  <c r="P18" i="16"/>
  <c r="P82" i="7"/>
  <c r="AK25" i="16"/>
  <c r="AK17" i="16"/>
  <c r="Y20" i="14"/>
  <c r="Y17" i="14"/>
  <c r="AO52" i="14"/>
  <c r="AI113" i="14"/>
  <c r="AI137" i="14"/>
  <c r="X45" i="14"/>
  <c r="X112" i="14" s="1"/>
  <c r="AO71" i="14"/>
  <c r="AP50" i="14"/>
  <c r="AP43" i="14"/>
  <c r="AO75" i="14"/>
  <c r="AP31" i="14"/>
  <c r="AP55" i="14"/>
  <c r="M112" i="14"/>
  <c r="AL105" i="14"/>
  <c r="AP105" i="14" s="1"/>
  <c r="P47" i="10"/>
  <c r="P76" i="7"/>
  <c r="Q47" i="10"/>
  <c r="Q76" i="7"/>
  <c r="AP86" i="14"/>
  <c r="AO107" i="14"/>
  <c r="AK111" i="14"/>
  <c r="AO111" i="14" s="1"/>
  <c r="AD24" i="12"/>
  <c r="AD38" i="12"/>
  <c r="AQ22" i="12"/>
  <c r="G20" i="3"/>
  <c r="W20" i="3" s="1"/>
  <c r="AO125" i="14"/>
  <c r="AQ18" i="12"/>
  <c r="G16" i="3"/>
  <c r="W16" i="3" s="1"/>
  <c r="AB48" i="16"/>
  <c r="AB39" i="16" s="1"/>
  <c r="AB47" i="16"/>
  <c r="AH58" i="10"/>
  <c r="AO110" i="14"/>
  <c r="S84" i="18"/>
  <c r="S75" i="18" s="1"/>
  <c r="S46" i="16"/>
  <c r="S37" i="16" s="1"/>
  <c r="S15" i="12"/>
  <c r="S12" i="12"/>
  <c r="S11" i="10"/>
  <c r="AI37" i="16"/>
  <c r="AC47" i="16"/>
  <c r="AC48" i="16"/>
  <c r="AC39" i="16" s="1"/>
  <c r="AC24" i="12"/>
  <c r="O24" i="12"/>
  <c r="O38" i="12"/>
  <c r="AM11" i="10"/>
  <c r="AM17" i="10" s="1"/>
  <c r="AB47" i="10"/>
  <c r="AB76" i="7"/>
  <c r="AM35" i="12"/>
  <c r="AQ35" i="12" s="1"/>
  <c r="X12" i="5"/>
  <c r="AM12" i="5" s="1"/>
  <c r="K47" i="16"/>
  <c r="K48" i="16"/>
  <c r="K39" i="16" s="1"/>
  <c r="AE47" i="10"/>
  <c r="AE76" i="7"/>
  <c r="X78" i="7"/>
  <c r="AI26" i="7"/>
  <c r="AI51" i="7"/>
  <c r="AB31" i="9"/>
  <c r="Y47" i="7"/>
  <c r="Y83" i="7" s="1"/>
  <c r="AD31" i="9"/>
  <c r="R48" i="8"/>
  <c r="V31" i="9"/>
  <c r="AP22" i="7"/>
  <c r="AP26" i="7" s="1"/>
  <c r="AP48" i="7" s="1"/>
  <c r="AQ28" i="8"/>
  <c r="AE22" i="8"/>
  <c r="AE47" i="8"/>
  <c r="AE62" i="8"/>
  <c r="AR27" i="8"/>
  <c r="X31" i="8"/>
  <c r="X66" i="8" s="1"/>
  <c r="AO37" i="8"/>
  <c r="AE39" i="8"/>
  <c r="AE68" i="8" s="1"/>
  <c r="AP36" i="8"/>
  <c r="AD39" i="8"/>
  <c r="AD68" i="8" s="1"/>
  <c r="AO38" i="8"/>
  <c r="AO28" i="8"/>
  <c r="AM24" i="8"/>
  <c r="AM25" i="8" s="1"/>
  <c r="AI25" i="8"/>
  <c r="AO17" i="8"/>
  <c r="AP37" i="8"/>
  <c r="X34" i="8"/>
  <c r="X67" i="8" s="1"/>
  <c r="AR33" i="8"/>
  <c r="AR34" i="8" s="1"/>
  <c r="N31" i="8"/>
  <c r="AQ41" i="8"/>
  <c r="AQ42" i="8" s="1"/>
  <c r="AA42" i="8"/>
  <c r="AA69" i="8" s="1"/>
  <c r="U31" i="8"/>
  <c r="U43" i="8" s="1"/>
  <c r="AQ20" i="8"/>
  <c r="AQ21" i="8" s="1"/>
  <c r="AA21" i="8"/>
  <c r="AA64" i="8" s="1"/>
  <c r="P10" i="8"/>
  <c r="AK9" i="8"/>
  <c r="AK10" i="8" s="1"/>
  <c r="AD34" i="8"/>
  <c r="AD67" i="8" s="1"/>
  <c r="AP33" i="8"/>
  <c r="AP34" i="8" s="1"/>
  <c r="AB31" i="8"/>
  <c r="AB66" i="8" s="1"/>
  <c r="AL27" i="8"/>
  <c r="AL31" i="8" s="1"/>
  <c r="L18" i="8"/>
  <c r="Q39" i="8"/>
  <c r="O49" i="8"/>
  <c r="O43" i="8"/>
  <c r="AR41" i="8"/>
  <c r="AR42" i="8" s="1"/>
  <c r="X42" i="8"/>
  <c r="X69" i="8" s="1"/>
  <c r="AP24" i="8"/>
  <c r="AP25" i="8" s="1"/>
  <c r="AD25" i="8"/>
  <c r="AH47" i="8"/>
  <c r="AH62" i="8"/>
  <c r="AH22" i="8"/>
  <c r="AO13" i="8"/>
  <c r="AL9" i="8"/>
  <c r="AL10" i="8" s="1"/>
  <c r="AB10" i="8"/>
  <c r="AP12" i="8"/>
  <c r="AD18" i="8"/>
  <c r="AD63" i="8" s="1"/>
  <c r="AI10" i="8"/>
  <c r="AM9" i="8"/>
  <c r="AM10" i="8" s="1"/>
  <c r="W47" i="8"/>
  <c r="Y58" i="8"/>
  <c r="Y59" i="8"/>
  <c r="AB58" i="8"/>
  <c r="AB59" i="8"/>
  <c r="AH86" i="7"/>
  <c r="AQ17" i="2"/>
  <c r="AM23" i="2"/>
  <c r="Z48" i="8"/>
  <c r="AI58" i="8"/>
  <c r="AI59" i="8"/>
  <c r="AI24" i="2"/>
  <c r="G57" i="8"/>
  <c r="P56" i="8" s="1"/>
  <c r="AK56" i="8" s="1"/>
  <c r="G87" i="7"/>
  <c r="J86" i="7" s="1"/>
  <c r="G15" i="2"/>
  <c r="AG58" i="8"/>
  <c r="AG59" i="8"/>
  <c r="AI56" i="8"/>
  <c r="AM56" i="8" s="1"/>
  <c r="AE86" i="7"/>
  <c r="AF78" i="7"/>
  <c r="T113" i="14"/>
  <c r="T137" i="14"/>
  <c r="S85" i="18"/>
  <c r="S86" i="18"/>
  <c r="S77" i="18" s="1"/>
  <c r="S15" i="10"/>
  <c r="X47" i="10"/>
  <c r="X76" i="7"/>
  <c r="AD85" i="18"/>
  <c r="AD86" i="18"/>
  <c r="AD77" i="18" s="1"/>
  <c r="AD15" i="10"/>
  <c r="AO19" i="12"/>
  <c r="E17" i="3"/>
  <c r="U17" i="3" s="1"/>
  <c r="AP107" i="14"/>
  <c r="AL111" i="14"/>
  <c r="AP111" i="14" s="1"/>
  <c r="AP124" i="14"/>
  <c r="R58" i="10"/>
  <c r="N49" i="8"/>
  <c r="Q22" i="8"/>
  <c r="AQ19" i="2"/>
  <c r="X17" i="14"/>
  <c r="X20" i="14"/>
  <c r="AO60" i="14"/>
  <c r="K134" i="14"/>
  <c r="AK134" i="14" s="1"/>
  <c r="AO134" i="14" s="1"/>
  <c r="K128" i="14"/>
  <c r="F47" i="10"/>
  <c r="F76" i="7"/>
  <c r="AA24" i="12"/>
  <c r="AA38" i="12"/>
  <c r="T47" i="10"/>
  <c r="T76" i="7"/>
  <c r="G78" i="7"/>
  <c r="AO34" i="12"/>
  <c r="U58" i="10"/>
  <c r="AH48" i="7"/>
  <c r="AH56" i="7" s="1"/>
  <c r="AH73" i="7" s="1"/>
  <c r="AH82" i="7"/>
  <c r="Y82" i="7"/>
  <c r="AR22" i="7"/>
  <c r="AR26" i="7" s="1"/>
  <c r="AR48" i="7" s="1"/>
  <c r="V82" i="7"/>
  <c r="V48" i="7"/>
  <c r="V56" i="7" s="1"/>
  <c r="V73" i="7" s="1"/>
  <c r="N39" i="8"/>
  <c r="AM14" i="14"/>
  <c r="H28" i="16"/>
  <c r="H83" i="7"/>
  <c r="AO24" i="14"/>
  <c r="AK118" i="20"/>
  <c r="AK125" i="20"/>
  <c r="AJ127" i="20"/>
  <c r="U18" i="16"/>
  <c r="U82" i="7"/>
  <c r="AB28" i="16"/>
  <c r="AB83" i="7"/>
  <c r="AL13" i="16"/>
  <c r="P28" i="16"/>
  <c r="P83" i="7"/>
  <c r="AG20" i="14"/>
  <c r="AG17" i="14"/>
  <c r="AM67" i="14"/>
  <c r="AO54" i="14"/>
  <c r="AO65" i="14"/>
  <c r="AP27" i="14"/>
  <c r="AP49" i="14"/>
  <c r="AM83" i="14"/>
  <c r="AO61" i="14"/>
  <c r="U45" i="14"/>
  <c r="U112" i="14" s="1"/>
  <c r="AP51" i="14"/>
  <c r="AO94" i="14"/>
  <c r="AP109" i="14"/>
  <c r="AP104" i="14"/>
  <c r="AO109" i="14"/>
  <c r="AD47" i="10"/>
  <c r="AD76" i="7"/>
  <c r="F47" i="16"/>
  <c r="F48" i="16"/>
  <c r="F39" i="16" s="1"/>
  <c r="AO18" i="12"/>
  <c r="E16" i="3"/>
  <c r="U16" i="3" s="1"/>
  <c r="AM127" i="14"/>
  <c r="F26" i="3"/>
  <c r="V26" i="3" s="1"/>
  <c r="AL127" i="14"/>
  <c r="AP127" i="14" s="1"/>
  <c r="AP122" i="14"/>
  <c r="AO17" i="12"/>
  <c r="AK23" i="12"/>
  <c r="E15" i="3"/>
  <c r="P58" i="10"/>
  <c r="AP119" i="14"/>
  <c r="AL120" i="14"/>
  <c r="AP120" i="14" s="1"/>
  <c r="AP9" i="12"/>
  <c r="AL10" i="12"/>
  <c r="F9" i="3"/>
  <c r="AL23" i="12"/>
  <c r="O47" i="10"/>
  <c r="O76" i="7"/>
  <c r="AQ19" i="12"/>
  <c r="G17" i="3"/>
  <c r="W17" i="3" s="1"/>
  <c r="AQ27" i="12"/>
  <c r="G25" i="3"/>
  <c r="AI48" i="16"/>
  <c r="AI39" i="16" s="1"/>
  <c r="AI47" i="16"/>
  <c r="Q58" i="10"/>
  <c r="AD78" i="7"/>
  <c r="AP21" i="12"/>
  <c r="F19" i="3"/>
  <c r="V19" i="3" s="1"/>
  <c r="S78" i="7"/>
  <c r="AL29" i="12"/>
  <c r="AP29" i="12" s="1"/>
  <c r="F24" i="3"/>
  <c r="I26" i="9"/>
  <c r="AG47" i="7"/>
  <c r="AG83" i="7" s="1"/>
  <c r="H48" i="7"/>
  <c r="H56" i="7" s="1"/>
  <c r="H73" i="7" s="1"/>
  <c r="H82" i="7"/>
  <c r="AG56" i="8"/>
  <c r="AQ17" i="8"/>
  <c r="F39" i="8"/>
  <c r="AR16" i="8"/>
  <c r="AQ24" i="8"/>
  <c r="AQ25" i="8" s="1"/>
  <c r="AA25" i="8"/>
  <c r="AK33" i="8"/>
  <c r="AK34" i="8" s="1"/>
  <c r="P34" i="8"/>
  <c r="F31" i="8"/>
  <c r="F43" i="8" s="1"/>
  <c r="M31" i="8"/>
  <c r="M43" i="8" s="1"/>
  <c r="AR29" i="8"/>
  <c r="T31" i="8"/>
  <c r="T43" i="8" s="1"/>
  <c r="L22" i="8"/>
  <c r="L47" i="8"/>
  <c r="I39" i="8"/>
  <c r="G49" i="8"/>
  <c r="G43" i="8"/>
  <c r="P42" i="8"/>
  <c r="AK41" i="8"/>
  <c r="AK42" i="8" s="1"/>
  <c r="V49" i="8"/>
  <c r="V43" i="8"/>
  <c r="AF18" i="8"/>
  <c r="AF63" i="8" s="1"/>
  <c r="S47" i="8"/>
  <c r="V18" i="8"/>
  <c r="W48" i="8" s="1"/>
  <c r="AQ15" i="8"/>
  <c r="Z47" i="8"/>
  <c r="Z22" i="8"/>
  <c r="Z62" i="8"/>
  <c r="AR15" i="8"/>
  <c r="N47" i="8"/>
  <c r="AH56" i="8"/>
  <c r="Q58" i="8"/>
  <c r="Q59" i="8"/>
  <c r="Q48" i="8" s="1"/>
  <c r="P32" i="2"/>
  <c r="P24" i="2"/>
  <c r="AK10" i="2"/>
  <c r="AO20" i="2" s="1"/>
  <c r="AQ21" i="2"/>
  <c r="S58" i="8"/>
  <c r="S59" i="8"/>
  <c r="S24" i="2"/>
  <c r="AE56" i="8"/>
  <c r="AC48" i="8"/>
  <c r="AQ18" i="2" l="1"/>
  <c r="O48" i="8"/>
  <c r="T56" i="8"/>
  <c r="Z56" i="8"/>
  <c r="X56" i="8"/>
  <c r="AA56" i="8"/>
  <c r="AF22" i="8"/>
  <c r="M56" i="8"/>
  <c r="AH48" i="8"/>
  <c r="K43" i="8"/>
  <c r="W56" i="8"/>
  <c r="S43" i="8"/>
  <c r="AM58" i="21"/>
  <c r="AO9" i="2"/>
  <c r="T22" i="8"/>
  <c r="G47" i="8"/>
  <c r="Q47" i="8"/>
  <c r="AB48" i="8"/>
  <c r="S48" i="8"/>
  <c r="M48" i="8"/>
  <c r="AR18" i="8"/>
  <c r="AC43" i="8"/>
  <c r="AP9" i="2"/>
  <c r="W44" i="8"/>
  <c r="V48" i="8"/>
  <c r="T44" i="8"/>
  <c r="T45" i="8" s="1"/>
  <c r="O56" i="8"/>
  <c r="E44" i="8"/>
  <c r="E45" i="8" s="1"/>
  <c r="AE48" i="8"/>
  <c r="AP18" i="8"/>
  <c r="G56" i="8"/>
  <c r="M86" i="7"/>
  <c r="A1" i="21"/>
  <c r="A2" i="21"/>
  <c r="AQ22" i="2"/>
  <c r="AP17" i="2"/>
  <c r="AP28" i="2"/>
  <c r="AI48" i="8"/>
  <c r="N43" i="8"/>
  <c r="Z43" i="8"/>
  <c r="Z44" i="8" s="1"/>
  <c r="R43" i="8"/>
  <c r="AC44" i="8"/>
  <c r="AC45" i="8" s="1"/>
  <c r="U44" i="8"/>
  <c r="AP19" i="2"/>
  <c r="Q43" i="8"/>
  <c r="H44" i="8"/>
  <c r="H52" i="8" s="1"/>
  <c r="AG48" i="8"/>
  <c r="AP18" i="2"/>
  <c r="U81" i="7"/>
  <c r="U52" i="8"/>
  <c r="AE129" i="14"/>
  <c r="AE138" i="14"/>
  <c r="H81" i="7"/>
  <c r="AP56" i="7"/>
  <c r="AP73" i="7" s="1"/>
  <c r="J44" i="8"/>
  <c r="W45" i="8"/>
  <c r="K44" i="8"/>
  <c r="K52" i="8" s="1"/>
  <c r="AF74" i="7"/>
  <c r="I44" i="8"/>
  <c r="M44" i="8"/>
  <c r="N138" i="14"/>
  <c r="N129" i="14"/>
  <c r="X48" i="8"/>
  <c r="P33" i="2"/>
  <c r="Z70" i="8"/>
  <c r="L44" i="8"/>
  <c r="AL84" i="18"/>
  <c r="AL75" i="18" s="1"/>
  <c r="AL46" i="16"/>
  <c r="AL37" i="16" s="1"/>
  <c r="AP10" i="12"/>
  <c r="AP14" i="12"/>
  <c r="AL12" i="12"/>
  <c r="AL15" i="12"/>
  <c r="AP17" i="12"/>
  <c r="AP22" i="12"/>
  <c r="AP20" i="12"/>
  <c r="AP33" i="12"/>
  <c r="AG113" i="14"/>
  <c r="AG137" i="14"/>
  <c r="AA30" i="12"/>
  <c r="AA39" i="12"/>
  <c r="T138" i="14"/>
  <c r="T129" i="14"/>
  <c r="Y48" i="8"/>
  <c r="AB22" i="8"/>
  <c r="AB47" i="8"/>
  <c r="AB62" i="8"/>
  <c r="AE70" i="8"/>
  <c r="S38" i="12"/>
  <c r="S24" i="12"/>
  <c r="I78" i="7"/>
  <c r="K48" i="8"/>
  <c r="AF70" i="8"/>
  <c r="H56" i="8"/>
  <c r="J56" i="8"/>
  <c r="Y23" i="19"/>
  <c r="Y36" i="12"/>
  <c r="Y43" i="12"/>
  <c r="Y9" i="5"/>
  <c r="Y13" i="5" s="1"/>
  <c r="P129" i="14"/>
  <c r="P138" i="14"/>
  <c r="AG22" i="8"/>
  <c r="AG47" i="8"/>
  <c r="AG62" i="8"/>
  <c r="AO39" i="8"/>
  <c r="AO43" i="8" s="1"/>
  <c r="V22" i="8"/>
  <c r="V44" i="8" s="1"/>
  <c r="V52" i="8" s="1"/>
  <c r="Y22" i="8"/>
  <c r="P86" i="7"/>
  <c r="AE39" i="12"/>
  <c r="AE30" i="12"/>
  <c r="M78" i="7"/>
  <c r="H86" i="18"/>
  <c r="H77" i="18" s="1"/>
  <c r="H85" i="18"/>
  <c r="H113" i="14"/>
  <c r="H15" i="10"/>
  <c r="AC70" i="8"/>
  <c r="AQ29" i="12"/>
  <c r="AO31" i="8"/>
  <c r="AP27" i="12"/>
  <c r="AP90" i="14"/>
  <c r="Z113" i="14"/>
  <c r="Z137" i="14"/>
  <c r="AH43" i="5"/>
  <c r="AH22" i="5"/>
  <c r="AH42" i="5" s="1"/>
  <c r="AP133" i="14"/>
  <c r="T86" i="7"/>
  <c r="AQ39" i="8"/>
  <c r="AD58" i="10"/>
  <c r="AP17" i="10"/>
  <c r="AP77" i="14"/>
  <c r="W113" i="14"/>
  <c r="W137" i="14"/>
  <c r="AQ34" i="14"/>
  <c r="T48" i="8"/>
  <c r="S56" i="8"/>
  <c r="V18" i="10"/>
  <c r="V20" i="10" s="1"/>
  <c r="V19" i="10"/>
  <c r="AK22" i="8"/>
  <c r="M85" i="18"/>
  <c r="M86" i="18"/>
  <c r="M77" i="18" s="1"/>
  <c r="M113" i="14"/>
  <c r="M15" i="10"/>
  <c r="U78" i="7"/>
  <c r="S33" i="2"/>
  <c r="AL22" i="8"/>
  <c r="K78" i="7"/>
  <c r="O39" i="12"/>
  <c r="O30" i="12"/>
  <c r="S76" i="7"/>
  <c r="G39" i="12"/>
  <c r="G30" i="12"/>
  <c r="W33" i="2"/>
  <c r="T74" i="7"/>
  <c r="E58" i="10"/>
  <c r="U39" i="12"/>
  <c r="U30" i="12"/>
  <c r="AH19" i="10"/>
  <c r="AH18" i="10"/>
  <c r="AP34" i="14"/>
  <c r="AO19" i="2"/>
  <c r="AL57" i="8"/>
  <c r="AL47" i="8" s="1"/>
  <c r="AP14" i="2"/>
  <c r="AL12" i="2"/>
  <c r="AL15" i="2"/>
  <c r="AP10" i="2"/>
  <c r="AP22" i="2"/>
  <c r="Y86" i="7"/>
  <c r="N86" i="7"/>
  <c r="AL11" i="5"/>
  <c r="L85" i="18"/>
  <c r="L86" i="18"/>
  <c r="L77" i="18" s="1"/>
  <c r="L113" i="14"/>
  <c r="L15" i="10"/>
  <c r="AP79" i="14"/>
  <c r="AH113" i="14"/>
  <c r="AH137" i="14"/>
  <c r="AM28" i="16"/>
  <c r="AM83" i="7"/>
  <c r="I52" i="8"/>
  <c r="AH33" i="2"/>
  <c r="Q49" i="8"/>
  <c r="AC74" i="7"/>
  <c r="E39" i="12"/>
  <c r="E30" i="12"/>
  <c r="R39" i="12"/>
  <c r="R30" i="12"/>
  <c r="AF39" i="12"/>
  <c r="AF30" i="12"/>
  <c r="AP28" i="14"/>
  <c r="AP61" i="14"/>
  <c r="AH105" i="5"/>
  <c r="AH40" i="12"/>
  <c r="AP110" i="14"/>
  <c r="Y125" i="20"/>
  <c r="Y118" i="20"/>
  <c r="X127" i="20"/>
  <c r="S86" i="7"/>
  <c r="V33" i="2"/>
  <c r="X49" i="8"/>
  <c r="X65" i="8"/>
  <c r="X43" i="8"/>
  <c r="Q39" i="12"/>
  <c r="Q30" i="12"/>
  <c r="H23" i="19"/>
  <c r="H36" i="12"/>
  <c r="H43" i="12"/>
  <c r="H9" i="5"/>
  <c r="H13" i="5" s="1"/>
  <c r="X30" i="12"/>
  <c r="X39" i="12"/>
  <c r="AO79" i="14"/>
  <c r="AB138" i="14"/>
  <c r="AB129" i="14"/>
  <c r="O33" i="2"/>
  <c r="AA86" i="7"/>
  <c r="Q32" i="2"/>
  <c r="Q24" i="2"/>
  <c r="AQ31" i="8"/>
  <c r="AQ43" i="8" s="1"/>
  <c r="K49" i="8"/>
  <c r="I18" i="10"/>
  <c r="I19" i="10"/>
  <c r="I84" i="10" s="1"/>
  <c r="AG48" i="7"/>
  <c r="AG56" i="7" s="1"/>
  <c r="AG73" i="7" s="1"/>
  <c r="N18" i="10"/>
  <c r="N20" i="10" s="1"/>
  <c r="N19" i="10"/>
  <c r="V138" i="14"/>
  <c r="V129" i="14"/>
  <c r="E81" i="7"/>
  <c r="J23" i="19"/>
  <c r="J143" i="14"/>
  <c r="J36" i="12"/>
  <c r="J43" i="12"/>
  <c r="J9" i="5"/>
  <c r="J13" i="5" s="1"/>
  <c r="F18" i="10"/>
  <c r="F19" i="10"/>
  <c r="F84" i="10" s="1"/>
  <c r="F27" i="3"/>
  <c r="AL18" i="16"/>
  <c r="AL82" i="7"/>
  <c r="AQ14" i="14"/>
  <c r="AM15" i="14"/>
  <c r="W86" i="7"/>
  <c r="AM59" i="8"/>
  <c r="AM48" i="8" s="1"/>
  <c r="AM58" i="8"/>
  <c r="AQ23" i="2"/>
  <c r="P22" i="8"/>
  <c r="P47" i="8"/>
  <c r="AP39" i="8"/>
  <c r="AI25" i="9"/>
  <c r="AI31" i="9" s="1"/>
  <c r="AI55" i="7"/>
  <c r="AM51" i="7"/>
  <c r="AO51" i="7"/>
  <c r="AO55" i="7" s="1"/>
  <c r="AC78" i="7"/>
  <c r="AB33" i="2"/>
  <c r="T78" i="7"/>
  <c r="P23" i="19"/>
  <c r="P143" i="14"/>
  <c r="P43" i="12"/>
  <c r="P36" i="12"/>
  <c r="P9" i="5"/>
  <c r="P13" i="5" s="1"/>
  <c r="G22" i="8"/>
  <c r="G44" i="8" s="1"/>
  <c r="AP31" i="8"/>
  <c r="K86" i="7"/>
  <c r="L86" i="7"/>
  <c r="AM134" i="14"/>
  <c r="AQ134" i="14" s="1"/>
  <c r="AL134" i="14"/>
  <c r="AP134" i="14" s="1"/>
  <c r="S138" i="14"/>
  <c r="S129" i="14"/>
  <c r="Z39" i="12"/>
  <c r="Z30" i="12"/>
  <c r="AP36" i="14"/>
  <c r="N30" i="12"/>
  <c r="N39" i="12"/>
  <c r="AP18" i="12"/>
  <c r="AF33" i="2"/>
  <c r="AD33" i="2"/>
  <c r="AP22" i="8"/>
  <c r="AB20" i="10"/>
  <c r="AB58" i="10"/>
  <c r="E78" i="7"/>
  <c r="AO15" i="10"/>
  <c r="AG18" i="10"/>
  <c r="AG19" i="10"/>
  <c r="I129" i="14"/>
  <c r="I138" i="14"/>
  <c r="AP51" i="7"/>
  <c r="AP55" i="7" s="1"/>
  <c r="AM128" i="14"/>
  <c r="AQ128" i="14" s="1"/>
  <c r="P25" i="9"/>
  <c r="AK51" i="7"/>
  <c r="P55" i="7"/>
  <c r="X22" i="8"/>
  <c r="X44" i="8" s="1"/>
  <c r="X62" i="8"/>
  <c r="X47" i="8"/>
  <c r="Q78" i="7"/>
  <c r="AO117" i="14"/>
  <c r="AK128" i="14"/>
  <c r="AO128" i="14" s="1"/>
  <c r="O85" i="18"/>
  <c r="O86" i="18"/>
  <c r="O77" i="18" s="1"/>
  <c r="O113" i="14"/>
  <c r="O15" i="10"/>
  <c r="J129" i="14"/>
  <c r="J138" i="14"/>
  <c r="AK20" i="14"/>
  <c r="AO19" i="14"/>
  <c r="AO15" i="14"/>
  <c r="AO33" i="14"/>
  <c r="AO73" i="14"/>
  <c r="AO132" i="14"/>
  <c r="AO74" i="14"/>
  <c r="AO90" i="14"/>
  <c r="AO76" i="14"/>
  <c r="AO39" i="14"/>
  <c r="AO96" i="14"/>
  <c r="AO104" i="14"/>
  <c r="AO100" i="14"/>
  <c r="AO108" i="14"/>
  <c r="AO102" i="14"/>
  <c r="AO97" i="14"/>
  <c r="AO13" i="14"/>
  <c r="AO70" i="14"/>
  <c r="AO126" i="14"/>
  <c r="AO81" i="14"/>
  <c r="AO48" i="14"/>
  <c r="AO56" i="14"/>
  <c r="AO82" i="14"/>
  <c r="AO80" i="14"/>
  <c r="AO27" i="14"/>
  <c r="AO23" i="14"/>
  <c r="AO25" i="14"/>
  <c r="AO55" i="14"/>
  <c r="AO11" i="14"/>
  <c r="AO63" i="14"/>
  <c r="AO36" i="14"/>
  <c r="AO50" i="14"/>
  <c r="AO43" i="14"/>
  <c r="AO59" i="14"/>
  <c r="AO30" i="14"/>
  <c r="AO42" i="14"/>
  <c r="AO47" i="14"/>
  <c r="AO9" i="14"/>
  <c r="E33" i="2"/>
  <c r="U86" i="7"/>
  <c r="U74" i="7" s="1"/>
  <c r="Y56" i="8"/>
  <c r="AA18" i="10"/>
  <c r="AA19" i="10"/>
  <c r="F138" i="14"/>
  <c r="F129" i="14"/>
  <c r="N125" i="20"/>
  <c r="N118" i="20"/>
  <c r="M127" i="20"/>
  <c r="T30" i="12"/>
  <c r="T39" i="12"/>
  <c r="W86" i="18"/>
  <c r="W77" i="18" s="1"/>
  <c r="W85" i="18"/>
  <c r="W15" i="10"/>
  <c r="AI82" i="7"/>
  <c r="AI48" i="7"/>
  <c r="AC18" i="10"/>
  <c r="AC20" i="10" s="1"/>
  <c r="AC19" i="10"/>
  <c r="AC84" i="10" s="1"/>
  <c r="AL59" i="8"/>
  <c r="AL48" i="8" s="1"/>
  <c r="AL58" i="8"/>
  <c r="D47" i="2"/>
  <c r="AP23" i="2"/>
  <c r="L48" i="8"/>
  <c r="J48" i="8"/>
  <c r="T85" i="18"/>
  <c r="T86" i="18"/>
  <c r="T77" i="18" s="1"/>
  <c r="T15" i="10"/>
  <c r="E18" i="10"/>
  <c r="E20" i="10" s="1"/>
  <c r="E19" i="10"/>
  <c r="E84" i="10" s="1"/>
  <c r="AG33" i="2"/>
  <c r="AA33" i="2"/>
  <c r="F44" i="8"/>
  <c r="F52" i="8" s="1"/>
  <c r="I86" i="7"/>
  <c r="Q137" i="14"/>
  <c r="Q113" i="14"/>
  <c r="G10" i="3"/>
  <c r="G13" i="3" s="1"/>
  <c r="G22" i="3" s="1"/>
  <c r="G28" i="3" s="1"/>
  <c r="W9" i="3"/>
  <c r="W10" i="3" s="1"/>
  <c r="W13" i="3" s="1"/>
  <c r="AP44" i="14"/>
  <c r="AL45" i="14"/>
  <c r="AL17" i="14"/>
  <c r="AL20" i="14"/>
  <c r="AP15" i="14"/>
  <c r="AP92" i="14"/>
  <c r="AP132" i="14"/>
  <c r="AP100" i="14"/>
  <c r="AP126" i="14"/>
  <c r="AP89" i="14"/>
  <c r="AP9" i="14"/>
  <c r="AP23" i="14"/>
  <c r="AP19" i="14"/>
  <c r="AP76" i="14"/>
  <c r="AP71" i="14"/>
  <c r="AP91" i="14"/>
  <c r="AP54" i="14"/>
  <c r="AP42" i="14"/>
  <c r="AP93" i="14"/>
  <c r="AP99" i="14"/>
  <c r="AP116" i="14"/>
  <c r="AP97" i="14"/>
  <c r="AP59" i="14"/>
  <c r="AP57" i="14"/>
  <c r="AP48" i="14"/>
  <c r="AP64" i="14"/>
  <c r="AP26" i="14"/>
  <c r="AP102" i="14"/>
  <c r="AP52" i="14"/>
  <c r="AP56" i="14"/>
  <c r="AP81" i="14"/>
  <c r="AP94" i="14"/>
  <c r="AP73" i="14"/>
  <c r="AP75" i="14"/>
  <c r="AP62" i="14"/>
  <c r="AP33" i="14"/>
  <c r="AF48" i="8"/>
  <c r="AD22" i="8"/>
  <c r="AD47" i="8"/>
  <c r="AP47" i="8" s="1"/>
  <c r="AD62" i="8"/>
  <c r="AK43" i="8"/>
  <c r="AR51" i="7"/>
  <c r="AR55" i="7" s="1"/>
  <c r="AR56" i="7" s="1"/>
  <c r="AR73" i="7" s="1"/>
  <c r="AP85" i="14"/>
  <c r="Z86" i="7"/>
  <c r="Z74" i="7" s="1"/>
  <c r="P56" i="7"/>
  <c r="P73" i="7" s="1"/>
  <c r="AP60" i="14"/>
  <c r="Y43" i="8"/>
  <c r="E27" i="3"/>
  <c r="AO49" i="14"/>
  <c r="AP41" i="14"/>
  <c r="Y86" i="18"/>
  <c r="Y77" i="18" s="1"/>
  <c r="Y85" i="18"/>
  <c r="Y15" i="10"/>
  <c r="AP24" i="14"/>
  <c r="AO93" i="14"/>
  <c r="P48" i="8"/>
  <c r="AA74" i="7"/>
  <c r="J19" i="10"/>
  <c r="J18" i="10"/>
  <c r="F78" i="7"/>
  <c r="R33" i="2"/>
  <c r="F21" i="3"/>
  <c r="V16" i="3"/>
  <c r="V21" i="3" s="1"/>
  <c r="AQ67" i="14"/>
  <c r="S44" i="8"/>
  <c r="S52" i="8" s="1"/>
  <c r="AP28" i="12"/>
  <c r="AL125" i="20"/>
  <c r="AL118" i="20"/>
  <c r="AK127" i="20"/>
  <c r="Y48" i="7"/>
  <c r="Y56" i="7" s="1"/>
  <c r="Y73" i="7" s="1"/>
  <c r="Q44" i="8"/>
  <c r="R86" i="7"/>
  <c r="R74" i="7" s="1"/>
  <c r="Q86" i="7"/>
  <c r="Q74" i="7" s="1"/>
  <c r="AI47" i="8"/>
  <c r="AI62" i="8"/>
  <c r="AI22" i="8"/>
  <c r="AI47" i="10"/>
  <c r="AI76" i="7"/>
  <c r="AQ76" i="7" s="1"/>
  <c r="AP35" i="12"/>
  <c r="AH43" i="8"/>
  <c r="AH44" i="8" s="1"/>
  <c r="AP19" i="12"/>
  <c r="T33" i="2"/>
  <c r="AO56" i="7"/>
  <c r="AO73" i="7" s="1"/>
  <c r="AI30" i="12"/>
  <c r="AI39" i="12"/>
  <c r="K18" i="10"/>
  <c r="K19" i="10"/>
  <c r="K84" i="10" s="1"/>
  <c r="E138" i="14"/>
  <c r="E129" i="14"/>
  <c r="AQ28" i="14"/>
  <c r="AK24" i="12"/>
  <c r="AO15" i="12"/>
  <c r="AK38" i="12"/>
  <c r="AP66" i="14"/>
  <c r="X33" i="2"/>
  <c r="AA48" i="8"/>
  <c r="AE43" i="8"/>
  <c r="AE44" i="8" s="1"/>
  <c r="AL43" i="8"/>
  <c r="AL49" i="8"/>
  <c r="H86" i="7"/>
  <c r="O86" i="7"/>
  <c r="Q86" i="18"/>
  <c r="Q77" i="18" s="1"/>
  <c r="Q85" i="18"/>
  <c r="Q15" i="10"/>
  <c r="AM84" i="18"/>
  <c r="AM75" i="18" s="1"/>
  <c r="AM46" i="16"/>
  <c r="AM37" i="16" s="1"/>
  <c r="AQ10" i="12"/>
  <c r="AQ14" i="12"/>
  <c r="AM15" i="12"/>
  <c r="AM12" i="12"/>
  <c r="AQ33" i="12"/>
  <c r="AQ20" i="12"/>
  <c r="AQ28" i="12"/>
  <c r="H33" i="2"/>
  <c r="AP14" i="14"/>
  <c r="Z33" i="2"/>
  <c r="AD48" i="8"/>
  <c r="AP48" i="8" s="1"/>
  <c r="O22" i="8"/>
  <c r="O44" i="8" s="1"/>
  <c r="P49" i="8"/>
  <c r="P43" i="8"/>
  <c r="K30" i="12"/>
  <c r="K39" i="12"/>
  <c r="AP87" i="14"/>
  <c r="AF31" i="9"/>
  <c r="AP108" i="14"/>
  <c r="AM57" i="8"/>
  <c r="AM47" i="8" s="1"/>
  <c r="AQ14" i="2"/>
  <c r="AM12" i="2"/>
  <c r="AM15" i="2"/>
  <c r="AQ10" i="2"/>
  <c r="AQ20" i="2"/>
  <c r="AP82" i="14"/>
  <c r="AP20" i="2"/>
  <c r="Y49" i="8"/>
  <c r="W39" i="12"/>
  <c r="W30" i="12"/>
  <c r="E47" i="10"/>
  <c r="AO67" i="14"/>
  <c r="AP72" i="14"/>
  <c r="AG49" i="8"/>
  <c r="AG43" i="8"/>
  <c r="AG65" i="8"/>
  <c r="AO95" i="14"/>
  <c r="AO77" i="14"/>
  <c r="I33" i="2"/>
  <c r="E48" i="8"/>
  <c r="N33" i="2"/>
  <c r="AF43" i="8"/>
  <c r="AF44" i="8" s="1"/>
  <c r="W56" i="7"/>
  <c r="W73" i="7" s="1"/>
  <c r="AC30" i="12"/>
  <c r="AC39" i="12"/>
  <c r="Y113" i="14"/>
  <c r="Y137" i="14"/>
  <c r="AO76" i="7"/>
  <c r="R113" i="14"/>
  <c r="R137" i="14"/>
  <c r="AD135" i="14"/>
  <c r="AD139" i="14" s="1"/>
  <c r="AD142" i="14"/>
  <c r="AP76" i="7"/>
  <c r="S18" i="10"/>
  <c r="S19" i="10"/>
  <c r="G32" i="2"/>
  <c r="G24" i="2"/>
  <c r="AM22" i="8"/>
  <c r="AH70" i="8"/>
  <c r="AP26" i="12"/>
  <c r="AQ83" i="14"/>
  <c r="AK57" i="8"/>
  <c r="AK47" i="8" s="1"/>
  <c r="AK15" i="2"/>
  <c r="AO10" i="2"/>
  <c r="AO14" i="2"/>
  <c r="AO21" i="2"/>
  <c r="AO22" i="2"/>
  <c r="AO18" i="2"/>
  <c r="AO28" i="2"/>
  <c r="N44" i="8"/>
  <c r="N52" i="8" s="1"/>
  <c r="AL48" i="16"/>
  <c r="AL39" i="16" s="1"/>
  <c r="AL47" i="16"/>
  <c r="AP23" i="12"/>
  <c r="E21" i="3"/>
  <c r="E22" i="3" s="1"/>
  <c r="U15" i="3"/>
  <c r="U21" i="3" s="1"/>
  <c r="U22" i="3" s="1"/>
  <c r="R56" i="8"/>
  <c r="Q56" i="8"/>
  <c r="AD49" i="8"/>
  <c r="AD43" i="8"/>
  <c r="AD65" i="8"/>
  <c r="AI49" i="8"/>
  <c r="AI43" i="8"/>
  <c r="AI65" i="8"/>
  <c r="S17" i="10"/>
  <c r="AL11" i="10"/>
  <c r="AL17" i="10" s="1"/>
  <c r="AD30" i="12"/>
  <c r="AD39" i="12"/>
  <c r="AI138" i="14"/>
  <c r="AI129" i="14"/>
  <c r="AK28" i="16"/>
  <c r="AK83" i="7"/>
  <c r="E52" i="8"/>
  <c r="Y33" i="2"/>
  <c r="K33" i="2"/>
  <c r="I48" i="8"/>
  <c r="N56" i="8"/>
  <c r="L56" i="8"/>
  <c r="AB39" i="12"/>
  <c r="AB30" i="12"/>
  <c r="K138" i="14"/>
  <c r="K129" i="14"/>
  <c r="AP12" i="14"/>
  <c r="AK47" i="10"/>
  <c r="AK76" i="7"/>
  <c r="G86" i="18"/>
  <c r="G77" i="18" s="1"/>
  <c r="G85" i="18"/>
  <c r="G15" i="10"/>
  <c r="AK15" i="10" s="1"/>
  <c r="G113" i="14"/>
  <c r="AK58" i="8"/>
  <c r="D43" i="2"/>
  <c r="AK59" i="8"/>
  <c r="AK48" i="8" s="1"/>
  <c r="AO23" i="2"/>
  <c r="I49" i="8"/>
  <c r="Y70" i="8"/>
  <c r="AB43" i="8"/>
  <c r="AB49" i="8"/>
  <c r="AB65" i="8"/>
  <c r="G86" i="7"/>
  <c r="M30" i="12"/>
  <c r="M39" i="12"/>
  <c r="AP123" i="14"/>
  <c r="L78" i="7"/>
  <c r="G21" i="3"/>
  <c r="W15" i="3"/>
  <c r="W21" i="3" s="1"/>
  <c r="AP63" i="14"/>
  <c r="AP11" i="14"/>
  <c r="AQ9" i="12"/>
  <c r="AP78" i="14"/>
  <c r="G27" i="3"/>
  <c r="F33" i="2"/>
  <c r="X31" i="9"/>
  <c r="S74" i="7"/>
  <c r="L30" i="12"/>
  <c r="L39" i="12"/>
  <c r="AO122" i="14"/>
  <c r="AP58" i="14"/>
  <c r="AP32" i="14"/>
  <c r="V56" i="8"/>
  <c r="AL128" i="14"/>
  <c r="AP128" i="14" s="1"/>
  <c r="AP117" i="14"/>
  <c r="AO83" i="14"/>
  <c r="AQ9" i="2"/>
  <c r="AR17" i="10"/>
  <c r="X58" i="10"/>
  <c r="AF18" i="10"/>
  <c r="AF19" i="10"/>
  <c r="U56" i="8"/>
  <c r="U45" i="8" s="1"/>
  <c r="AA47" i="8"/>
  <c r="AA22" i="8"/>
  <c r="AA62" i="8"/>
  <c r="AO18" i="8"/>
  <c r="AO22" i="8" s="1"/>
  <c r="G52" i="8"/>
  <c r="AQ111" i="14"/>
  <c r="AO120" i="14"/>
  <c r="AO116" i="14"/>
  <c r="AO62" i="14"/>
  <c r="AP13" i="14"/>
  <c r="AO101" i="14"/>
  <c r="H48" i="8"/>
  <c r="N48" i="8"/>
  <c r="S49" i="8"/>
  <c r="AQ51" i="7"/>
  <c r="AQ55" i="7" s="1"/>
  <c r="AQ56" i="7" s="1"/>
  <c r="AQ73" i="7" s="1"/>
  <c r="AK45" i="14"/>
  <c r="X86" i="18"/>
  <c r="X77" i="18" s="1"/>
  <c r="X85" i="18"/>
  <c r="X15" i="10"/>
  <c r="Y78" i="7"/>
  <c r="AR78" i="7" s="1"/>
  <c r="AR22" i="8"/>
  <c r="AA49" i="8"/>
  <c r="AA65" i="8"/>
  <c r="AA43" i="8"/>
  <c r="AI78" i="7"/>
  <c r="F10" i="3"/>
  <c r="F13" i="3" s="1"/>
  <c r="F22" i="3" s="1"/>
  <c r="F28" i="3" s="1"/>
  <c r="V9" i="3"/>
  <c r="V10" i="3" s="1"/>
  <c r="V13" i="3" s="1"/>
  <c r="AK48" i="16"/>
  <c r="AK39" i="16" s="1"/>
  <c r="AK47" i="16"/>
  <c r="AO23" i="12"/>
  <c r="AQ127" i="14"/>
  <c r="U85" i="18"/>
  <c r="U86" i="18"/>
  <c r="U77" i="18" s="1"/>
  <c r="U113" i="14"/>
  <c r="U15" i="10"/>
  <c r="AH74" i="7"/>
  <c r="X113" i="14"/>
  <c r="X137" i="14"/>
  <c r="AD18" i="10"/>
  <c r="AP15" i="10"/>
  <c r="AD19" i="10"/>
  <c r="AI33" i="2"/>
  <c r="AP43" i="8"/>
  <c r="AM43" i="8"/>
  <c r="AR31" i="8"/>
  <c r="X86" i="7"/>
  <c r="X74" i="7" s="1"/>
  <c r="AB78" i="7"/>
  <c r="I30" i="12"/>
  <c r="I39" i="12"/>
  <c r="V86" i="7"/>
  <c r="V74" i="7" s="1"/>
  <c r="AQ18" i="8"/>
  <c r="P18" i="10"/>
  <c r="P19" i="10"/>
  <c r="AO17" i="2"/>
  <c r="AE33" i="2"/>
  <c r="AG49" i="10"/>
  <c r="AG78" i="7"/>
  <c r="AO78" i="7" s="1"/>
  <c r="AM47" i="16"/>
  <c r="AM48" i="16"/>
  <c r="AM39" i="16" s="1"/>
  <c r="AQ23" i="12"/>
  <c r="R85" i="18"/>
  <c r="R86" i="18"/>
  <c r="R77" i="18" s="1"/>
  <c r="R15" i="10"/>
  <c r="AE85" i="18"/>
  <c r="AE86" i="18"/>
  <c r="AE77" i="18" s="1"/>
  <c r="AE15" i="10"/>
  <c r="AA138" i="14"/>
  <c r="AA129" i="14"/>
  <c r="AG23" i="19"/>
  <c r="AG36" i="12"/>
  <c r="AG43" i="12"/>
  <c r="AG9" i="5"/>
  <c r="AG13" i="5" s="1"/>
  <c r="F48" i="8"/>
  <c r="R44" i="8"/>
  <c r="V30" i="12"/>
  <c r="V39" i="12"/>
  <c r="AC138" i="14"/>
  <c r="AC129" i="14"/>
  <c r="AP25" i="14"/>
  <c r="AP115" i="14"/>
  <c r="AF129" i="14"/>
  <c r="AF138" i="14"/>
  <c r="J33" i="2"/>
  <c r="AQ22" i="8"/>
  <c r="AQ78" i="7"/>
  <c r="AI18" i="10"/>
  <c r="AI20" i="10" s="1"/>
  <c r="AI19" i="10"/>
  <c r="AI84" i="10" s="1"/>
  <c r="AP37" i="14"/>
  <c r="F30" i="12"/>
  <c r="F39" i="12"/>
  <c r="AQ105" i="14"/>
  <c r="L33" i="2"/>
  <c r="AR39" i="8"/>
  <c r="AD74" i="7"/>
  <c r="AM45" i="14"/>
  <c r="AE74" i="7"/>
  <c r="Z19" i="10"/>
  <c r="Z18" i="10"/>
  <c r="Z20" i="10" s="1"/>
  <c r="O56" i="7"/>
  <c r="O73" i="7" s="1"/>
  <c r="AO44" i="14"/>
  <c r="AB18" i="10"/>
  <c r="AB19" i="10"/>
  <c r="AB84" i="10" s="1"/>
  <c r="W81" i="7" l="1"/>
  <c r="E28" i="3"/>
  <c r="AR43" i="8"/>
  <c r="T81" i="7"/>
  <c r="Z52" i="8"/>
  <c r="Z45" i="8"/>
  <c r="Z72" i="8"/>
  <c r="Z81" i="7"/>
  <c r="AI44" i="8"/>
  <c r="A3" i="21"/>
  <c r="AO48" i="8"/>
  <c r="V22" i="3"/>
  <c r="AO44" i="8"/>
  <c r="AO81" i="7" s="1"/>
  <c r="X70" i="8"/>
  <c r="T52" i="8"/>
  <c r="H45" i="8"/>
  <c r="AC72" i="8"/>
  <c r="AQ48" i="8"/>
  <c r="AD70" i="8"/>
  <c r="AC81" i="7"/>
  <c r="AC52" i="8"/>
  <c r="Y44" i="8"/>
  <c r="Y81" i="7" s="1"/>
  <c r="AF45" i="8"/>
  <c r="AF72" i="8"/>
  <c r="AF81" i="7"/>
  <c r="AF52" i="8"/>
  <c r="AH45" i="8"/>
  <c r="AH72" i="8"/>
  <c r="AH81" i="7"/>
  <c r="AH52" i="8"/>
  <c r="AE72" i="8"/>
  <c r="AE45" i="8"/>
  <c r="AE81" i="7"/>
  <c r="AE52" i="8"/>
  <c r="AK18" i="10"/>
  <c r="AK19" i="10"/>
  <c r="P84" i="10"/>
  <c r="P49" i="10"/>
  <c r="U23" i="19"/>
  <c r="U36" i="12"/>
  <c r="U43" i="12"/>
  <c r="U9" i="5"/>
  <c r="U13" i="5" s="1"/>
  <c r="Z129" i="14"/>
  <c r="Z138" i="14"/>
  <c r="H129" i="14"/>
  <c r="H138" i="14"/>
  <c r="Z84" i="10"/>
  <c r="Z49" i="10"/>
  <c r="AM78" i="7"/>
  <c r="P20" i="10"/>
  <c r="AF84" i="10"/>
  <c r="AF49" i="10"/>
  <c r="M23" i="19"/>
  <c r="M36" i="12"/>
  <c r="M43" i="12"/>
  <c r="M9" i="5"/>
  <c r="M13" i="5" s="1"/>
  <c r="S20" i="10"/>
  <c r="S58" i="10"/>
  <c r="AO49" i="8"/>
  <c r="E71" i="18"/>
  <c r="E72" i="18" s="1"/>
  <c r="E73" i="18" s="1"/>
  <c r="E81" i="18" s="1"/>
  <c r="E135" i="14"/>
  <c r="E139" i="14" s="1"/>
  <c r="E142" i="14"/>
  <c r="AI70" i="8"/>
  <c r="AM125" i="20"/>
  <c r="AM118" i="20"/>
  <c r="AL127" i="20"/>
  <c r="P74" i="7"/>
  <c r="AK74" i="7" s="1"/>
  <c r="AD44" i="8"/>
  <c r="Q129" i="14"/>
  <c r="Q138" i="14"/>
  <c r="AI56" i="7"/>
  <c r="AI73" i="7" s="1"/>
  <c r="I142" i="14"/>
  <c r="I135" i="14"/>
  <c r="I139" i="14" s="1"/>
  <c r="AP44" i="8"/>
  <c r="AP81" i="7" s="1"/>
  <c r="F20" i="10"/>
  <c r="Q33" i="2"/>
  <c r="G23" i="19"/>
  <c r="G33" i="16"/>
  <c r="G36" i="12"/>
  <c r="G43" i="12"/>
  <c r="G9" i="5"/>
  <c r="G13" i="5" s="1"/>
  <c r="K49" i="10"/>
  <c r="V45" i="8"/>
  <c r="V81" i="7"/>
  <c r="P142" i="14"/>
  <c r="P135" i="14"/>
  <c r="P139" i="14" s="1"/>
  <c r="S30" i="12"/>
  <c r="S39" i="12"/>
  <c r="N135" i="14"/>
  <c r="N139" i="14" s="1"/>
  <c r="N142" i="14"/>
  <c r="R45" i="8"/>
  <c r="R81" i="7"/>
  <c r="R52" i="8"/>
  <c r="P40" i="12"/>
  <c r="P144" i="14"/>
  <c r="P105" i="5"/>
  <c r="E23" i="19"/>
  <c r="E33" i="16"/>
  <c r="E143" i="14"/>
  <c r="E43" i="12"/>
  <c r="E36" i="12"/>
  <c r="E9" i="5"/>
  <c r="D42" i="2"/>
  <c r="AL24" i="2"/>
  <c r="AP15" i="2"/>
  <c r="AL32" i="2"/>
  <c r="Y45" i="8"/>
  <c r="AG43" i="5"/>
  <c r="AG22" i="5"/>
  <c r="AG42" i="5" s="1"/>
  <c r="AE18" i="10"/>
  <c r="AE20" i="10" s="1"/>
  <c r="AE19" i="10"/>
  <c r="AI49" i="10"/>
  <c r="AR15" i="10"/>
  <c r="AM15" i="10"/>
  <c r="X18" i="10"/>
  <c r="X19" i="10"/>
  <c r="AF20" i="10"/>
  <c r="O125" i="20"/>
  <c r="O118" i="20"/>
  <c r="N127" i="20"/>
  <c r="AO20" i="14"/>
  <c r="AK137" i="14"/>
  <c r="AK31" i="9"/>
  <c r="AK55" i="7"/>
  <c r="AK56" i="7" s="1"/>
  <c r="AK73" i="7" s="1"/>
  <c r="AG84" i="10"/>
  <c r="AO19" i="10"/>
  <c r="Z23" i="19"/>
  <c r="Z143" i="14"/>
  <c r="Z36" i="12"/>
  <c r="Z43" i="12"/>
  <c r="Z9" i="5"/>
  <c r="Z13" i="5" s="1"/>
  <c r="AQ19" i="14"/>
  <c r="AQ15" i="14"/>
  <c r="AM17" i="14"/>
  <c r="AM20" i="14"/>
  <c r="AQ132" i="14"/>
  <c r="AQ81" i="14"/>
  <c r="AQ102" i="14"/>
  <c r="AQ71" i="14"/>
  <c r="AQ54" i="14"/>
  <c r="AQ23" i="14"/>
  <c r="AQ48" i="14"/>
  <c r="AQ124" i="14"/>
  <c r="AQ65" i="14"/>
  <c r="AQ50" i="14"/>
  <c r="AQ74" i="14"/>
  <c r="AQ116" i="14"/>
  <c r="AQ56" i="14"/>
  <c r="AQ97" i="14"/>
  <c r="AQ40" i="14"/>
  <c r="AQ75" i="14"/>
  <c r="AQ76" i="14"/>
  <c r="AQ26" i="14"/>
  <c r="AQ62" i="14"/>
  <c r="AQ12" i="14"/>
  <c r="AQ57" i="14"/>
  <c r="AQ31" i="14"/>
  <c r="AQ115" i="14"/>
  <c r="AQ36" i="14"/>
  <c r="AQ11" i="14"/>
  <c r="AQ94" i="14"/>
  <c r="AQ93" i="14"/>
  <c r="AQ99" i="14"/>
  <c r="AQ107" i="14"/>
  <c r="AQ13" i="14"/>
  <c r="AQ101" i="14"/>
  <c r="AQ60" i="14"/>
  <c r="AQ108" i="14"/>
  <c r="AQ61" i="14"/>
  <c r="AQ95" i="14"/>
  <c r="AQ125" i="14"/>
  <c r="AQ55" i="14"/>
  <c r="AQ90" i="14"/>
  <c r="AQ52" i="14"/>
  <c r="AQ59" i="14"/>
  <c r="AQ122" i="14"/>
  <c r="AQ72" i="14"/>
  <c r="AQ69" i="14"/>
  <c r="AQ24" i="14"/>
  <c r="AQ39" i="14"/>
  <c r="AQ100" i="14"/>
  <c r="AQ110" i="14"/>
  <c r="AQ91" i="14"/>
  <c r="AQ47" i="14"/>
  <c r="AQ73" i="14"/>
  <c r="AQ123" i="14"/>
  <c r="AQ117" i="14"/>
  <c r="AQ41" i="14"/>
  <c r="AQ96" i="14"/>
  <c r="AQ22" i="14"/>
  <c r="AQ42" i="14"/>
  <c r="AQ63" i="14"/>
  <c r="AQ9" i="14"/>
  <c r="AQ70" i="14"/>
  <c r="AQ119" i="14"/>
  <c r="AQ53" i="14"/>
  <c r="AQ49" i="14"/>
  <c r="AQ98" i="14"/>
  <c r="AQ103" i="14"/>
  <c r="AQ33" i="14"/>
  <c r="AQ27" i="14"/>
  <c r="AQ82" i="14"/>
  <c r="AQ133" i="14"/>
  <c r="AQ30" i="14"/>
  <c r="AQ86" i="14"/>
  <c r="AQ85" i="14"/>
  <c r="AQ109" i="14"/>
  <c r="AQ51" i="14"/>
  <c r="AQ104" i="14"/>
  <c r="AQ58" i="14"/>
  <c r="AQ10" i="14"/>
  <c r="AQ77" i="14"/>
  <c r="AQ79" i="14"/>
  <c r="AQ126" i="14"/>
  <c r="AQ43" i="14"/>
  <c r="AQ44" i="14"/>
  <c r="AQ89" i="14"/>
  <c r="AQ80" i="14"/>
  <c r="AQ64" i="14"/>
  <c r="AQ25" i="14"/>
  <c r="AQ66" i="14"/>
  <c r="AQ92" i="14"/>
  <c r="AQ32" i="14"/>
  <c r="AQ78" i="14"/>
  <c r="AQ38" i="14"/>
  <c r="AQ37" i="14"/>
  <c r="J43" i="5"/>
  <c r="J22" i="5"/>
  <c r="J42" i="5" s="1"/>
  <c r="N84" i="10"/>
  <c r="N49" i="10"/>
  <c r="AQ120" i="14"/>
  <c r="AK44" i="8"/>
  <c r="W129" i="14"/>
  <c r="W138" i="14"/>
  <c r="Y43" i="5"/>
  <c r="Y22" i="5"/>
  <c r="Y42" i="5" s="1"/>
  <c r="K45" i="8"/>
  <c r="K81" i="7"/>
  <c r="S84" i="10"/>
  <c r="S49" i="10"/>
  <c r="AI45" i="8"/>
  <c r="AM45" i="8" s="1"/>
  <c r="AI72" i="8"/>
  <c r="AI81" i="7"/>
  <c r="N23" i="19"/>
  <c r="N143" i="14"/>
  <c r="N36" i="12"/>
  <c r="N43" i="12"/>
  <c r="N9" i="5"/>
  <c r="N13" i="5" s="1"/>
  <c r="V135" i="14"/>
  <c r="V139" i="14" s="1"/>
  <c r="V142" i="14"/>
  <c r="AQ44" i="8"/>
  <c r="AQ81" i="7" s="1"/>
  <c r="AC71" i="18"/>
  <c r="AC135" i="14"/>
  <c r="AC139" i="14" s="1"/>
  <c r="AC142" i="14"/>
  <c r="Y129" i="14"/>
  <c r="Y138" i="14"/>
  <c r="AQ15" i="12"/>
  <c r="AM24" i="12"/>
  <c r="AM38" i="12"/>
  <c r="S45" i="8"/>
  <c r="S81" i="7"/>
  <c r="AP20" i="14"/>
  <c r="AL137" i="14"/>
  <c r="W18" i="10"/>
  <c r="W19" i="10"/>
  <c r="AK25" i="9"/>
  <c r="AK26" i="9" s="1"/>
  <c r="P26" i="9"/>
  <c r="AO18" i="10"/>
  <c r="AG20" i="10"/>
  <c r="G45" i="8"/>
  <c r="G81" i="7"/>
  <c r="Q23" i="19"/>
  <c r="Q33" i="16"/>
  <c r="Q143" i="14"/>
  <c r="Q36" i="12"/>
  <c r="Q43" i="12"/>
  <c r="Q9" i="5"/>
  <c r="L59" i="10"/>
  <c r="T59" i="10"/>
  <c r="AB59" i="10"/>
  <c r="E59" i="10"/>
  <c r="M59" i="10"/>
  <c r="U59" i="10"/>
  <c r="AC59" i="10"/>
  <c r="H59" i="10"/>
  <c r="P59" i="10"/>
  <c r="X59" i="10"/>
  <c r="AF59" i="10"/>
  <c r="I59" i="10"/>
  <c r="Q59" i="10"/>
  <c r="Y59" i="10"/>
  <c r="AG59" i="10"/>
  <c r="S59" i="10"/>
  <c r="AI59" i="10"/>
  <c r="F59" i="10"/>
  <c r="V59" i="10"/>
  <c r="J59" i="10"/>
  <c r="Z59" i="10"/>
  <c r="K59" i="10"/>
  <c r="AA59" i="10"/>
  <c r="N59" i="10"/>
  <c r="AD59" i="10"/>
  <c r="O59" i="10"/>
  <c r="AE59" i="10"/>
  <c r="G59" i="10"/>
  <c r="R59" i="10"/>
  <c r="W59" i="10"/>
  <c r="AH59" i="10"/>
  <c r="AL44" i="8"/>
  <c r="AH44" i="5"/>
  <c r="AH51" i="5"/>
  <c r="AG70" i="8"/>
  <c r="AA23" i="19"/>
  <c r="AA43" i="12"/>
  <c r="AA143" i="14"/>
  <c r="AA36" i="12"/>
  <c r="AA9" i="5"/>
  <c r="AA13" i="5" s="1"/>
  <c r="AP15" i="12"/>
  <c r="AL24" i="12"/>
  <c r="AL38" i="12"/>
  <c r="AP19" i="10"/>
  <c r="AD84" i="10"/>
  <c r="AD49" i="10"/>
  <c r="AM25" i="9"/>
  <c r="AM26" i="9" s="1"/>
  <c r="AI26" i="9"/>
  <c r="T135" i="14"/>
  <c r="T139" i="14" s="1"/>
  <c r="T142" i="14"/>
  <c r="G129" i="14"/>
  <c r="G138" i="14"/>
  <c r="K135" i="14"/>
  <c r="K139" i="14" s="1"/>
  <c r="K142" i="14"/>
  <c r="AI135" i="14"/>
  <c r="AI139" i="14" s="1"/>
  <c r="AI142" i="14"/>
  <c r="K20" i="10"/>
  <c r="AR76" i="7"/>
  <c r="F45" i="8"/>
  <c r="F81" i="7"/>
  <c r="T18" i="10"/>
  <c r="T19" i="10"/>
  <c r="F71" i="18"/>
  <c r="F72" i="18" s="1"/>
  <c r="F73" i="18" s="1"/>
  <c r="F81" i="18" s="1"/>
  <c r="F135" i="14"/>
  <c r="F139" i="14" s="1"/>
  <c r="F142" i="14"/>
  <c r="J135" i="14"/>
  <c r="J139" i="14" s="1"/>
  <c r="J142" i="14"/>
  <c r="P31" i="9"/>
  <c r="S135" i="14"/>
  <c r="S139" i="14" s="1"/>
  <c r="S142" i="14"/>
  <c r="AC49" i="10"/>
  <c r="P44" i="8"/>
  <c r="P52" i="8" s="1"/>
  <c r="J144" i="14"/>
  <c r="J40" i="12"/>
  <c r="J105" i="5"/>
  <c r="AG52" i="8"/>
  <c r="AG74" i="7"/>
  <c r="X23" i="19"/>
  <c r="X143" i="14"/>
  <c r="X36" i="12"/>
  <c r="X43" i="12"/>
  <c r="X9" i="5"/>
  <c r="AF23" i="19"/>
  <c r="AF143" i="14"/>
  <c r="AF43" i="12"/>
  <c r="AF36" i="12"/>
  <c r="AF9" i="5"/>
  <c r="AF13" i="5" s="1"/>
  <c r="AH129" i="14"/>
  <c r="AH138" i="14"/>
  <c r="V84" i="10"/>
  <c r="V49" i="10"/>
  <c r="AO47" i="8"/>
  <c r="Y40" i="12"/>
  <c r="Y105" i="5"/>
  <c r="AB70" i="8"/>
  <c r="L45" i="8"/>
  <c r="L81" i="7"/>
  <c r="L52" i="8"/>
  <c r="AE142" i="14"/>
  <c r="AE135" i="14"/>
  <c r="AE139" i="14" s="1"/>
  <c r="AA135" i="14"/>
  <c r="AA139" i="14" s="1"/>
  <c r="AA142" i="14"/>
  <c r="O45" i="8"/>
  <c r="O81" i="7"/>
  <c r="J84" i="10"/>
  <c r="J49" i="10"/>
  <c r="F23" i="19"/>
  <c r="F33" i="16"/>
  <c r="F143" i="14"/>
  <c r="F36" i="12"/>
  <c r="F43" i="12"/>
  <c r="F9" i="5"/>
  <c r="F13" i="5" s="1"/>
  <c r="X129" i="14"/>
  <c r="X138" i="14"/>
  <c r="R19" i="10"/>
  <c r="R18" i="10"/>
  <c r="I23" i="19"/>
  <c r="I143" i="14"/>
  <c r="I36" i="12"/>
  <c r="I43" i="12"/>
  <c r="I9" i="5"/>
  <c r="I13" i="5" s="1"/>
  <c r="AQ49" i="8"/>
  <c r="AA70" i="8"/>
  <c r="G18" i="10"/>
  <c r="G20" i="10" s="1"/>
  <c r="G19" i="10"/>
  <c r="AM44" i="8"/>
  <c r="AC23" i="19"/>
  <c r="AC33" i="16"/>
  <c r="AC143" i="14"/>
  <c r="AC36" i="12"/>
  <c r="AC43" i="12"/>
  <c r="AC9" i="5"/>
  <c r="AC13" i="5" s="1"/>
  <c r="W23" i="19"/>
  <c r="W143" i="14"/>
  <c r="W36" i="12"/>
  <c r="W43" i="12"/>
  <c r="W9" i="5"/>
  <c r="W13" i="5" s="1"/>
  <c r="AM32" i="2"/>
  <c r="AM24" i="2"/>
  <c r="D46" i="2"/>
  <c r="AQ15" i="2"/>
  <c r="K23" i="19"/>
  <c r="K43" i="12"/>
  <c r="K143" i="14"/>
  <c r="K36" i="12"/>
  <c r="K9" i="5"/>
  <c r="K13" i="5" s="1"/>
  <c r="Q45" i="8"/>
  <c r="Q81" i="7"/>
  <c r="AK49" i="8"/>
  <c r="AP45" i="14"/>
  <c r="AL112" i="14"/>
  <c r="O18" i="10"/>
  <c r="O20" i="10" s="1"/>
  <c r="O19" i="10"/>
  <c r="AR47" i="8"/>
  <c r="Q52" i="8"/>
  <c r="H43" i="5"/>
  <c r="H22" i="5"/>
  <c r="H42" i="5" s="1"/>
  <c r="Z118" i="20"/>
  <c r="Z125" i="20"/>
  <c r="Y127" i="20"/>
  <c r="S47" i="10"/>
  <c r="M18" i="10"/>
  <c r="M20" i="10" s="1"/>
  <c r="M19" i="10"/>
  <c r="AQ87" i="14"/>
  <c r="AE23" i="19"/>
  <c r="AE143" i="14"/>
  <c r="AE36" i="12"/>
  <c r="AE43" i="12"/>
  <c r="AE9" i="5"/>
  <c r="AE13" i="5" s="1"/>
  <c r="AG44" i="8"/>
  <c r="M45" i="8"/>
  <c r="M81" i="7"/>
  <c r="M52" i="8"/>
  <c r="J45" i="8"/>
  <c r="J81" i="7"/>
  <c r="J52" i="8"/>
  <c r="AF142" i="14"/>
  <c r="AF135" i="14"/>
  <c r="AF139" i="14" s="1"/>
  <c r="U138" i="14"/>
  <c r="U129" i="14"/>
  <c r="U143" i="14" s="1"/>
  <c r="AL15" i="10"/>
  <c r="Q18" i="10"/>
  <c r="Q19" i="10"/>
  <c r="AA20" i="10"/>
  <c r="AR48" i="8"/>
  <c r="AQ45" i="14"/>
  <c r="AM112" i="14"/>
  <c r="AG40" i="12"/>
  <c r="AG105" i="5"/>
  <c r="AM49" i="8"/>
  <c r="V23" i="19"/>
  <c r="V143" i="14"/>
  <c r="V36" i="12"/>
  <c r="V43" i="12"/>
  <c r="V9" i="5"/>
  <c r="V13" i="5" s="1"/>
  <c r="AK49" i="10"/>
  <c r="AK78" i="7"/>
  <c r="AP78" i="7"/>
  <c r="AA44" i="8"/>
  <c r="AB23" i="19"/>
  <c r="AB36" i="12"/>
  <c r="AB43" i="12"/>
  <c r="AB143" i="14"/>
  <c r="AB9" i="5"/>
  <c r="AB13" i="5" s="1"/>
  <c r="AL78" i="7"/>
  <c r="AK24" i="2"/>
  <c r="AO15" i="2"/>
  <c r="AK32" i="2"/>
  <c r="G33" i="2"/>
  <c r="W52" i="8"/>
  <c r="W74" i="7"/>
  <c r="AM47" i="10"/>
  <c r="AM76" i="7"/>
  <c r="AO24" i="12"/>
  <c r="AK30" i="12"/>
  <c r="AK39" i="12"/>
  <c r="AI23" i="19"/>
  <c r="AI43" i="12"/>
  <c r="AI36" i="12"/>
  <c r="AI143" i="14"/>
  <c r="AI9" i="5"/>
  <c r="AI13" i="5" s="1"/>
  <c r="Y52" i="8"/>
  <c r="Y74" i="7"/>
  <c r="F49" i="10"/>
  <c r="AQ15" i="10"/>
  <c r="O129" i="14"/>
  <c r="O138" i="14"/>
  <c r="E49" i="10"/>
  <c r="AM31" i="9"/>
  <c r="AM55" i="7"/>
  <c r="AM56" i="7" s="1"/>
  <c r="AM73" i="7" s="1"/>
  <c r="AM52" i="8" s="1"/>
  <c r="I20" i="10"/>
  <c r="R23" i="19"/>
  <c r="R33" i="16"/>
  <c r="R36" i="12"/>
  <c r="R43" i="12"/>
  <c r="R9" i="5"/>
  <c r="R13" i="5" s="1"/>
  <c r="L18" i="10"/>
  <c r="L20" i="10" s="1"/>
  <c r="L19" i="10"/>
  <c r="AH20" i="10"/>
  <c r="O23" i="19"/>
  <c r="O143" i="14"/>
  <c r="O36" i="12"/>
  <c r="O43" i="12"/>
  <c r="O9" i="5"/>
  <c r="O13" i="5" s="1"/>
  <c r="M138" i="14"/>
  <c r="M129" i="14"/>
  <c r="M143" i="14" s="1"/>
  <c r="AD20" i="10"/>
  <c r="AB44" i="8"/>
  <c r="AG129" i="14"/>
  <c r="AG138" i="14"/>
  <c r="I45" i="8"/>
  <c r="I81" i="7"/>
  <c r="O52" i="8"/>
  <c r="AB49" i="10"/>
  <c r="U18" i="10"/>
  <c r="U20" i="10" s="1"/>
  <c r="U19" i="10"/>
  <c r="AR44" i="8"/>
  <c r="AR81" i="7" s="1"/>
  <c r="AO45" i="14"/>
  <c r="AK112" i="14"/>
  <c r="AQ47" i="8"/>
  <c r="L23" i="19"/>
  <c r="L43" i="12"/>
  <c r="L36" i="12"/>
  <c r="L9" i="5"/>
  <c r="L13" i="5" s="1"/>
  <c r="AD23" i="19"/>
  <c r="AD33" i="16"/>
  <c r="AE33" i="16" s="1"/>
  <c r="AD143" i="14"/>
  <c r="AD36" i="12"/>
  <c r="AD43" i="12"/>
  <c r="AD9" i="5"/>
  <c r="AD13" i="5" s="1"/>
  <c r="AP49" i="8"/>
  <c r="N45" i="8"/>
  <c r="N81" i="7"/>
  <c r="R129" i="14"/>
  <c r="R143" i="14" s="1"/>
  <c r="R138" i="14"/>
  <c r="AO52" i="8"/>
  <c r="J20" i="10"/>
  <c r="Y18" i="10"/>
  <c r="Y20" i="10" s="1"/>
  <c r="Y19" i="10"/>
  <c r="W22" i="3"/>
  <c r="T23" i="19"/>
  <c r="T143" i="14"/>
  <c r="T36" i="12"/>
  <c r="T43" i="12"/>
  <c r="T9" i="5"/>
  <c r="T13" i="5" s="1"/>
  <c r="AQ19" i="10"/>
  <c r="AA84" i="10"/>
  <c r="AA49" i="10"/>
  <c r="X45" i="8"/>
  <c r="X72" i="8"/>
  <c r="X81" i="7"/>
  <c r="P43" i="5"/>
  <c r="P22" i="5"/>
  <c r="P42" i="5" s="1"/>
  <c r="AB135" i="14"/>
  <c r="AB139" i="14" s="1"/>
  <c r="AB142" i="14"/>
  <c r="H40" i="12"/>
  <c r="H105" i="5"/>
  <c r="AR49" i="8"/>
  <c r="L138" i="14"/>
  <c r="L129" i="14"/>
  <c r="AH84" i="10"/>
  <c r="AH49" i="10"/>
  <c r="H18" i="10"/>
  <c r="H20" i="10" s="1"/>
  <c r="H19" i="10"/>
  <c r="I49" i="10"/>
  <c r="AL47" i="10"/>
  <c r="AL76" i="7"/>
  <c r="X52" i="8"/>
  <c r="AK52" i="8" l="1"/>
  <c r="Y72" i="8"/>
  <c r="AE18" i="19"/>
  <c r="AE19" i="19" s="1"/>
  <c r="AE34" i="16"/>
  <c r="AF33" i="16"/>
  <c r="L84" i="10"/>
  <c r="L49" i="10"/>
  <c r="V43" i="5"/>
  <c r="V22" i="5"/>
  <c r="V42" i="5" s="1"/>
  <c r="AQ20" i="10"/>
  <c r="AG45" i="8"/>
  <c r="AO45" i="8" s="1"/>
  <c r="AG81" i="7"/>
  <c r="AG72" i="8"/>
  <c r="M84" i="10"/>
  <c r="M49" i="10"/>
  <c r="AM81" i="7"/>
  <c r="X142" i="14"/>
  <c r="X135" i="14"/>
  <c r="X139" i="14" s="1"/>
  <c r="AM23" i="19"/>
  <c r="Q40" i="12"/>
  <c r="N144" i="14"/>
  <c r="N40" i="12"/>
  <c r="N105" i="5"/>
  <c r="AK81" i="7"/>
  <c r="Z40" i="12"/>
  <c r="Z105" i="5"/>
  <c r="AR19" i="10"/>
  <c r="X84" i="10"/>
  <c r="X49" i="10"/>
  <c r="AG44" i="5"/>
  <c r="AG51" i="5"/>
  <c r="E18" i="19"/>
  <c r="E19" i="19" s="1"/>
  <c r="E26" i="19" s="1"/>
  <c r="E34" i="16"/>
  <c r="AI52" i="8"/>
  <c r="AI74" i="7"/>
  <c r="AR74" i="7" s="1"/>
  <c r="AM127" i="20"/>
  <c r="AN125" i="20"/>
  <c r="AN118" i="20"/>
  <c r="M22" i="5"/>
  <c r="M42" i="5" s="1"/>
  <c r="M43" i="5"/>
  <c r="U40" i="12"/>
  <c r="U105" i="5"/>
  <c r="AK20" i="10"/>
  <c r="W142" i="14"/>
  <c r="W135" i="14"/>
  <c r="W139" i="14" s="1"/>
  <c r="G18" i="19"/>
  <c r="G19" i="19" s="1"/>
  <c r="G34" i="16"/>
  <c r="H33" i="16"/>
  <c r="L135" i="14"/>
  <c r="L139" i="14" s="1"/>
  <c r="L142" i="14"/>
  <c r="AK142" i="14" s="1"/>
  <c r="Y84" i="10"/>
  <c r="Y49" i="10"/>
  <c r="AK85" i="18"/>
  <c r="AK86" i="18"/>
  <c r="AK77" i="18" s="1"/>
  <c r="AO112" i="14"/>
  <c r="O43" i="5"/>
  <c r="O22" i="5"/>
  <c r="O42" i="5" s="1"/>
  <c r="AK36" i="12"/>
  <c r="AO30" i="12"/>
  <c r="E31" i="3"/>
  <c r="AB144" i="14"/>
  <c r="AB40" i="12"/>
  <c r="AB105" i="5"/>
  <c r="AQ18" i="10"/>
  <c r="AE43" i="5"/>
  <c r="AE22" i="5"/>
  <c r="AE42" i="5" s="1"/>
  <c r="G84" i="10"/>
  <c r="G49" i="10"/>
  <c r="F43" i="5"/>
  <c r="F22" i="5"/>
  <c r="F42" i="5" s="1"/>
  <c r="G71" i="18"/>
  <c r="G72" i="18" s="1"/>
  <c r="G73" i="18" s="1"/>
  <c r="G81" i="18" s="1"/>
  <c r="G142" i="14"/>
  <c r="G135" i="14"/>
  <c r="G139" i="14" s="1"/>
  <c r="AC72" i="18"/>
  <c r="AC73" i="18" s="1"/>
  <c r="AC81" i="18" s="1"/>
  <c r="AD71" i="18"/>
  <c r="AK113" i="14"/>
  <c r="AR18" i="10"/>
  <c r="X20" i="10"/>
  <c r="AR20" i="10" s="1"/>
  <c r="AK23" i="19"/>
  <c r="Q71" i="18"/>
  <c r="Q72" i="18" s="1"/>
  <c r="Q73" i="18" s="1"/>
  <c r="Q81" i="18" s="1"/>
  <c r="Q142" i="14"/>
  <c r="Q135" i="14"/>
  <c r="Q139" i="14" s="1"/>
  <c r="AP52" i="8"/>
  <c r="AR52" i="8"/>
  <c r="I40" i="12"/>
  <c r="I144" i="14"/>
  <c r="I105" i="5"/>
  <c r="L43" i="5"/>
  <c r="L22" i="5"/>
  <c r="L42" i="5" s="1"/>
  <c r="R43" i="5"/>
  <c r="R22" i="5"/>
  <c r="R42" i="5" s="1"/>
  <c r="AI43" i="5"/>
  <c r="AI22" i="5"/>
  <c r="AI42" i="5" s="1"/>
  <c r="Q84" i="10"/>
  <c r="Q49" i="10"/>
  <c r="K22" i="5"/>
  <c r="K42" i="5" s="1"/>
  <c r="K43" i="5"/>
  <c r="AM33" i="2"/>
  <c r="AQ24" i="2"/>
  <c r="AC22" i="5"/>
  <c r="AC42" i="5" s="1"/>
  <c r="AC43" i="5"/>
  <c r="T84" i="10"/>
  <c r="T49" i="10"/>
  <c r="Q18" i="19"/>
  <c r="Q19" i="19" s="1"/>
  <c r="Q34" i="16"/>
  <c r="W84" i="10"/>
  <c r="W49" i="10"/>
  <c r="AM30" i="12"/>
  <c r="AM39" i="12"/>
  <c r="AQ24" i="12"/>
  <c r="AQ20" i="14"/>
  <c r="AM113" i="14"/>
  <c r="AM137" i="14"/>
  <c r="AM18" i="10"/>
  <c r="AM19" i="10"/>
  <c r="AM49" i="10" s="1"/>
  <c r="AL33" i="2"/>
  <c r="AP24" i="2"/>
  <c r="AD72" i="8"/>
  <c r="AD45" i="8"/>
  <c r="AD81" i="7"/>
  <c r="AD52" i="8"/>
  <c r="M40" i="12"/>
  <c r="M105" i="5"/>
  <c r="A1" i="9"/>
  <c r="A3" i="9" s="1"/>
  <c r="L144" i="14"/>
  <c r="L40" i="12"/>
  <c r="L105" i="5"/>
  <c r="O40" i="12"/>
  <c r="O105" i="5"/>
  <c r="AK33" i="2"/>
  <c r="AO24" i="2"/>
  <c r="V144" i="14"/>
  <c r="V40" i="12"/>
  <c r="V105" i="5"/>
  <c r="AM86" i="18"/>
  <c r="AM77" i="18" s="1"/>
  <c r="AM85" i="18"/>
  <c r="AQ112" i="14"/>
  <c r="Q20" i="10"/>
  <c r="AE144" i="14"/>
  <c r="AE40" i="12"/>
  <c r="AE105" i="5"/>
  <c r="O84" i="10"/>
  <c r="O49" i="10"/>
  <c r="K144" i="14"/>
  <c r="K40" i="12"/>
  <c r="K105" i="5"/>
  <c r="R20" i="10"/>
  <c r="F144" i="14"/>
  <c r="F40" i="12"/>
  <c r="F105" i="5"/>
  <c r="X13" i="5"/>
  <c r="AM9" i="5"/>
  <c r="AM13" i="5" s="1"/>
  <c r="A2" i="9"/>
  <c r="T20" i="10"/>
  <c r="AP24" i="12"/>
  <c r="AL30" i="12"/>
  <c r="AL39" i="12"/>
  <c r="AL23" i="19"/>
  <c r="W20" i="10"/>
  <c r="G43" i="5"/>
  <c r="G22" i="5"/>
  <c r="G42" i="5" s="1"/>
  <c r="H142" i="14"/>
  <c r="H135" i="14"/>
  <c r="H143" i="14"/>
  <c r="P44" i="5"/>
  <c r="P51" i="5"/>
  <c r="T22" i="5"/>
  <c r="T42" i="5" s="1"/>
  <c r="T43" i="5"/>
  <c r="AD22" i="5"/>
  <c r="AD42" i="5" s="1"/>
  <c r="AD43" i="5"/>
  <c r="T144" i="14"/>
  <c r="T40" i="12"/>
  <c r="T105" i="5"/>
  <c r="AD144" i="14"/>
  <c r="AD40" i="12"/>
  <c r="AD105" i="5"/>
  <c r="AG142" i="14"/>
  <c r="AG135" i="14"/>
  <c r="AG143" i="14"/>
  <c r="AA45" i="8"/>
  <c r="AR45" i="8" s="1"/>
  <c r="AA72" i="8"/>
  <c r="AA81" i="7"/>
  <c r="AA52" i="8"/>
  <c r="AH52" i="5"/>
  <c r="Y44" i="5"/>
  <c r="Y51" i="5"/>
  <c r="AK9" i="5"/>
  <c r="AK13" i="5" s="1"/>
  <c r="E13" i="5"/>
  <c r="S23" i="19"/>
  <c r="S33" i="16"/>
  <c r="S43" i="12"/>
  <c r="AL43" i="12" s="1"/>
  <c r="S143" i="14"/>
  <c r="AL143" i="14" s="1"/>
  <c r="S36" i="12"/>
  <c r="S9" i="5"/>
  <c r="S13" i="5" s="1"/>
  <c r="M135" i="14"/>
  <c r="M139" i="14" s="1"/>
  <c r="M142" i="14"/>
  <c r="R40" i="12"/>
  <c r="R105" i="5"/>
  <c r="AI144" i="14"/>
  <c r="AI40" i="12"/>
  <c r="AI105" i="5"/>
  <c r="AL18" i="10"/>
  <c r="AL19" i="10"/>
  <c r="AL49" i="10" s="1"/>
  <c r="AA118" i="20"/>
  <c r="AA125" i="20"/>
  <c r="Z127" i="20"/>
  <c r="W43" i="5"/>
  <c r="W22" i="5"/>
  <c r="W42" i="5" s="1"/>
  <c r="AC40" i="12"/>
  <c r="AC144" i="14"/>
  <c r="AC105" i="5"/>
  <c r="R84" i="10"/>
  <c r="R49" i="10"/>
  <c r="AH135" i="14"/>
  <c r="AH142" i="14"/>
  <c r="AH143" i="14"/>
  <c r="AM43" i="12"/>
  <c r="H84" i="10"/>
  <c r="H49" i="10"/>
  <c r="A1" i="10" s="1"/>
  <c r="L143" i="14"/>
  <c r="U84" i="10"/>
  <c r="U49" i="10"/>
  <c r="AB45" i="8"/>
  <c r="AL45" i="8" s="1"/>
  <c r="AB81" i="7"/>
  <c r="AB72" i="8"/>
  <c r="AB52" i="8"/>
  <c r="O142" i="14"/>
  <c r="O135" i="14"/>
  <c r="O139" i="14" s="1"/>
  <c r="U135" i="14"/>
  <c r="U139" i="14" s="1"/>
  <c r="U142" i="14"/>
  <c r="AL85" i="18"/>
  <c r="AL86" i="18"/>
  <c r="AL77" i="18" s="1"/>
  <c r="AP112" i="14"/>
  <c r="I43" i="5"/>
  <c r="I22" i="5"/>
  <c r="I42" i="5" s="1"/>
  <c r="F18" i="19"/>
  <c r="F19" i="19" s="1"/>
  <c r="F34" i="16"/>
  <c r="AF43" i="5"/>
  <c r="AF22" i="5"/>
  <c r="AF42" i="5" s="1"/>
  <c r="X40" i="12"/>
  <c r="X144" i="14"/>
  <c r="X105" i="5"/>
  <c r="AA43" i="5"/>
  <c r="AA22" i="5"/>
  <c r="AA42" i="5" s="1"/>
  <c r="AL113" i="14"/>
  <c r="Y142" i="14"/>
  <c r="Y135" i="14"/>
  <c r="Y143" i="14"/>
  <c r="AM143" i="14" s="1"/>
  <c r="J44" i="5"/>
  <c r="J51" i="5"/>
  <c r="O127" i="20"/>
  <c r="P125" i="20"/>
  <c r="P118" i="20"/>
  <c r="AP18" i="10"/>
  <c r="E40" i="12"/>
  <c r="E144" i="14"/>
  <c r="E105" i="5"/>
  <c r="G144" i="14"/>
  <c r="G40" i="12"/>
  <c r="G105" i="5"/>
  <c r="Z135" i="14"/>
  <c r="Z139" i="14" s="1"/>
  <c r="Z142" i="14"/>
  <c r="R71" i="18"/>
  <c r="R135" i="14"/>
  <c r="R139" i="14" s="1"/>
  <c r="R142" i="14"/>
  <c r="AD18" i="19"/>
  <c r="AD19" i="19" s="1"/>
  <c r="AD34" i="16"/>
  <c r="AP20" i="10"/>
  <c r="R18" i="19"/>
  <c r="R19" i="19" s="1"/>
  <c r="R34" i="16"/>
  <c r="AB43" i="5"/>
  <c r="AB22" i="5"/>
  <c r="AB42" i="5" s="1"/>
  <c r="H44" i="5"/>
  <c r="H51" i="5"/>
  <c r="W144" i="14"/>
  <c r="W40" i="12"/>
  <c r="W105" i="5"/>
  <c r="AC18" i="19"/>
  <c r="AC19" i="19" s="1"/>
  <c r="AC34" i="16"/>
  <c r="AF40" i="12"/>
  <c r="AF144" i="14"/>
  <c r="AF105" i="5"/>
  <c r="P45" i="8"/>
  <c r="AK45" i="8" s="1"/>
  <c r="P81" i="7"/>
  <c r="AA144" i="14"/>
  <c r="AA40" i="12"/>
  <c r="AA105" i="5"/>
  <c r="AL81" i="7"/>
  <c r="AL52" i="8"/>
  <c r="Q13" i="5"/>
  <c r="Q105" i="5" s="1"/>
  <c r="AO20" i="10"/>
  <c r="N43" i="5"/>
  <c r="N22" i="5"/>
  <c r="N42" i="5" s="1"/>
  <c r="Z43" i="5"/>
  <c r="Z22" i="5"/>
  <c r="Z42" i="5" s="1"/>
  <c r="AE84" i="10"/>
  <c r="AE49" i="10"/>
  <c r="AK43" i="12"/>
  <c r="G143" i="14"/>
  <c r="AK143" i="14" s="1"/>
  <c r="U22" i="5"/>
  <c r="U42" i="5" s="1"/>
  <c r="U43" i="5"/>
  <c r="AQ52" i="8"/>
  <c r="A2" i="8" l="1"/>
  <c r="AP45" i="8"/>
  <c r="A1" i="7"/>
  <c r="AO74" i="7"/>
  <c r="AQ74" i="7"/>
  <c r="AQ45" i="8"/>
  <c r="A1" i="12"/>
  <c r="AG52" i="5"/>
  <c r="R35" i="16"/>
  <c r="R43" i="16" s="1"/>
  <c r="AB118" i="20"/>
  <c r="AA127" i="20"/>
  <c r="AB125" i="20"/>
  <c r="S144" i="14"/>
  <c r="S40" i="12"/>
  <c r="S105" i="5"/>
  <c r="AG139" i="14"/>
  <c r="AG144" i="14"/>
  <c r="H139" i="14"/>
  <c r="H144" i="14"/>
  <c r="AP30" i="12"/>
  <c r="AL36" i="12"/>
  <c r="F31" i="3"/>
  <c r="A2" i="7"/>
  <c r="A3" i="7" s="1"/>
  <c r="O44" i="5"/>
  <c r="O51" i="5"/>
  <c r="A1" i="8"/>
  <c r="A3" i="8" s="1"/>
  <c r="N51" i="5"/>
  <c r="N44" i="5"/>
  <c r="AC51" i="5"/>
  <c r="AC44" i="5"/>
  <c r="AM144" i="14"/>
  <c r="R144" i="14"/>
  <c r="AM20" i="10"/>
  <c r="R44" i="5"/>
  <c r="R51" i="5"/>
  <c r="AK138" i="14"/>
  <c r="AO113" i="14"/>
  <c r="AK129" i="14"/>
  <c r="F44" i="5"/>
  <c r="F51" i="5"/>
  <c r="AO125" i="20"/>
  <c r="AO127" i="20" s="1"/>
  <c r="AO118" i="20"/>
  <c r="AN127" i="20"/>
  <c r="AM142" i="14"/>
  <c r="S43" i="5"/>
  <c r="S22" i="5"/>
  <c r="S42" i="5" s="1"/>
  <c r="AI44" i="5"/>
  <c r="AI51" i="5"/>
  <c r="AK40" i="12"/>
  <c r="AO36" i="12"/>
  <c r="AK105" i="5"/>
  <c r="A2" i="12"/>
  <c r="Y139" i="14"/>
  <c r="Y144" i="14"/>
  <c r="H71" i="18"/>
  <c r="Q35" i="16"/>
  <c r="Q43" i="16" s="1"/>
  <c r="AD72" i="18"/>
  <c r="AD73" i="18" s="1"/>
  <c r="AD81" i="18" s="1"/>
  <c r="AE71" i="18"/>
  <c r="H18" i="19"/>
  <c r="H19" i="19" s="1"/>
  <c r="H34" i="16"/>
  <c r="I33" i="16"/>
  <c r="V51" i="5"/>
  <c r="V44" i="5"/>
  <c r="A2" i="10"/>
  <c r="A3" i="10" s="1"/>
  <c r="AC35" i="16"/>
  <c r="AC43" i="16" s="1"/>
  <c r="J52" i="5"/>
  <c r="Y52" i="5"/>
  <c r="AD35" i="16"/>
  <c r="AD43" i="16" s="1"/>
  <c r="AF51" i="5"/>
  <c r="AF44" i="5"/>
  <c r="AL20" i="10"/>
  <c r="S18" i="19"/>
  <c r="S19" i="19" s="1"/>
  <c r="S34" i="16"/>
  <c r="T33" i="16"/>
  <c r="G44" i="5"/>
  <c r="G51" i="5"/>
  <c r="AM138" i="14"/>
  <c r="AQ113" i="14"/>
  <c r="AM129" i="14"/>
  <c r="L44" i="5"/>
  <c r="L51" i="5"/>
  <c r="G35" i="16"/>
  <c r="G43" i="16" s="1"/>
  <c r="AM74" i="7"/>
  <c r="AP74" i="7"/>
  <c r="M51" i="5"/>
  <c r="M44" i="5"/>
  <c r="AD51" i="5"/>
  <c r="AD44" i="5"/>
  <c r="AL9" i="5"/>
  <c r="AL13" i="5" s="1"/>
  <c r="H52" i="5"/>
  <c r="T44" i="5"/>
  <c r="T51" i="5"/>
  <c r="AM43" i="5"/>
  <c r="AM22" i="5"/>
  <c r="AM42" i="5" s="1"/>
  <c r="M144" i="14"/>
  <c r="AK144" i="14" s="1"/>
  <c r="K44" i="5"/>
  <c r="K51" i="5"/>
  <c r="AL142" i="14"/>
  <c r="E85" i="10"/>
  <c r="I85" i="10"/>
  <c r="AE85" i="10"/>
  <c r="P85" i="10"/>
  <c r="M85" i="10"/>
  <c r="R85" i="10"/>
  <c r="N85" i="10"/>
  <c r="S85" i="10"/>
  <c r="U85" i="10"/>
  <c r="AA85" i="10"/>
  <c r="W85" i="10"/>
  <c r="Y85" i="10"/>
  <c r="AC85" i="10"/>
  <c r="K85" i="10"/>
  <c r="AF85" i="10"/>
  <c r="AB85" i="10"/>
  <c r="G85" i="10"/>
  <c r="T85" i="10"/>
  <c r="O85" i="10"/>
  <c r="AH85" i="10"/>
  <c r="Q85" i="10"/>
  <c r="AD85" i="10"/>
  <c r="X85" i="10"/>
  <c r="F85" i="10"/>
  <c r="Z85" i="10"/>
  <c r="L85" i="10"/>
  <c r="AG85" i="10"/>
  <c r="H85" i="10"/>
  <c r="AI85" i="10"/>
  <c r="V85" i="10"/>
  <c r="J85" i="10"/>
  <c r="U144" i="14"/>
  <c r="AF18" i="19"/>
  <c r="AF19" i="19" s="1"/>
  <c r="AF34" i="16"/>
  <c r="AG33" i="16"/>
  <c r="R72" i="18"/>
  <c r="R73" i="18" s="1"/>
  <c r="R81" i="18" s="1"/>
  <c r="S71" i="18"/>
  <c r="I44" i="5"/>
  <c r="I51" i="5"/>
  <c r="Q43" i="5"/>
  <c r="Q22" i="5"/>
  <c r="Q42" i="5" s="1"/>
  <c r="Z44" i="5"/>
  <c r="Z51" i="5"/>
  <c r="Q125" i="20"/>
  <c r="Q118" i="20"/>
  <c r="P127" i="20"/>
  <c r="AL138" i="14"/>
  <c r="AP113" i="14"/>
  <c r="AL129" i="14"/>
  <c r="F35" i="16"/>
  <c r="F43" i="16" s="1"/>
  <c r="W51" i="5"/>
  <c r="W44" i="5"/>
  <c r="E22" i="5"/>
  <c r="E42" i="5" s="1"/>
  <c r="E43" i="5"/>
  <c r="P52" i="5"/>
  <c r="X43" i="5"/>
  <c r="X22" i="5"/>
  <c r="X42" i="5" s="1"/>
  <c r="AE51" i="5"/>
  <c r="AE44" i="5"/>
  <c r="E30" i="19"/>
  <c r="E35" i="16"/>
  <c r="E43" i="16" s="1"/>
  <c r="Z144" i="14"/>
  <c r="Q144" i="14"/>
  <c r="AE35" i="16"/>
  <c r="AE43" i="16" s="1"/>
  <c r="AM36" i="12"/>
  <c r="AQ30" i="12"/>
  <c r="G31" i="3"/>
  <c r="U51" i="5"/>
  <c r="U44" i="5"/>
  <c r="AB44" i="5"/>
  <c r="AB51" i="5"/>
  <c r="AA44" i="5"/>
  <c r="AA51" i="5"/>
  <c r="AH139" i="14"/>
  <c r="AH144" i="14"/>
  <c r="AK43" i="5"/>
  <c r="AK22" i="5"/>
  <c r="AK42" i="5" s="1"/>
  <c r="O144" i="14"/>
  <c r="F22" i="19"/>
  <c r="F26" i="19" s="1"/>
  <c r="E29" i="19"/>
  <c r="AB52" i="5" l="1"/>
  <c r="S72" i="18"/>
  <c r="S73" i="18" s="1"/>
  <c r="S81" i="18" s="1"/>
  <c r="T71" i="18"/>
  <c r="AL144" i="14"/>
  <c r="A1" i="14" s="1"/>
  <c r="A3" i="14" s="1"/>
  <c r="X44" i="5"/>
  <c r="X51" i="5"/>
  <c r="W52" i="5"/>
  <c r="R118" i="20"/>
  <c r="R125" i="20"/>
  <c r="Q127" i="20"/>
  <c r="AM51" i="5"/>
  <c r="AM44" i="5"/>
  <c r="AD52" i="5"/>
  <c r="H35" i="16"/>
  <c r="H43" i="16" s="1"/>
  <c r="L52" i="5"/>
  <c r="S35" i="16"/>
  <c r="S43" i="16" s="1"/>
  <c r="I18" i="19"/>
  <c r="I19" i="19" s="1"/>
  <c r="I34" i="16"/>
  <c r="J33" i="16"/>
  <c r="S44" i="5"/>
  <c r="S51" i="5"/>
  <c r="AO129" i="14"/>
  <c r="AK135" i="14"/>
  <c r="AK44" i="5"/>
  <c r="AK51" i="5"/>
  <c r="Z52" i="5"/>
  <c r="AG18" i="19"/>
  <c r="AG19" i="19" s="1"/>
  <c r="AG34" i="16"/>
  <c r="AH33" i="16"/>
  <c r="AQ129" i="14"/>
  <c r="AM135" i="14"/>
  <c r="AC52" i="5"/>
  <c r="AL40" i="12"/>
  <c r="AP36" i="12"/>
  <c r="AL105" i="5"/>
  <c r="AF35" i="16"/>
  <c r="AF43" i="16" s="1"/>
  <c r="G22" i="19"/>
  <c r="G26" i="19" s="1"/>
  <c r="F29" i="19"/>
  <c r="T52" i="5"/>
  <c r="R52" i="5"/>
  <c r="AC118" i="20"/>
  <c r="AC125" i="20"/>
  <c r="AB127" i="20"/>
  <c r="AP129" i="14"/>
  <c r="AL135" i="14"/>
  <c r="Q44" i="5"/>
  <c r="Q51" i="5"/>
  <c r="AF52" i="5"/>
  <c r="N52" i="5"/>
  <c r="A3" i="12"/>
  <c r="AE52" i="5"/>
  <c r="A2" i="14"/>
  <c r="AL22" i="5"/>
  <c r="AL42" i="5" s="1"/>
  <c r="AL43" i="5"/>
  <c r="U52" i="5"/>
  <c r="F30" i="19"/>
  <c r="M52" i="5"/>
  <c r="AE72" i="18"/>
  <c r="AE73" i="18" s="1"/>
  <c r="AE81" i="18" s="1"/>
  <c r="AF71" i="18"/>
  <c r="G52" i="5"/>
  <c r="AA52" i="5"/>
  <c r="AQ36" i="12"/>
  <c r="AM40" i="12"/>
  <c r="AM105" i="5"/>
  <c r="E51" i="5"/>
  <c r="E44" i="5"/>
  <c r="I52" i="5"/>
  <c r="K52" i="5"/>
  <c r="AI52" i="5"/>
  <c r="F52" i="5"/>
  <c r="O52" i="5"/>
  <c r="T18" i="19"/>
  <c r="T19" i="19" s="1"/>
  <c r="T34" i="16"/>
  <c r="U33" i="16"/>
  <c r="V52" i="5"/>
  <c r="H72" i="18"/>
  <c r="H73" i="18" s="1"/>
  <c r="H81" i="18" s="1"/>
  <c r="I71" i="18"/>
  <c r="U18" i="19" l="1"/>
  <c r="U19" i="19" s="1"/>
  <c r="U34" i="16"/>
  <c r="V33" i="16"/>
  <c r="AK139" i="14"/>
  <c r="AO135" i="14"/>
  <c r="AM52" i="5"/>
  <c r="AM139" i="14"/>
  <c r="AQ135" i="14"/>
  <c r="Q52" i="5"/>
  <c r="AH18" i="19"/>
  <c r="AH19" i="19" s="1"/>
  <c r="AH34" i="16"/>
  <c r="AI33" i="16"/>
  <c r="T72" i="18"/>
  <c r="T73" i="18" s="1"/>
  <c r="T81" i="18" s="1"/>
  <c r="U71" i="18"/>
  <c r="T35" i="16"/>
  <c r="T43" i="16" s="1"/>
  <c r="AG35" i="16"/>
  <c r="AG43" i="16" s="1"/>
  <c r="S52" i="5"/>
  <c r="S118" i="20"/>
  <c r="S125" i="20"/>
  <c r="R127" i="20"/>
  <c r="AL139" i="14"/>
  <c r="AP135" i="14"/>
  <c r="I72" i="18"/>
  <c r="I73" i="18" s="1"/>
  <c r="I81" i="18" s="1"/>
  <c r="J71" i="18"/>
  <c r="J18" i="19"/>
  <c r="J19" i="19" s="1"/>
  <c r="J34" i="16"/>
  <c r="K33" i="16"/>
  <c r="H22" i="19"/>
  <c r="H26" i="19" s="1"/>
  <c r="G29" i="19"/>
  <c r="G30" i="19"/>
  <c r="I35" i="16"/>
  <c r="I43" i="16" s="1"/>
  <c r="E52" i="5"/>
  <c r="AF72" i="18"/>
  <c r="AF73" i="18" s="1"/>
  <c r="AF81" i="18" s="1"/>
  <c r="AG71" i="18"/>
  <c r="AL51" i="5"/>
  <c r="AL44" i="5"/>
  <c r="AD125" i="20"/>
  <c r="AD118" i="20"/>
  <c r="AC127" i="20"/>
  <c r="AK52" i="5"/>
  <c r="X52" i="5"/>
  <c r="AI18" i="19" l="1"/>
  <c r="AM33" i="16"/>
  <c r="AM34" i="16" s="1"/>
  <c r="AI34" i="16"/>
  <c r="J35" i="16"/>
  <c r="J43" i="16" s="1"/>
  <c r="AL52" i="5"/>
  <c r="J72" i="18"/>
  <c r="J73" i="18" s="1"/>
  <c r="J81" i="18" s="1"/>
  <c r="K71" i="18"/>
  <c r="AH35" i="16"/>
  <c r="AH43" i="16" s="1"/>
  <c r="AG72" i="18"/>
  <c r="AG73" i="18" s="1"/>
  <c r="AG81" i="18" s="1"/>
  <c r="AH71" i="18"/>
  <c r="H29" i="19"/>
  <c r="I22" i="19"/>
  <c r="I26" i="19" s="1"/>
  <c r="H30" i="19"/>
  <c r="V18" i="19"/>
  <c r="V19" i="19" s="1"/>
  <c r="V34" i="16"/>
  <c r="W33" i="16"/>
  <c r="U35" i="16"/>
  <c r="U43" i="16" s="1"/>
  <c r="AE125" i="20"/>
  <c r="AE118" i="20"/>
  <c r="AD127" i="20"/>
  <c r="K18" i="19"/>
  <c r="K19" i="19" s="1"/>
  <c r="K34" i="16"/>
  <c r="L33" i="16"/>
  <c r="T118" i="20"/>
  <c r="S127" i="20"/>
  <c r="T125" i="20"/>
  <c r="U72" i="18"/>
  <c r="U73" i="18" s="1"/>
  <c r="U81" i="18" s="1"/>
  <c r="V71" i="18"/>
  <c r="W18" i="19" l="1"/>
  <c r="W19" i="19" s="1"/>
  <c r="W34" i="16"/>
  <c r="X33" i="16"/>
  <c r="V72" i="18"/>
  <c r="V73" i="18" s="1"/>
  <c r="V81" i="18" s="1"/>
  <c r="W71" i="18"/>
  <c r="V35" i="16"/>
  <c r="V43" i="16" s="1"/>
  <c r="U118" i="20"/>
  <c r="U125" i="20"/>
  <c r="T127" i="20"/>
  <c r="K72" i="18"/>
  <c r="K73" i="18" s="1"/>
  <c r="K81" i="18" s="1"/>
  <c r="L71" i="18"/>
  <c r="AI35" i="16"/>
  <c r="AI43" i="16" s="1"/>
  <c r="AE127" i="20"/>
  <c r="AF125" i="20"/>
  <c r="AF118" i="20"/>
  <c r="J22" i="19"/>
  <c r="J26" i="19" s="1"/>
  <c r="I29" i="19"/>
  <c r="I30" i="19"/>
  <c r="AM35" i="16"/>
  <c r="AM43" i="16" s="1"/>
  <c r="L18" i="19"/>
  <c r="L19" i="19" s="1"/>
  <c r="L34" i="16"/>
  <c r="M33" i="16"/>
  <c r="AI19" i="19"/>
  <c r="AM18" i="19"/>
  <c r="AM19" i="19" s="1"/>
  <c r="K35" i="16"/>
  <c r="K43" i="16" s="1"/>
  <c r="AH72" i="18"/>
  <c r="AH73" i="18" s="1"/>
  <c r="AH81" i="18" s="1"/>
  <c r="AI71" i="18"/>
  <c r="W72" i="18" l="1"/>
  <c r="W73" i="18" s="1"/>
  <c r="W81" i="18" s="1"/>
  <c r="X71" i="18"/>
  <c r="L72" i="18"/>
  <c r="L73" i="18" s="1"/>
  <c r="L81" i="18" s="1"/>
  <c r="M71" i="18"/>
  <c r="X18" i="19"/>
  <c r="X19" i="19" s="1"/>
  <c r="X34" i="16"/>
  <c r="Y33" i="16"/>
  <c r="M18" i="19"/>
  <c r="M19" i="19" s="1"/>
  <c r="M34" i="16"/>
  <c r="N33" i="16"/>
  <c r="J29" i="19"/>
  <c r="K22" i="19"/>
  <c r="K26" i="19" s="1"/>
  <c r="J30" i="19"/>
  <c r="W35" i="16"/>
  <c r="W43" i="16" s="1"/>
  <c r="L35" i="16"/>
  <c r="L43" i="16" s="1"/>
  <c r="V125" i="20"/>
  <c r="V127" i="20" s="1"/>
  <c r="V118" i="20"/>
  <c r="U127" i="20"/>
  <c r="AM71" i="18"/>
  <c r="AM72" i="18" s="1"/>
  <c r="AM73" i="18" s="1"/>
  <c r="AM81" i="18" s="1"/>
  <c r="AI72" i="18"/>
  <c r="AI73" i="18" s="1"/>
  <c r="AI81" i="18" s="1"/>
  <c r="AG125" i="20"/>
  <c r="AG118" i="20"/>
  <c r="AF127" i="20"/>
  <c r="AF27" i="2"/>
  <c r="X27" i="2"/>
  <c r="P27" i="2"/>
  <c r="H27" i="2"/>
  <c r="V26" i="2"/>
  <c r="F26" i="2"/>
  <c r="J27" i="2"/>
  <c r="Q27" i="2"/>
  <c r="AE26" i="2"/>
  <c r="AE27" i="2"/>
  <c r="W27" i="2"/>
  <c r="O27" i="2"/>
  <c r="G27" i="2"/>
  <c r="AC26" i="2"/>
  <c r="U26" i="2"/>
  <c r="E26" i="2"/>
  <c r="AG27" i="2"/>
  <c r="AD27" i="2"/>
  <c r="V27" i="2"/>
  <c r="N27" i="2"/>
  <c r="F27" i="2"/>
  <c r="T26" i="2"/>
  <c r="L26" i="2"/>
  <c r="G26" i="2"/>
  <c r="AC27" i="2"/>
  <c r="U27" i="2"/>
  <c r="M27" i="2"/>
  <c r="E27" i="2"/>
  <c r="K26" i="2"/>
  <c r="R27" i="2"/>
  <c r="X26" i="2"/>
  <c r="I27" i="2"/>
  <c r="W26" i="2"/>
  <c r="W29" i="2" s="1"/>
  <c r="W30" i="2" s="1"/>
  <c r="AB27" i="2"/>
  <c r="T27" i="2"/>
  <c r="L27" i="2"/>
  <c r="J26" i="2"/>
  <c r="J29" i="2" s="1"/>
  <c r="J30" i="2" s="1"/>
  <c r="AH27" i="2"/>
  <c r="H26" i="2"/>
  <c r="O26" i="2"/>
  <c r="O29" i="2" s="1"/>
  <c r="O30" i="2" s="1"/>
  <c r="AI27" i="2"/>
  <c r="AA27" i="2"/>
  <c r="S27" i="2"/>
  <c r="K27" i="2"/>
  <c r="AG26" i="2"/>
  <c r="Q26" i="2"/>
  <c r="I26" i="2"/>
  <c r="Z27" i="2"/>
  <c r="Y27" i="2"/>
  <c r="I29" i="2" l="1"/>
  <c r="I30" i="2" s="1"/>
  <c r="I103" i="5" s="1"/>
  <c r="T29" i="2"/>
  <c r="T30" i="2" s="1"/>
  <c r="AC29" i="2"/>
  <c r="AC30" i="2" s="1"/>
  <c r="AG29" i="2"/>
  <c r="AG30" i="2" s="1"/>
  <c r="H29" i="2"/>
  <c r="H30" i="2" s="1"/>
  <c r="AK27" i="2"/>
  <c r="AO27" i="2" s="1"/>
  <c r="L29" i="2"/>
  <c r="L30" i="2" s="1"/>
  <c r="M26" i="2"/>
  <c r="M29" i="2" s="1"/>
  <c r="M30" i="2" s="1"/>
  <c r="N26" i="2"/>
  <c r="N29" i="2" s="1"/>
  <c r="N30" i="2" s="1"/>
  <c r="L22" i="19"/>
  <c r="L26" i="19" s="1"/>
  <c r="K29" i="19"/>
  <c r="K30" i="19"/>
  <c r="M72" i="18"/>
  <c r="M73" i="18" s="1"/>
  <c r="M81" i="18" s="1"/>
  <c r="N71" i="18"/>
  <c r="K29" i="2"/>
  <c r="K30" i="2" s="1"/>
  <c r="T103" i="5"/>
  <c r="T34" i="2"/>
  <c r="T37" i="2"/>
  <c r="U29" i="2"/>
  <c r="U30" i="2" s="1"/>
  <c r="V29" i="2"/>
  <c r="V30" i="2" s="1"/>
  <c r="AM27" i="2"/>
  <c r="AQ27" i="2" s="1"/>
  <c r="J103" i="5"/>
  <c r="J34" i="2"/>
  <c r="J37" i="2"/>
  <c r="S26" i="2"/>
  <c r="S29" i="2" s="1"/>
  <c r="S30" i="2" s="1"/>
  <c r="AB26" i="2"/>
  <c r="AB29" i="2" s="1"/>
  <c r="AB30" i="2" s="1"/>
  <c r="AC34" i="2"/>
  <c r="AC103" i="5"/>
  <c r="AC37" i="2"/>
  <c r="AD26" i="2"/>
  <c r="AD29" i="2" s="1"/>
  <c r="AD30" i="2" s="1"/>
  <c r="N18" i="19"/>
  <c r="N19" i="19" s="1"/>
  <c r="N34" i="16"/>
  <c r="O33" i="16"/>
  <c r="X72" i="18"/>
  <c r="X73" i="18" s="1"/>
  <c r="X81" i="18" s="1"/>
  <c r="Y71" i="18"/>
  <c r="F29" i="2"/>
  <c r="F30" i="2" s="1"/>
  <c r="I34" i="2"/>
  <c r="Q29" i="2"/>
  <c r="Q30" i="2" s="1"/>
  <c r="R26" i="2"/>
  <c r="R29" i="2" s="1"/>
  <c r="R30" i="2" s="1"/>
  <c r="AA26" i="2"/>
  <c r="AA29" i="2" s="1"/>
  <c r="AA30" i="2" s="1"/>
  <c r="AE29" i="2"/>
  <c r="AE30" i="2" s="1"/>
  <c r="M35" i="16"/>
  <c r="M43" i="16" s="1"/>
  <c r="Y26" i="2"/>
  <c r="Y29" i="2" s="1"/>
  <c r="Y30" i="2" s="1"/>
  <c r="Z26" i="2"/>
  <c r="Z29" i="2" s="1"/>
  <c r="Z30" i="2" s="1"/>
  <c r="AI26" i="2"/>
  <c r="AI29" i="2" s="1"/>
  <c r="AI30" i="2" s="1"/>
  <c r="G29" i="2"/>
  <c r="G30" i="2" s="1"/>
  <c r="AL27" i="2"/>
  <c r="AP27" i="2" s="1"/>
  <c r="X29" i="2"/>
  <c r="X30" i="2" s="1"/>
  <c r="AG103" i="5"/>
  <c r="AG34" i="2"/>
  <c r="AG37" i="2"/>
  <c r="AH26" i="2"/>
  <c r="AH29" i="2" s="1"/>
  <c r="AH30" i="2" s="1"/>
  <c r="W103" i="5"/>
  <c r="W34" i="2"/>
  <c r="W37" i="2"/>
  <c r="P26" i="2"/>
  <c r="P29" i="2" s="1"/>
  <c r="P30" i="2" s="1"/>
  <c r="AH118" i="20"/>
  <c r="AH125" i="20"/>
  <c r="AH127" i="20" s="1"/>
  <c r="AG127" i="20"/>
  <c r="Y18" i="19"/>
  <c r="Y19" i="19" s="1"/>
  <c r="Y34" i="16"/>
  <c r="Z33" i="16"/>
  <c r="E29" i="2"/>
  <c r="E30" i="2" s="1"/>
  <c r="O103" i="5"/>
  <c r="O34" i="2"/>
  <c r="O37" i="2"/>
  <c r="AF26" i="2"/>
  <c r="AF29" i="2" s="1"/>
  <c r="AF30" i="2" s="1"/>
  <c r="X35" i="16"/>
  <c r="X43" i="16" s="1"/>
  <c r="K25" i="3"/>
  <c r="W25" i="3" s="1"/>
  <c r="I37" i="2" l="1"/>
  <c r="N35" i="16"/>
  <c r="N43" i="16" s="1"/>
  <c r="U103" i="5"/>
  <c r="U34" i="2"/>
  <c r="U37" i="2"/>
  <c r="Y103" i="5"/>
  <c r="Y34" i="2"/>
  <c r="Y37" i="2"/>
  <c r="M22" i="19"/>
  <c r="M26" i="19" s="1"/>
  <c r="L29" i="19"/>
  <c r="L30" i="19"/>
  <c r="E103" i="5"/>
  <c r="E34" i="2"/>
  <c r="E37" i="2"/>
  <c r="AM26" i="2"/>
  <c r="AD103" i="5"/>
  <c r="AD34" i="2"/>
  <c r="AD37" i="2"/>
  <c r="N103" i="5"/>
  <c r="N34" i="2"/>
  <c r="N37" i="2"/>
  <c r="X103" i="5"/>
  <c r="X34" i="2"/>
  <c r="X37" i="2"/>
  <c r="M34" i="2"/>
  <c r="M103" i="5"/>
  <c r="M37" i="2"/>
  <c r="P34" i="2"/>
  <c r="P103" i="5"/>
  <c r="P37" i="2"/>
  <c r="AK26" i="2"/>
  <c r="Z18" i="19"/>
  <c r="Z19" i="19" s="1"/>
  <c r="Z34" i="16"/>
  <c r="AA33" i="16"/>
  <c r="AE103" i="5"/>
  <c r="AE34" i="2"/>
  <c r="AE37" i="2"/>
  <c r="F103" i="5"/>
  <c r="F34" i="2"/>
  <c r="F37" i="2"/>
  <c r="K103" i="5"/>
  <c r="K34" i="2"/>
  <c r="K37" i="2"/>
  <c r="L103" i="5"/>
  <c r="L34" i="2"/>
  <c r="L37" i="2"/>
  <c r="Z103" i="5"/>
  <c r="Z34" i="2"/>
  <c r="Z37" i="2"/>
  <c r="Q103" i="5"/>
  <c r="Q34" i="2"/>
  <c r="Q37" i="2"/>
  <c r="K24" i="3"/>
  <c r="Y35" i="16"/>
  <c r="Y43" i="16" s="1"/>
  <c r="AA103" i="5"/>
  <c r="AA34" i="2"/>
  <c r="AA37" i="2"/>
  <c r="Y72" i="18"/>
  <c r="Y73" i="18" s="1"/>
  <c r="Y81" i="18" s="1"/>
  <c r="Z71" i="18"/>
  <c r="N72" i="18"/>
  <c r="N73" i="18" s="1"/>
  <c r="N81" i="18" s="1"/>
  <c r="O71" i="18"/>
  <c r="AF103" i="5"/>
  <c r="AF34" i="2"/>
  <c r="AF37" i="2"/>
  <c r="AH103" i="5"/>
  <c r="AH34" i="2"/>
  <c r="AH37" i="2"/>
  <c r="G103" i="5"/>
  <c r="G34" i="2"/>
  <c r="G37" i="2"/>
  <c r="R103" i="5"/>
  <c r="R34" i="2"/>
  <c r="R37" i="2"/>
  <c r="AB103" i="5"/>
  <c r="AB34" i="2"/>
  <c r="AB37" i="2"/>
  <c r="H34" i="2"/>
  <c r="H103" i="5"/>
  <c r="H37" i="2"/>
  <c r="AI103" i="5"/>
  <c r="AI34" i="2"/>
  <c r="AI37" i="2"/>
  <c r="AL26" i="2"/>
  <c r="O18" i="19"/>
  <c r="O19" i="19" s="1"/>
  <c r="O34" i="16"/>
  <c r="P33" i="16"/>
  <c r="S34" i="2"/>
  <c r="S103" i="5"/>
  <c r="S37" i="2"/>
  <c r="V103" i="5"/>
  <c r="V34" i="2"/>
  <c r="V37" i="2"/>
  <c r="K27" i="3" l="1"/>
  <c r="K28" i="3" s="1"/>
  <c r="K32" i="3" s="1"/>
  <c r="W24" i="3"/>
  <c r="W27" i="3" s="1"/>
  <c r="W28" i="3" s="1"/>
  <c r="W35" i="3" s="1"/>
  <c r="O35" i="16"/>
  <c r="O43" i="16" s="1"/>
  <c r="AQ26" i="2"/>
  <c r="AM29" i="2"/>
  <c r="AP26" i="2"/>
  <c r="AL29" i="2"/>
  <c r="Z72" i="18"/>
  <c r="Z73" i="18" s="1"/>
  <c r="Z81" i="18" s="1"/>
  <c r="AA71" i="18"/>
  <c r="AA18" i="19"/>
  <c r="AA19" i="19" s="1"/>
  <c r="AA34" i="16"/>
  <c r="AB33" i="16"/>
  <c r="Z35" i="16"/>
  <c r="Z43" i="16" s="1"/>
  <c r="O72" i="18"/>
  <c r="O73" i="18" s="1"/>
  <c r="O81" i="18" s="1"/>
  <c r="P71" i="18"/>
  <c r="N22" i="19"/>
  <c r="N26" i="19" s="1"/>
  <c r="M29" i="19"/>
  <c r="M30" i="19"/>
  <c r="P18" i="19"/>
  <c r="AK33" i="16"/>
  <c r="AK34" i="16" s="1"/>
  <c r="P34" i="16"/>
  <c r="AO26" i="2"/>
  <c r="AK29" i="2"/>
  <c r="O22" i="19" l="1"/>
  <c r="O26" i="19" s="1"/>
  <c r="N29" i="19"/>
  <c r="N30" i="19"/>
  <c r="AA35" i="16"/>
  <c r="AA43" i="16" s="1"/>
  <c r="AQ29" i="2"/>
  <c r="AM30" i="2"/>
  <c r="D44" i="2"/>
  <c r="AO29" i="2"/>
  <c r="AK30" i="2"/>
  <c r="AK71" i="18"/>
  <c r="AK72" i="18" s="1"/>
  <c r="AK73" i="18" s="1"/>
  <c r="AK81" i="18" s="1"/>
  <c r="P72" i="18"/>
  <c r="P73" i="18" s="1"/>
  <c r="P81" i="18" s="1"/>
  <c r="P35" i="16"/>
  <c r="P43" i="16" s="1"/>
  <c r="AB18" i="19"/>
  <c r="AL33" i="16"/>
  <c r="AL34" i="16" s="1"/>
  <c r="AB34" i="16"/>
  <c r="AK35" i="16"/>
  <c r="AK43" i="16" s="1"/>
  <c r="AA72" i="18"/>
  <c r="AA73" i="18" s="1"/>
  <c r="AA81" i="18" s="1"/>
  <c r="AB71" i="18"/>
  <c r="AK18" i="19"/>
  <c r="AK19" i="19" s="1"/>
  <c r="AK26" i="19" s="1"/>
  <c r="AK29" i="19" s="1"/>
  <c r="P19" i="19"/>
  <c r="AP29" i="2"/>
  <c r="D48" i="2"/>
  <c r="AL30" i="2"/>
  <c r="AB19" i="19" l="1"/>
  <c r="AL18" i="19"/>
  <c r="AL19" i="19" s="1"/>
  <c r="AK30" i="19"/>
  <c r="AK103" i="5"/>
  <c r="AK34" i="2"/>
  <c r="AO30" i="2"/>
  <c r="D41" i="2"/>
  <c r="D45" i="2" s="1"/>
  <c r="D49" i="2" s="1"/>
  <c r="E49" i="2" s="1"/>
  <c r="AK37" i="2"/>
  <c r="AL34" i="2"/>
  <c r="AL103" i="5"/>
  <c r="AP30" i="2"/>
  <c r="AL37" i="2"/>
  <c r="AB35" i="16"/>
  <c r="AB43" i="16" s="1"/>
  <c r="P22" i="19"/>
  <c r="P26" i="19" s="1"/>
  <c r="O29" i="19"/>
  <c r="O30" i="19"/>
  <c r="AM103" i="5"/>
  <c r="AM34" i="2"/>
  <c r="AQ30" i="2"/>
  <c r="AM37" i="2"/>
  <c r="AL71" i="18"/>
  <c r="AL72" i="18" s="1"/>
  <c r="AL73" i="18" s="1"/>
  <c r="AL81" i="18" s="1"/>
  <c r="A1" i="18" s="1"/>
  <c r="AB72" i="18"/>
  <c r="AB73" i="18" s="1"/>
  <c r="AB81" i="18" s="1"/>
  <c r="A2" i="18" s="1"/>
  <c r="AL35" i="16"/>
  <c r="AL43" i="16" s="1"/>
  <c r="A3" i="18" l="1"/>
  <c r="P29" i="19"/>
  <c r="Q22" i="19"/>
  <c r="P30" i="19"/>
  <c r="A2" i="5"/>
  <c r="A1" i="5"/>
  <c r="A1" i="16"/>
  <c r="A2" i="16"/>
  <c r="A1" i="2"/>
  <c r="A2" i="2"/>
  <c r="A3" i="5" l="1"/>
  <c r="A3" i="16"/>
  <c r="AL22" i="19"/>
  <c r="AL26" i="19" s="1"/>
  <c r="Q26" i="19"/>
  <c r="A3" i="2"/>
  <c r="R22" i="19" l="1"/>
  <c r="R26" i="19" s="1"/>
  <c r="Q29" i="19"/>
  <c r="Q30" i="19"/>
  <c r="AL29" i="19"/>
  <c r="AL30" i="19"/>
  <c r="R29" i="19" l="1"/>
  <c r="S22" i="19"/>
  <c r="S26" i="19" s="1"/>
  <c r="R30" i="19"/>
  <c r="T22" i="19" l="1"/>
  <c r="T26" i="19" s="1"/>
  <c r="S29" i="19"/>
  <c r="S30" i="19"/>
  <c r="J24" i="3"/>
  <c r="J25" i="3"/>
  <c r="V25" i="3" s="1"/>
  <c r="U22" i="19" l="1"/>
  <c r="U26" i="19" s="1"/>
  <c r="T29" i="19"/>
  <c r="T30" i="19"/>
  <c r="J27" i="3"/>
  <c r="J28" i="3" s="1"/>
  <c r="J32" i="3" s="1"/>
  <c r="V24" i="3"/>
  <c r="V27" i="3" s="1"/>
  <c r="V28" i="3" s="1"/>
  <c r="V35" i="3" s="1"/>
  <c r="V22" i="19" l="1"/>
  <c r="V26" i="19" s="1"/>
  <c r="U29" i="19"/>
  <c r="U30" i="19"/>
  <c r="W22" i="19" l="1"/>
  <c r="W26" i="19" s="1"/>
  <c r="V29" i="19"/>
  <c r="V30" i="19"/>
  <c r="X22" i="19" l="1"/>
  <c r="W29" i="19"/>
  <c r="W30" i="19"/>
  <c r="AM22" i="19" l="1"/>
  <c r="AM26" i="19" s="1"/>
  <c r="X26" i="19"/>
  <c r="X29" i="19" l="1"/>
  <c r="Y22" i="19"/>
  <c r="Y26" i="19" s="1"/>
  <c r="X30" i="19"/>
  <c r="AM29" i="19"/>
  <c r="AM30" i="19"/>
  <c r="Z22" i="19" l="1"/>
  <c r="Z26" i="19" s="1"/>
  <c r="Y29" i="19"/>
  <c r="Y30" i="19"/>
  <c r="Z29" i="19" l="1"/>
  <c r="AA22" i="19"/>
  <c r="AA26" i="19" s="1"/>
  <c r="Z30" i="19"/>
  <c r="AB22" i="19" l="1"/>
  <c r="AB26" i="19" s="1"/>
  <c r="AA29" i="19"/>
  <c r="AA30" i="19"/>
  <c r="AC22" i="19" l="1"/>
  <c r="AC26" i="19" s="1"/>
  <c r="AB29" i="19"/>
  <c r="AB30" i="19"/>
  <c r="AD22" i="19" l="1"/>
  <c r="AD26" i="19" s="1"/>
  <c r="AC29" i="19"/>
  <c r="AC30" i="19"/>
  <c r="AE22" i="19" l="1"/>
  <c r="AE26" i="19" s="1"/>
  <c r="AD29" i="19"/>
  <c r="AD30" i="19"/>
  <c r="AF22" i="19" l="1"/>
  <c r="AF26" i="19" s="1"/>
  <c r="AE29" i="19"/>
  <c r="AE30" i="19"/>
  <c r="AF29" i="19" l="1"/>
  <c r="AG22" i="19"/>
  <c r="AG26" i="19" s="1"/>
  <c r="AF30" i="19"/>
  <c r="AH22" i="19" l="1"/>
  <c r="AH26" i="19" s="1"/>
  <c r="AG29" i="19"/>
  <c r="AG30" i="19"/>
  <c r="AH29" i="19" l="1"/>
  <c r="AI22" i="19"/>
  <c r="AI26" i="19" s="1"/>
  <c r="AH30" i="19"/>
  <c r="AI29" i="19" l="1"/>
  <c r="AI30" i="19"/>
  <c r="A1" i="19" l="1"/>
  <c r="A2" i="19"/>
  <c r="A3" i="19" l="1"/>
  <c r="I25" i="3" l="1"/>
  <c r="U25" i="3" s="1"/>
  <c r="I24" i="3"/>
  <c r="I27" i="3" l="1"/>
  <c r="I28" i="3" s="1"/>
  <c r="I32" i="3" s="1"/>
  <c r="U24" i="3"/>
  <c r="U27" i="3" s="1"/>
  <c r="U28" i="3" s="1"/>
  <c r="U35" i="3" s="1"/>
  <c r="A2" i="3" l="1"/>
  <c r="A1" i="3"/>
  <c r="A3" i="3" l="1"/>
</calcChain>
</file>

<file path=xl/sharedStrings.xml><?xml version="1.0" encoding="utf-8"?>
<sst xmlns="http://schemas.openxmlformats.org/spreadsheetml/2006/main" count="1778" uniqueCount="452">
  <si>
    <t>Recast Statement of Operations</t>
  </si>
  <si>
    <t>TTM26 EBITDA</t>
  </si>
  <si>
    <t>NOE/I</t>
  </si>
  <si>
    <t>Opex</t>
  </si>
  <si>
    <t>Gross profit</t>
  </si>
  <si>
    <t>FY25 EBITDA</t>
  </si>
  <si>
    <t>FY24 EBITDA</t>
  </si>
  <si>
    <t>Adjusted EBITDA Bridge</t>
  </si>
  <si>
    <t>Check QE1</t>
  </si>
  <si>
    <t>EBITDA margin, adjusted (%)</t>
  </si>
  <si>
    <t>Operating margin, adjusted (%)</t>
  </si>
  <si>
    <t>Gross margin, adjusted (%)</t>
  </si>
  <si>
    <t>Adjusted EBITDA</t>
  </si>
  <si>
    <t>Non-operating expenses / (income)</t>
  </si>
  <si>
    <t>Other non-operating expenses / (income)</t>
  </si>
  <si>
    <t>Depreciation and amortization</t>
  </si>
  <si>
    <t>Income taxes</t>
  </si>
  <si>
    <t>Operating profit</t>
  </si>
  <si>
    <t>Operating expenses</t>
  </si>
  <si>
    <t>Travel, meals, and entertainment</t>
  </si>
  <si>
    <t>Other operating expenses</t>
  </si>
  <si>
    <t>Professional fees</t>
  </si>
  <si>
    <t>Insurance expenses</t>
  </si>
  <si>
    <t>Subcontractor expense</t>
  </si>
  <si>
    <t>Payroll and benefits</t>
  </si>
  <si>
    <t>Cost of goods sold</t>
  </si>
  <si>
    <t>n/a</t>
  </si>
  <si>
    <t>YoY Growth (%)</t>
  </si>
  <si>
    <t>Net revenue</t>
  </si>
  <si>
    <t>Service revenue</t>
  </si>
  <si>
    <t>TTM26</t>
  </si>
  <si>
    <t>FY25</t>
  </si>
  <si>
    <t>FY24</t>
  </si>
  <si>
    <t>Ref</t>
  </si>
  <si>
    <t>% of revenue</t>
  </si>
  <si>
    <t>FY26</t>
  </si>
  <si>
    <t>($ in 000s)</t>
  </si>
  <si>
    <t>Check EBITDA, adjusted</t>
  </si>
  <si>
    <t>Check EBITDA, pro forma</t>
  </si>
  <si>
    <t>Check EBITDA, diligence</t>
  </si>
  <si>
    <t>Check EBITDA, management</t>
  </si>
  <si>
    <t>Check Net income</t>
  </si>
  <si>
    <t>Net Income to Adjusted EBITDA</t>
  </si>
  <si>
    <t>Adjusted Earnings</t>
  </si>
  <si>
    <t>Pro Forma adjustments</t>
  </si>
  <si>
    <t>Diligence adjustments</t>
  </si>
  <si>
    <t>Management adjustments</t>
  </si>
  <si>
    <t>Reported Earnings</t>
  </si>
  <si>
    <t>Pro Forma</t>
  </si>
  <si>
    <t>Diligence</t>
  </si>
  <si>
    <t>Management</t>
  </si>
  <si>
    <t>Reported to Adjusted Bridge</t>
  </si>
  <si>
    <t>Quality of Earnings Analysis</t>
  </si>
  <si>
    <t>Check PL1 EBITDA, reported</t>
  </si>
  <si>
    <t>Check to RPL1</t>
  </si>
  <si>
    <t>Mgmt Meeting (see phase 3 of playbook)</t>
  </si>
  <si>
    <t>Delete vehicle lease listing</t>
  </si>
  <si>
    <t>Delete fixed asset listing</t>
  </si>
  <si>
    <t>Delete audit rec if no assurance work</t>
  </si>
  <si>
    <t>Likely delete PL1a_Bridge, lets see what financials look like first</t>
  </si>
  <si>
    <t>Best practices tab</t>
  </si>
  <si>
    <t>NWC metrics</t>
  </si>
  <si>
    <t>Cash flow</t>
  </si>
  <si>
    <t>Delete:</t>
  </si>
  <si>
    <t>Understand any allocated expenses</t>
  </si>
  <si>
    <t>Accrued expenses and prepaid tabs (if subledger support provided)</t>
  </si>
  <si>
    <t>Insurance matrix</t>
  </si>
  <si>
    <t>CAPEX bifurcated by growth vs. maintenance (in SoW, don't expect there to be much here)</t>
  </si>
  <si>
    <t>Write up Overview and key findings tab</t>
  </si>
  <si>
    <t>Post Mgmt Meeting</t>
  </si>
  <si>
    <t>Monthly analysis of Utilization of billable staff (SoW)</t>
  </si>
  <si>
    <t>Monthly analysis of Revenue per billable hour (SoW)</t>
  </si>
  <si>
    <t>Monthly analysis of Revenue per project, per client (SoW)</t>
  </si>
  <si>
    <t>Equity RF</t>
  </si>
  <si>
    <t>Lease schedule</t>
  </si>
  <si>
    <t>Wages and benefits</t>
  </si>
  <si>
    <t>Employee census</t>
  </si>
  <si>
    <t>Employee RF</t>
  </si>
  <si>
    <t>Gross pay by employee, ensure with the data we can extract any variable compensation, i.e. bonuses or commissions (if applicable).</t>
  </si>
  <si>
    <t>Payroll proof</t>
  </si>
  <si>
    <t>Cash proof of revenue and expense</t>
  </si>
  <si>
    <t>Other databook schedules, ideally completed prior to Mgmt meeting</t>
  </si>
  <si>
    <t>Purchases by vendor</t>
  </si>
  <si>
    <t>Sales by customer</t>
  </si>
  <si>
    <t>AR / AP agings</t>
  </si>
  <si>
    <t>ADJ</t>
  </si>
  <si>
    <t>RPL2</t>
  </si>
  <si>
    <t>RPL1</t>
  </si>
  <si>
    <t>DDL</t>
  </si>
  <si>
    <t>NWC2 - Populate DSO, DIOH, DPO from this tab not NWC1</t>
  </si>
  <si>
    <t>NWC1 - populate DSO, DIOH, DPO from this tab not BS1</t>
  </si>
  <si>
    <t>QE1 - identify definitional reported EBITDA / Rec out to Management EBITDA, build in Mgmt EBITDA adjustments (see LOI)</t>
  </si>
  <si>
    <t>PL1, PL2, BS1, BS2</t>
  </si>
  <si>
    <t>Tie-Out to Internal FS (assuming no assurance work)</t>
  </si>
  <si>
    <t>Set up entire databook for appropriate Historical Period, client / project name, Fiscal year, etc</t>
  </si>
  <si>
    <t>Initial databook build</t>
  </si>
  <si>
    <t>Databook Task List:</t>
  </si>
  <si>
    <t>EBITDA margin, pro forma</t>
  </si>
  <si>
    <t>EBITDA, pro forma</t>
  </si>
  <si>
    <t>Total pro forma adjustments</t>
  </si>
  <si>
    <t>Open</t>
  </si>
  <si>
    <t>[open]</t>
  </si>
  <si>
    <t>Pro forma adjustments:</t>
  </si>
  <si>
    <t>EBITDA margin, adjusted</t>
  </si>
  <si>
    <t>EBITDA margin, reported</t>
  </si>
  <si>
    <t>EBITDA, adjusted</t>
  </si>
  <si>
    <t>Total diligence adjustments</t>
  </si>
  <si>
    <t>Other diligence adjustments:</t>
  </si>
  <si>
    <t>[E]</t>
  </si>
  <si>
    <t>[D]</t>
  </si>
  <si>
    <t>[C]</t>
  </si>
  <si>
    <t>[B]</t>
  </si>
  <si>
    <t>[A]</t>
  </si>
  <si>
    <t>Adjustments to Management adjustments:</t>
  </si>
  <si>
    <t>EBITDA, Management</t>
  </si>
  <si>
    <t>Total Management adjustments</t>
  </si>
  <si>
    <t>Management adjustments:</t>
  </si>
  <si>
    <t>EBITDA, reported</t>
  </si>
  <si>
    <t>Interest expense, net</t>
  </si>
  <si>
    <t>Net income</t>
  </si>
  <si>
    <t>Notes</t>
  </si>
  <si>
    <t>Reviewer</t>
  </si>
  <si>
    <t>Due Date</t>
  </si>
  <si>
    <t>Owner</t>
  </si>
  <si>
    <t>Status</t>
  </si>
  <si>
    <t>In Progress</t>
  </si>
  <si>
    <t>Needs Review</t>
  </si>
  <si>
    <t>Completed</t>
  </si>
  <si>
    <t>Net Working Capital Analysis</t>
  </si>
  <si>
    <t>Adjusted Net Revenue</t>
  </si>
  <si>
    <t>Adjusted TTM Net Revenue</t>
  </si>
  <si>
    <t>Current liabilities check:</t>
  </si>
  <si>
    <t>Current assets check:</t>
  </si>
  <si>
    <t>Check to Recast NWC2</t>
  </si>
  <si>
    <t>DPO, reported</t>
  </si>
  <si>
    <t>DIO, reported</t>
  </si>
  <si>
    <t>DSO, reported</t>
  </si>
  <si>
    <t>Adjusted NWC as % of TTM Net Revenue</t>
  </si>
  <si>
    <t>Net working capital, adjusted</t>
  </si>
  <si>
    <t>Other diligence adjustments</t>
  </si>
  <si>
    <t>Impact of Quality of Earnings adjustments</t>
  </si>
  <si>
    <t>Net working capital, definitional</t>
  </si>
  <si>
    <t>Cash-free, debt-free adjustments</t>
  </si>
  <si>
    <t>Accrued income taxes</t>
  </si>
  <si>
    <t>Accrued interest</t>
  </si>
  <si>
    <t>Current debt</t>
  </si>
  <si>
    <t>Cash and cash equivalents</t>
  </si>
  <si>
    <t>Cash-free, debt-free adjustments:</t>
  </si>
  <si>
    <t>Net working capital, reported</t>
  </si>
  <si>
    <t>Total current liabilities</t>
  </si>
  <si>
    <t>Credit cards payable</t>
  </si>
  <si>
    <t>Zeldis American Express</t>
  </si>
  <si>
    <t>Payroll liabilities</t>
  </si>
  <si>
    <t>401k contributions due</t>
  </si>
  <si>
    <t>Pension Payable</t>
  </si>
  <si>
    <t>Accrued Bonuses</t>
  </si>
  <si>
    <t xml:space="preserve">Unearned revenue </t>
  </si>
  <si>
    <t>Unearned Revenue</t>
  </si>
  <si>
    <t>Other payables</t>
  </si>
  <si>
    <t>Due to Exodus</t>
  </si>
  <si>
    <t>Shareholder Loan-Due to Ken</t>
  </si>
  <si>
    <t>Due to BCBSA</t>
  </si>
  <si>
    <t>Due to The Hartford</t>
  </si>
  <si>
    <t xml:space="preserve">Accounts payable </t>
  </si>
  <si>
    <t>Accounts Payable</t>
  </si>
  <si>
    <t>Total current assets</t>
  </si>
  <si>
    <t xml:space="preserve">Prepaid expenses </t>
  </si>
  <si>
    <t>Prepaid Expenses</t>
  </si>
  <si>
    <t>Other receivables</t>
  </si>
  <si>
    <t>Due from Cheri</t>
  </si>
  <si>
    <t>Due from Fred</t>
  </si>
  <si>
    <t>Due from Amex</t>
  </si>
  <si>
    <t>Due from Kathrin</t>
  </si>
  <si>
    <t>Due from Accelerant</t>
  </si>
  <si>
    <t>Due from Vendor</t>
  </si>
  <si>
    <t>Accounts receivable, net</t>
  </si>
  <si>
    <t>Accounts Receivable</t>
  </si>
  <si>
    <t>Bus Intst Chk 3395</t>
  </si>
  <si>
    <t>First Bank Chk 9631</t>
  </si>
  <si>
    <t>12m</t>
  </si>
  <si>
    <t>9m</t>
  </si>
  <si>
    <t>6m</t>
  </si>
  <si>
    <t>3m</t>
  </si>
  <si>
    <t>Averages</t>
  </si>
  <si>
    <t>Check</t>
  </si>
  <si>
    <t>Adjusted NWC</t>
  </si>
  <si>
    <t>Unearned revenue</t>
  </si>
  <si>
    <t>Accounts payable</t>
  </si>
  <si>
    <t>Prepaid expenses</t>
  </si>
  <si>
    <t>Opex less payroll (Per RPL1)</t>
  </si>
  <si>
    <t>Opex (Per RPL1)</t>
  </si>
  <si>
    <t>Net revenue (per RPL1)</t>
  </si>
  <si>
    <t>TTM Net Revenue</t>
  </si>
  <si>
    <t>Days</t>
  </si>
  <si>
    <t>Check to Recast NWC1</t>
  </si>
  <si>
    <t>DPO, adjusted</t>
  </si>
  <si>
    <t>DIO, adjusted</t>
  </si>
  <si>
    <t>DSO, adjusted</t>
  </si>
  <si>
    <t>Adjusted Net Working Capital</t>
  </si>
  <si>
    <t>Check cash</t>
  </si>
  <si>
    <t>Check long-term liabilities</t>
  </si>
  <si>
    <t>Check current debt</t>
  </si>
  <si>
    <t>Net Debt / (Cash)</t>
  </si>
  <si>
    <t>Total debt and debt-like</t>
  </si>
  <si>
    <t>Total Other Debt-Like Items</t>
  </si>
  <si>
    <t>Other debt-like items:</t>
  </si>
  <si>
    <t>Reported Indebtedness</t>
  </si>
  <si>
    <t>Total long-term liabilities</t>
  </si>
  <si>
    <t>Long term Debt:</t>
  </si>
  <si>
    <t>Total current debt</t>
  </si>
  <si>
    <t>Current Debt:</t>
  </si>
  <si>
    <t>Reported Indebtedness:</t>
  </si>
  <si>
    <t>Debt and Debt-Like Items</t>
  </si>
  <si>
    <t>YTD25</t>
  </si>
  <si>
    <t>Average DPO</t>
  </si>
  <si>
    <t>DPO</t>
  </si>
  <si>
    <t>AP</t>
  </si>
  <si>
    <t>Average DSO</t>
  </si>
  <si>
    <t>DSO</t>
  </si>
  <si>
    <t>AR</t>
  </si>
  <si>
    <t>Check below graphs</t>
  </si>
  <si>
    <t>Check BS1 DPO</t>
  </si>
  <si>
    <t>Check BS1 DIO</t>
  </si>
  <si>
    <t>Check BS1 DSO</t>
  </si>
  <si>
    <t>Cash Conversion Cycle, as reported</t>
  </si>
  <si>
    <t>Opex, less payroll</t>
  </si>
  <si>
    <t>Inventory</t>
  </si>
  <si>
    <t xml:space="preserve">Days </t>
  </si>
  <si>
    <t>Net Working Capital Ratio Analysis</t>
  </si>
  <si>
    <t>Statement of Operations</t>
  </si>
  <si>
    <t>Check Net Income to TB</t>
  </si>
  <si>
    <t>EBITDA margin, reported (%)</t>
  </si>
  <si>
    <t>Operating margin, reported (%)</t>
  </si>
  <si>
    <t>Gross margin, reported (%)</t>
  </si>
  <si>
    <t>Reconciliation to reported EBITDA:</t>
  </si>
  <si>
    <t>Reported Statement of Operations</t>
  </si>
  <si>
    <t>Statement of Operations Leads</t>
  </si>
  <si>
    <t>Check EBITDA to PL1</t>
  </si>
  <si>
    <t>Check Net Income to PL1</t>
  </si>
  <si>
    <t>Gain on Sale of Asset</t>
  </si>
  <si>
    <t>Miscellaneous</t>
  </si>
  <si>
    <t>ERC Credit</t>
  </si>
  <si>
    <t>Other Income</t>
  </si>
  <si>
    <t>Charitable Contributions</t>
  </si>
  <si>
    <t>Depreciation-1</t>
  </si>
  <si>
    <t>CBT Tax</t>
  </si>
  <si>
    <t>NJ Bait</t>
  </si>
  <si>
    <t>Client Entertaiment:Client Meals</t>
  </si>
  <si>
    <t>Meals &amp; Entertainment</t>
  </si>
  <si>
    <t>Travel</t>
  </si>
  <si>
    <t>Project Travel</t>
  </si>
  <si>
    <t>Computer Leases / Equipment Rental</t>
  </si>
  <si>
    <t>Misc. State Taxes and Dues</t>
  </si>
  <si>
    <t>HRA Administration</t>
  </si>
  <si>
    <t>PCORI Fee</t>
  </si>
  <si>
    <t>Bank Charges</t>
  </si>
  <si>
    <t>Employee Recognition</t>
  </si>
  <si>
    <t>Membership Dues / TAB</t>
  </si>
  <si>
    <t>Auto Expenses</t>
  </si>
  <si>
    <t>Rent or Lease</t>
  </si>
  <si>
    <t>EOS</t>
  </si>
  <si>
    <t>Postage &amp; Couriers</t>
  </si>
  <si>
    <t>Team Builder Expenses</t>
  </si>
  <si>
    <t>Office Supplies/Online Svcs</t>
  </si>
  <si>
    <t>Telephone / Utilities</t>
  </si>
  <si>
    <t>Conference Expenses</t>
  </si>
  <si>
    <t>Marketing</t>
  </si>
  <si>
    <t>Legal Services</t>
  </si>
  <si>
    <t>Accountant Fees</t>
  </si>
  <si>
    <t>Voluntary Benefits</t>
  </si>
  <si>
    <t>Auto Insurance</t>
  </si>
  <si>
    <t>Umbrella Liability</t>
  </si>
  <si>
    <t>HRA Expense</t>
  </si>
  <si>
    <t>Business Insurances</t>
  </si>
  <si>
    <t>General Liability</t>
  </si>
  <si>
    <t>Crime Insurance</t>
  </si>
  <si>
    <t>Workers Comp</t>
  </si>
  <si>
    <t>Life Insurance - Doris Owned</t>
  </si>
  <si>
    <t>Life Insurance - Ken Owned</t>
  </si>
  <si>
    <t>Professional Liability</t>
  </si>
  <si>
    <t>Cyber Liability</t>
  </si>
  <si>
    <t>Med Opt Out Reimbursement</t>
  </si>
  <si>
    <t>Medical &amp; Dental Insurance</t>
  </si>
  <si>
    <t>IT/Compliance Depreciation Expense</t>
  </si>
  <si>
    <t>Coding</t>
  </si>
  <si>
    <t>Purchased Sample List</t>
  </si>
  <si>
    <t>House Subcontractors</t>
  </si>
  <si>
    <t>Miscellaneous Qual</t>
  </si>
  <si>
    <t>HITRUST Certification</t>
  </si>
  <si>
    <t>Multivariate</t>
  </si>
  <si>
    <t>Miscellaneous Quant</t>
  </si>
  <si>
    <t>External Report Services</t>
  </si>
  <si>
    <t>External Moderator</t>
  </si>
  <si>
    <t>Facility Fees</t>
  </si>
  <si>
    <t>Subscription Services</t>
  </si>
  <si>
    <t>Transcription Services</t>
  </si>
  <si>
    <t>Tabs</t>
  </si>
  <si>
    <t>Programming / Hosting</t>
  </si>
  <si>
    <t>IT/Compliance</t>
  </si>
  <si>
    <t>Qual Platform Services</t>
  </si>
  <si>
    <t>Incentives</t>
  </si>
  <si>
    <t>Panel / CPI</t>
  </si>
  <si>
    <t>Qual Recruiting</t>
  </si>
  <si>
    <t>Benefits</t>
  </si>
  <si>
    <t>Justworks PEO Payroll:5 FSA</t>
  </si>
  <si>
    <t>Justworks PEO Payroll:6 HSA</t>
  </si>
  <si>
    <t>Justworks PEO Payroll:7 Life Insurance</t>
  </si>
  <si>
    <t>Justworks PEO Payroll:4 ER bnft WC</t>
  </si>
  <si>
    <t>Justworks PEO Payroll:Doris Paid health Insurance</t>
  </si>
  <si>
    <t>Justworks PEO Payroll:3 Health Ins./LTD/AD&amp;D/LTD</t>
  </si>
  <si>
    <t>Justworks PEO Payroll:Med Opt Out Justworks</t>
  </si>
  <si>
    <t>Employee Benefit</t>
  </si>
  <si>
    <t>Other payroll expenses</t>
  </si>
  <si>
    <t>Payroll Processing Fees</t>
  </si>
  <si>
    <t>Justworks PEO Payroll:PEO Service Fee</t>
  </si>
  <si>
    <t>Justworks PEO Payroll:2 ER Costs</t>
  </si>
  <si>
    <t>Payroll Taxes</t>
  </si>
  <si>
    <t>Wages</t>
  </si>
  <si>
    <t>Bonus - Employees</t>
  </si>
  <si>
    <t>Salary - Employees</t>
  </si>
  <si>
    <t>Bonuses Only</t>
  </si>
  <si>
    <t>Salary - Doris</t>
  </si>
  <si>
    <t>Justworks PEO Payroll:1 Gross Wages</t>
  </si>
  <si>
    <t>Salaries &amp; Bonuses</t>
  </si>
  <si>
    <t>Pre-bill adjustment</t>
  </si>
  <si>
    <t>Discounts given</t>
  </si>
  <si>
    <t>Refunds-Allowances</t>
  </si>
  <si>
    <t>Prior Billed Income</t>
  </si>
  <si>
    <t>Services</t>
  </si>
  <si>
    <t>Balance Sheet</t>
  </si>
  <si>
    <t>Opex less payroll (Per PL1)</t>
  </si>
  <si>
    <t>Opex (Per PL1)</t>
  </si>
  <si>
    <t>Net revenue (per PL1)</t>
  </si>
  <si>
    <t>Check A = L+E</t>
  </si>
  <si>
    <t>DIO</t>
  </si>
  <si>
    <t>Total liabilities and equity</t>
  </si>
  <si>
    <t>Total equity</t>
  </si>
  <si>
    <t>Accumulated earnings</t>
  </si>
  <si>
    <t>Retained earnings</t>
  </si>
  <si>
    <t>Distributions</t>
  </si>
  <si>
    <t>Capital Stock</t>
  </si>
  <si>
    <t>Total liabilities</t>
  </si>
  <si>
    <t>Long-term debt</t>
  </si>
  <si>
    <t>Total assets</t>
  </si>
  <si>
    <t>Fixed assets, net</t>
  </si>
  <si>
    <t>Accumulated depreciation</t>
  </si>
  <si>
    <t>Fixed assets, gross</t>
  </si>
  <si>
    <t>Reported Balance Sheet</t>
  </si>
  <si>
    <t>Balance Sheet Leads</t>
  </si>
  <si>
    <t>Retained Earnings</t>
  </si>
  <si>
    <t>Dividend Payment - Doris</t>
  </si>
  <si>
    <t>Dividend Payments - Ken</t>
  </si>
  <si>
    <t>Accumulated Depreciation</t>
  </si>
  <si>
    <t>Furniture Purchases</t>
  </si>
  <si>
    <t>IT Upgrades &amp; New Furniture</t>
  </si>
  <si>
    <t>Machinery &amp; Equipment</t>
  </si>
  <si>
    <t>Check BS1 Equity, reported</t>
  </si>
  <si>
    <t>Check Equity Roll</t>
  </si>
  <si>
    <t>Ending Equity</t>
  </si>
  <si>
    <t>NQ</t>
  </si>
  <si>
    <t>Contributions</t>
  </si>
  <si>
    <t>Beginning Equity</t>
  </si>
  <si>
    <t>Equity Rollforward:</t>
  </si>
  <si>
    <t xml:space="preserve"> </t>
  </si>
  <si>
    <t>Common stock</t>
  </si>
  <si>
    <t>Equity Rollforward</t>
  </si>
  <si>
    <t>check</t>
  </si>
  <si>
    <t>per Internal Financials</t>
  </si>
  <si>
    <t>Net Income</t>
  </si>
  <si>
    <t>per GL</t>
  </si>
  <si>
    <t>A = L + E</t>
  </si>
  <si>
    <t>Equity</t>
  </si>
  <si>
    <t>Liabilities</t>
  </si>
  <si>
    <t>Assets</t>
  </si>
  <si>
    <t>Check:</t>
  </si>
  <si>
    <t>Sum to zero</t>
  </si>
  <si>
    <t>PL</t>
  </si>
  <si>
    <t>Travel:Project Travel</t>
  </si>
  <si>
    <t>Subcontractors:Quantitative Service Expense:Tabs</t>
  </si>
  <si>
    <t>Subcontractors:Quantitative Service Expense:Programming / Hosting</t>
  </si>
  <si>
    <t>Subcontractors:Quantitative Service Expense:Panel / CPI</t>
  </si>
  <si>
    <t>Subcontractors:Quantitative Service Expense:Multivariate</t>
  </si>
  <si>
    <t>Subcontractors:Quantitative Service Expense:Miscellaneous Quant</t>
  </si>
  <si>
    <t>Subcontractors:Quantitative Service Expense:Coding</t>
  </si>
  <si>
    <t>Subcontractors:Qualitative Service Expense:Transcription Services</t>
  </si>
  <si>
    <t>Subcontractors:Qualitative Service Expense:Qual Recruiting</t>
  </si>
  <si>
    <t>Subcontractors:Qualitative Service Expense:Qual Platform Services</t>
  </si>
  <si>
    <t>Subcontractors:Qualitative Service Expense:Miscellaneous Qual</t>
  </si>
  <si>
    <t>Subcontractors:Qualitative Service Expense:Facility Fees</t>
  </si>
  <si>
    <t>Subcontractors:Qualitative Service Expense:External Moderator</t>
  </si>
  <si>
    <t>Subcontractors:Purchased Sample List</t>
  </si>
  <si>
    <t>Subcontractors:Incentives</t>
  </si>
  <si>
    <t>Subcontractors:House Subcontractors:Subscription Services</t>
  </si>
  <si>
    <t>Subcontractors:House Subcontractors:IT/Compliance:IT/Compliance Depreciation Expense</t>
  </si>
  <si>
    <t>Subcontractors:House Subcontractors:IT/Compliance</t>
  </si>
  <si>
    <t>Subcontractors:House Subcontractors:HITRUST Certification</t>
  </si>
  <si>
    <t>Subcontractors:House Subcontractors</t>
  </si>
  <si>
    <t>Subcontractors:External Report Services</t>
  </si>
  <si>
    <t>Salaries &amp; Bonuses:Salaries Only:Salary - Employees</t>
  </si>
  <si>
    <t>Salaries &amp; Bonuses:Salaries Only:Salary - Doris</t>
  </si>
  <si>
    <t>Salaries &amp; Bonuses:Bonuses Only:Bonus - Employees</t>
  </si>
  <si>
    <t>Salaries &amp; Bonuses:Bonuses Only</t>
  </si>
  <si>
    <t>Insurance:Medical &amp; Dental Insurance:Voluntary Benefits</t>
  </si>
  <si>
    <t>Insurance:Medical &amp; Dental Insurance:Med Opt Out Reimbursement</t>
  </si>
  <si>
    <t>Insurance:Medical &amp; Dental Insurance:HRA Expense</t>
  </si>
  <si>
    <t>Insurance:Medical &amp; Dental Insurance</t>
  </si>
  <si>
    <t>Insurance:Life Insurance:Life Insurance - Ken Owned</t>
  </si>
  <si>
    <t>Insurance:Life Insurance:Life Insurance - Doris Owned</t>
  </si>
  <si>
    <t>Insurance:Business Insurances:Workers Comp</t>
  </si>
  <si>
    <t>Insurance:Business Insurances:Umbrella Liability</t>
  </si>
  <si>
    <t>Insurance:Business Insurances:Professional Liability</t>
  </si>
  <si>
    <t>Insurance:Business Insurances:General Liability</t>
  </si>
  <si>
    <t>Insurance:Business Insurances:Cyber Liability</t>
  </si>
  <si>
    <t>Insurance:Business Insurances:Crime Insurance</t>
  </si>
  <si>
    <t>Insurance:Business Insurances</t>
  </si>
  <si>
    <t>Insurance:Auto Insurance</t>
  </si>
  <si>
    <t>BS</t>
  </si>
  <si>
    <t>Current liabilities</t>
  </si>
  <si>
    <t>Current assets</t>
  </si>
  <si>
    <t>Accounts receivable</t>
  </si>
  <si>
    <t>L3</t>
  </si>
  <si>
    <t>L2</t>
  </si>
  <si>
    <t>L1</t>
  </si>
  <si>
    <t>Account Type</t>
  </si>
  <si>
    <t>BS Type</t>
  </si>
  <si>
    <t>PL/BS</t>
  </si>
  <si>
    <t>Entity</t>
  </si>
  <si>
    <t>Account Name + Number</t>
  </si>
  <si>
    <t>Account Number</t>
  </si>
  <si>
    <t>Account name</t>
  </si>
  <si>
    <t>Check NWC1</t>
  </si>
  <si>
    <t>Total NWC adjustments</t>
  </si>
  <si>
    <t>Impact of Quality of Earnings:</t>
  </si>
  <si>
    <t>Net Working Capital, definitional</t>
  </si>
  <si>
    <t>Definitional</t>
  </si>
  <si>
    <t>Net Working Capital, reported</t>
  </si>
  <si>
    <t>Current liabilities, reported</t>
  </si>
  <si>
    <t>Current assets, reported</t>
  </si>
  <si>
    <t>Diligence Type</t>
  </si>
  <si>
    <t>FY23</t>
  </si>
  <si>
    <t>Net Working Capital Adjustments</t>
  </si>
  <si>
    <t>Check EBITDA, reported</t>
  </si>
  <si>
    <t>Total EBITDA adjustments</t>
  </si>
  <si>
    <t>[F]</t>
  </si>
  <si>
    <t>[G]</t>
  </si>
  <si>
    <t>Reported EBITDA adjustments</t>
  </si>
  <si>
    <t>Amortization expense</t>
  </si>
  <si>
    <t>Interest income</t>
  </si>
  <si>
    <t>Interest expense</t>
  </si>
  <si>
    <t>Quality of Earnings Adjustments</t>
  </si>
  <si>
    <t>CLIENT</t>
  </si>
  <si>
    <t>Project 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</si>
</sst>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2" formatCode="_(&quot;$&quot;* #,##0_);_(&quot;$&quot;* \(#,##0\);_(&quot;$&quot;* &quot;-&quot;_);_(@_)"/>
    <numFmt numFmtId="41" formatCode="_(* #,##0_);_(* \(#,##0\);_(* &quot;-&quot;_);_(@_)"/>
    <numFmt numFmtId="43" formatCode="_(* #,##0.00_);_(* \(#,##0.00\);_(* &quot;-&quot;??_);_(@_)"/>
    <numFmt numFmtId="164" formatCode="_(* #,##0.0_);_(* \(#,##0.0\);_(* &quot;-&quot;?_);_(@_)"/>
    <numFmt numFmtId="165" formatCode="mmmyy"/>
    <numFmt numFmtId="166" formatCode="_(* #,##0_);_(* \(#,##0\);_(* &quot;-&quot;??_);_(@_)"/>
    <numFmt numFmtId="167" formatCode="[$-409]mmm\-yy;@"/>
  </numFmts>
  <fonts count="21" x14ac:knownFonts="1">
    <font>
      <sz val="8"/>
      <color theme="1"/>
      <name val="Arial"/>
      <family val="2"/>
    </font>
    <font>
      <sz val="11"/>
      <color theme="1"/>
      <name val="Arial"/>
      <family val="2"/>
      <scheme val="minor"/>
    </font>
    <font>
      <sz val="8"/>
      <color theme="1"/>
      <name val="Arial"/>
      <family val="2"/>
    </font>
    <font>
      <b/>
      <sz val="10"/>
      <color theme="1"/>
      <name val="Arial"/>
      <family val="2"/>
    </font>
    <font>
      <b/>
      <u/>
      <sz val="8"/>
      <color theme="1"/>
      <name val="Arial"/>
      <family val="2"/>
    </font>
    <font>
      <i/>
      <sz val="8"/>
      <color theme="1"/>
      <name val="Arial"/>
      <family val="2"/>
    </font>
    <font>
      <b/>
      <i/>
      <sz val="8"/>
      <color theme="1"/>
      <name val="Arial"/>
      <family val="2"/>
    </font>
    <font>
      <b/>
      <sz val="8"/>
      <color theme="1"/>
      <name val="Arial"/>
      <family val="2"/>
    </font>
    <font>
      <b/>
      <i/>
      <sz val="8"/>
      <color theme="0"/>
      <name val="Arial"/>
      <family val="2"/>
    </font>
    <font>
      <sz val="8"/>
      <color theme="0"/>
      <name val="Arial"/>
      <family val="2"/>
    </font>
    <font>
      <b/>
      <sz val="8"/>
      <color theme="0"/>
      <name val="Arial"/>
      <family val="2"/>
    </font>
    <font>
      <b/>
      <i/>
      <u val="singleAccounting"/>
      <sz val="8"/>
      <color theme="0"/>
      <name val="Arial"/>
      <family val="2"/>
    </font>
    <font>
      <b/>
      <u val="singleAccounting"/>
      <sz val="8"/>
      <color theme="0"/>
      <name val="Arial"/>
      <family val="2"/>
    </font>
    <font>
      <sz val="8"/>
      <color rgb="FFFF0000"/>
      <name val="Arial"/>
      <family val="2"/>
    </font>
    <font>
      <b/>
      <sz val="8"/>
      <color theme="4" tint="-0.249977111117893"/>
      <name val="Arial"/>
      <family val="2"/>
    </font>
    <font>
      <b/>
      <i/>
      <u/>
      <sz val="8"/>
      <color theme="1"/>
      <name val="Arial"/>
      <family val="2"/>
    </font>
    <font>
      <b/>
      <sz val="8"/>
      <color theme="5"/>
      <name val="Arial"/>
      <family val="2"/>
    </font>
    <font>
      <b/>
      <sz val="8"/>
      <color rgb="FFFFFFFF"/>
      <name val="Arial"/>
      <family val="2"/>
    </font>
    <font>
      <b/>
      <sz val="8"/>
      <name val="Arial"/>
      <family val="2"/>
    </font>
    <font>
      <sz val="8"/>
      <name val="Arial"/>
      <family val="2"/>
    </font>
    <font>
      <b/>
      <sz val="8"/>
      <color theme="2"/>
      <name val="Arial"/>
      <family val="2"/>
    </font>
  </fonts>
  <fills count="8">
    <fill>
      <patternFill patternType="none"/>
    </fill>
    <fill>
      <patternFill patternType="gray125"/>
    </fill>
    <fill>
      <patternFill patternType="solid">
        <fgColor theme="0" tint="-4.9989318521683403E-2"/>
        <bgColor indexed="64"/>
      </patternFill>
    </fill>
    <fill>
      <patternFill patternType="solid">
        <fgColor rgb="FF0A2463"/>
        <bgColor indexed="64"/>
      </patternFill>
    </fill>
    <fill>
      <patternFill patternType="solid">
        <fgColor theme="0"/>
        <bgColor indexed="64"/>
      </patternFill>
    </fill>
    <fill>
      <patternFill patternType="solid">
        <fgColor rgb="FFFFFF00"/>
        <bgColor indexed="64"/>
      </patternFill>
    </fill>
    <fill>
      <patternFill patternType="solid">
        <fgColor theme="2"/>
        <bgColor indexed="64"/>
      </patternFill>
    </fill>
    <fill>
      <patternFill patternType="solid">
        <fgColor rgb="FF002060"/>
        <bgColor indexed="64"/>
      </patternFill>
    </fill>
  </fills>
  <borders count="10">
    <border>
      <left/>
      <right/>
      <top/>
      <bottom/>
      <diagonal/>
    </border>
    <border>
      <left/>
      <right/>
      <top/>
      <bottom style="medium">
        <color indexed="64"/>
      </bottom>
      <diagonal/>
    </border>
    <border>
      <left/>
      <right/>
      <top/>
      <bottom style="thin">
        <color indexed="64"/>
      </bottom>
      <diagonal/>
    </border>
    <border>
      <left/>
      <right/>
      <top style="thin">
        <color indexed="64"/>
      </top>
      <bottom/>
      <diagonal/>
    </border>
    <border>
      <left/>
      <right/>
      <top style="thin">
        <color indexed="64"/>
      </top>
      <bottom style="medium">
        <color indexed="64"/>
      </bottom>
      <diagonal/>
    </border>
    <border>
      <left/>
      <right/>
      <top style="thin">
        <color indexed="64"/>
      </top>
      <bottom style="thin">
        <color indexed="64"/>
      </bottom>
      <diagonal/>
    </border>
    <border>
      <left style="medium">
        <color indexed="64"/>
      </left>
      <right/>
      <top/>
      <bottom style="medium">
        <color indexed="64"/>
      </bottom>
      <diagonal/>
    </border>
    <border>
      <left style="medium">
        <color indexed="64"/>
      </left>
      <right/>
      <top/>
      <bottom/>
      <diagonal/>
    </border>
    <border>
      <left/>
      <right/>
      <top style="medium">
        <color indexed="64"/>
      </top>
      <bottom/>
      <diagonal/>
    </border>
    <border>
      <left style="medium">
        <color indexed="64"/>
      </left>
      <right/>
      <top style="medium">
        <color indexed="64"/>
      </top>
      <bottom/>
      <diagonal/>
    </border>
  </borders>
  <cellStyleXfs count="1">
    <xf numFmtId="0" fontId="0" fillId="0" borderId="0"/>
  </cellStyleXfs>
  <cellXfs count="111">
    <xf numFmtId="0" fontId="0" fillId="0" borderId="0" xfId="0"/>
    <xf numFmtId="0" fontId="3" fillId="0" borderId="0" xfId="0" applyFont="1"/>
    <xf numFmtId="41" fontId="0" fillId="0" borderId="0" xfId="0" applyNumberFormat="1"/>
    <xf numFmtId="0" fontId="4" fillId="0" borderId="0" xfId="0" applyFont="1"/>
    <xf numFmtId="0" fontId="0" fillId="0" borderId="0" xfId="0" applyAlignment="1">
      <alignment horizontal="center"/>
    </xf>
    <xf numFmtId="164" fontId="5" fillId="0" borderId="0" xfId="0" applyNumberFormat="1" applyFont="1"/>
    <xf numFmtId="0" fontId="5" fillId="0" borderId="0" xfId="0" applyFont="1" applyAlignment="1">
      <alignment horizontal="center"/>
    </xf>
    <xf numFmtId="0" fontId="5" fillId="0" borderId="0" xfId="0" applyFont="1"/>
    <xf numFmtId="164" fontId="6" fillId="2" borderId="1" xfId="0" applyNumberFormat="1" applyFont="1" applyFill="1" applyBorder="1"/>
    <xf numFmtId="41" fontId="7" fillId="2" borderId="1" xfId="0" applyNumberFormat="1" applyFont="1" applyFill="1" applyBorder="1"/>
    <xf numFmtId="42" fontId="7" fillId="2" borderId="1" xfId="0" applyNumberFormat="1" applyFont="1" applyFill="1" applyBorder="1"/>
    <xf numFmtId="0" fontId="7" fillId="2" borderId="1" xfId="0" applyFont="1" applyFill="1" applyBorder="1" applyAlignment="1">
      <alignment horizontal="center"/>
    </xf>
    <xf numFmtId="0" fontId="7" fillId="2" borderId="1" xfId="0" applyFont="1" applyFill="1" applyBorder="1" applyAlignment="1">
      <alignment horizontal="left" indent="1"/>
    </xf>
    <xf numFmtId="164" fontId="5" fillId="0" borderId="2" xfId="0" applyNumberFormat="1" applyFont="1" applyBorder="1"/>
    <xf numFmtId="41" fontId="0" fillId="0" borderId="2" xfId="0" applyNumberFormat="1" applyBorder="1"/>
    <xf numFmtId="0" fontId="0" fillId="0" borderId="2" xfId="0" applyBorder="1" applyAlignment="1">
      <alignment horizontal="center"/>
    </xf>
    <xf numFmtId="0" fontId="0" fillId="0" borderId="2" xfId="0" applyBorder="1" applyAlignment="1">
      <alignment horizontal="left"/>
    </xf>
    <xf numFmtId="0" fontId="0" fillId="0" borderId="2" xfId="0" applyBorder="1"/>
    <xf numFmtId="164" fontId="6" fillId="0" borderId="0" xfId="0" applyNumberFormat="1" applyFont="1"/>
    <xf numFmtId="41" fontId="7" fillId="0" borderId="0" xfId="0" applyNumberFormat="1" applyFont="1"/>
    <xf numFmtId="0" fontId="7" fillId="0" borderId="0" xfId="0" applyFont="1" applyAlignment="1">
      <alignment horizontal="center"/>
    </xf>
    <xf numFmtId="0" fontId="7" fillId="0" borderId="0" xfId="0" applyFont="1" applyAlignment="1">
      <alignment horizontal="left" indent="1"/>
    </xf>
    <xf numFmtId="164" fontId="5" fillId="0" borderId="0" xfId="0" applyNumberFormat="1" applyFont="1" applyAlignment="1">
      <alignment horizontal="right"/>
    </xf>
    <xf numFmtId="41" fontId="5" fillId="0" borderId="0" xfId="0" applyNumberFormat="1" applyFont="1"/>
    <xf numFmtId="164" fontId="5" fillId="0" borderId="3" xfId="0" applyNumberFormat="1" applyFont="1" applyBorder="1"/>
    <xf numFmtId="41" fontId="0" fillId="0" borderId="3" xfId="0" applyNumberFormat="1" applyBorder="1"/>
    <xf numFmtId="42" fontId="0" fillId="0" borderId="3" xfId="0" applyNumberFormat="1" applyBorder="1"/>
    <xf numFmtId="0" fontId="0" fillId="0" borderId="3" xfId="0" applyBorder="1" applyAlignment="1">
      <alignment horizontal="center"/>
    </xf>
    <xf numFmtId="0" fontId="0" fillId="0" borderId="3" xfId="0" applyBorder="1"/>
    <xf numFmtId="42" fontId="0" fillId="0" borderId="0" xfId="0" applyNumberFormat="1"/>
    <xf numFmtId="165" fontId="8" fillId="3" borderId="0" xfId="0" applyNumberFormat="1" applyFont="1" applyFill="1" applyAlignment="1">
      <alignment horizontal="center"/>
    </xf>
    <xf numFmtId="0" fontId="9" fillId="3" borderId="0" xfId="0" applyFont="1" applyFill="1"/>
    <xf numFmtId="165" fontId="10" fillId="3" borderId="0" xfId="0" applyNumberFormat="1" applyFont="1" applyFill="1" applyAlignment="1">
      <alignment horizontal="center"/>
    </xf>
    <xf numFmtId="0" fontId="10" fillId="3" borderId="0" xfId="0" applyFont="1" applyFill="1" applyAlignment="1">
      <alignment horizontal="center"/>
    </xf>
    <xf numFmtId="0" fontId="10" fillId="3" borderId="0" xfId="0" applyFont="1" applyFill="1"/>
    <xf numFmtId="43" fontId="11" fillId="3" borderId="0" xfId="0" applyNumberFormat="1" applyFont="1" applyFill="1" applyAlignment="1">
      <alignment horizontal="centerContinuous"/>
    </xf>
    <xf numFmtId="43" fontId="12" fillId="3" borderId="0" xfId="0" applyNumberFormat="1" applyFont="1" applyFill="1" applyAlignment="1">
      <alignment horizontal="centerContinuous"/>
    </xf>
    <xf numFmtId="0" fontId="13" fillId="0" borderId="0" xfId="0" applyFont="1"/>
    <xf numFmtId="0" fontId="14" fillId="0" borderId="0" xfId="0" applyFont="1"/>
    <xf numFmtId="42" fontId="7" fillId="2" borderId="4" xfId="0" applyNumberFormat="1" applyFont="1" applyFill="1" applyBorder="1"/>
    <xf numFmtId="0" fontId="7" fillId="2" borderId="4" xfId="0" applyFont="1" applyFill="1" applyBorder="1" applyAlignment="1">
      <alignment horizontal="left" indent="1"/>
    </xf>
    <xf numFmtId="0" fontId="0" fillId="0" borderId="3" xfId="0" applyBorder="1" applyAlignment="1">
      <alignment horizontal="left"/>
    </xf>
    <xf numFmtId="41" fontId="7" fillId="0" borderId="3" xfId="0" applyNumberFormat="1" applyFont="1" applyBorder="1"/>
    <xf numFmtId="0" fontId="7" fillId="0" borderId="3" xfId="0" applyFont="1" applyBorder="1" applyAlignment="1">
      <alignment horizontal="left" indent="1"/>
    </xf>
    <xf numFmtId="43" fontId="12" fillId="3" borderId="0" xfId="0" applyNumberFormat="1" applyFont="1" applyFill="1"/>
    <xf numFmtId="0" fontId="9" fillId="0" borderId="0" xfId="0" applyFont="1"/>
    <xf numFmtId="0" fontId="6" fillId="0" borderId="0" xfId="0" applyFont="1"/>
    <xf numFmtId="0" fontId="15" fillId="0" borderId="0" xfId="0" applyFont="1"/>
    <xf numFmtId="0" fontId="5" fillId="0" borderId="0" xfId="0" applyFont="1" applyAlignment="1">
      <alignment horizontal="left" indent="1"/>
    </xf>
    <xf numFmtId="0" fontId="7" fillId="2" borderId="4" xfId="0" applyFont="1" applyFill="1" applyBorder="1"/>
    <xf numFmtId="0" fontId="0" fillId="0" borderId="3" xfId="0" applyBorder="1" applyAlignment="1">
      <alignment horizontal="left" indent="1"/>
    </xf>
    <xf numFmtId="41" fontId="7" fillId="2" borderId="4" xfId="0" applyNumberFormat="1" applyFont="1" applyFill="1" applyBorder="1"/>
    <xf numFmtId="0" fontId="16" fillId="0" borderId="0" xfId="0" applyFont="1" applyAlignment="1">
      <alignment horizontal="center"/>
    </xf>
    <xf numFmtId="0" fontId="7" fillId="0" borderId="3" xfId="0" applyFont="1" applyBorder="1"/>
    <xf numFmtId="0" fontId="17" fillId="3" borderId="0" xfId="0" applyFont="1" applyFill="1" applyAlignment="1">
      <alignment horizontal="centerContinuous"/>
    </xf>
    <xf numFmtId="0" fontId="17" fillId="3" borderId="0" xfId="0" applyFont="1" applyFill="1" applyAlignment="1">
      <alignment horizontal="center"/>
    </xf>
    <xf numFmtId="0" fontId="7" fillId="0" borderId="3" xfId="0" applyFont="1" applyBorder="1" applyAlignment="1">
      <alignment horizontal="center"/>
    </xf>
    <xf numFmtId="0" fontId="16" fillId="0" borderId="3" xfId="0" applyFont="1" applyBorder="1" applyAlignment="1">
      <alignment horizontal="center"/>
    </xf>
    <xf numFmtId="0" fontId="0" fillId="4" borderId="0" xfId="0" applyFill="1"/>
    <xf numFmtId="41" fontId="0" fillId="4" borderId="0" xfId="0" applyNumberFormat="1" applyFill="1"/>
    <xf numFmtId="0" fontId="0" fillId="4" borderId="0" xfId="0" applyFill="1" applyAlignment="1">
      <alignment horizontal="center"/>
    </xf>
    <xf numFmtId="165" fontId="9" fillId="0" borderId="0" xfId="0" applyNumberFormat="1" applyFont="1" applyAlignment="1">
      <alignment horizontal="center"/>
    </xf>
    <xf numFmtId="41" fontId="0" fillId="0" borderId="0" xfId="0" applyNumberFormat="1" applyAlignment="1">
      <alignment horizontal="right"/>
    </xf>
    <xf numFmtId="0" fontId="0" fillId="0" borderId="0" xfId="0" applyAlignment="1">
      <alignment horizontal="right"/>
    </xf>
    <xf numFmtId="41" fontId="0" fillId="0" borderId="2" xfId="0" applyNumberFormat="1" applyBorder="1" applyAlignment="1">
      <alignment horizontal="right"/>
    </xf>
    <xf numFmtId="165" fontId="18" fillId="3" borderId="0" xfId="0" applyNumberFormat="1" applyFont="1" applyFill="1" applyAlignment="1">
      <alignment horizontal="center"/>
    </xf>
    <xf numFmtId="42" fontId="0" fillId="0" borderId="2" xfId="0" applyNumberFormat="1" applyBorder="1"/>
    <xf numFmtId="0" fontId="7" fillId="2" borderId="1" xfId="0" applyFont="1" applyFill="1" applyBorder="1"/>
    <xf numFmtId="0" fontId="0" fillId="0" borderId="2" xfId="0" applyBorder="1" applyAlignment="1">
      <alignment horizontal="left" indent="1"/>
    </xf>
    <xf numFmtId="0" fontId="0" fillId="0" borderId="0" xfId="0" applyAlignment="1">
      <alignment horizontal="left" indent="1"/>
    </xf>
    <xf numFmtId="0" fontId="5" fillId="0" borderId="0" xfId="0" applyFont="1" applyAlignment="1">
      <alignment horizontal="left"/>
    </xf>
    <xf numFmtId="165" fontId="0" fillId="0" borderId="0" xfId="0" applyNumberFormat="1"/>
    <xf numFmtId="166" fontId="0" fillId="0" borderId="0" xfId="0" applyNumberFormat="1"/>
    <xf numFmtId="0" fontId="0" fillId="0" borderId="0" xfId="0" applyAlignment="1">
      <alignment horizontal="left"/>
    </xf>
    <xf numFmtId="0" fontId="0" fillId="3" borderId="0" xfId="0" applyFill="1"/>
    <xf numFmtId="164" fontId="6" fillId="2" borderId="4" xfId="0" applyNumberFormat="1" applyFont="1" applyFill="1" applyBorder="1"/>
    <xf numFmtId="0" fontId="7" fillId="2" borderId="4" xfId="0" applyFont="1" applyFill="1" applyBorder="1" applyAlignment="1">
      <alignment horizontal="center"/>
    </xf>
    <xf numFmtId="164" fontId="5" fillId="0" borderId="5" xfId="0" applyNumberFormat="1" applyFont="1" applyBorder="1"/>
    <xf numFmtId="41" fontId="0" fillId="0" borderId="5" xfId="0" applyNumberFormat="1" applyBorder="1"/>
    <xf numFmtId="42" fontId="0" fillId="0" borderId="5" xfId="0" applyNumberFormat="1" applyBorder="1"/>
    <xf numFmtId="0" fontId="0" fillId="0" borderId="5" xfId="0" applyBorder="1" applyAlignment="1">
      <alignment horizontal="center"/>
    </xf>
    <xf numFmtId="0" fontId="0" fillId="0" borderId="5" xfId="0" applyBorder="1"/>
    <xf numFmtId="41" fontId="0" fillId="0" borderId="0" xfId="0" applyNumberFormat="1" applyAlignment="1">
      <alignment horizontal="center"/>
    </xf>
    <xf numFmtId="41" fontId="7" fillId="2" borderId="5" xfId="0" applyNumberFormat="1" applyFont="1" applyFill="1" applyBorder="1"/>
    <xf numFmtId="0" fontId="7" fillId="2" borderId="5" xfId="0" applyFont="1" applyFill="1" applyBorder="1" applyAlignment="1">
      <alignment horizontal="center"/>
    </xf>
    <xf numFmtId="0" fontId="7" fillId="2" borderId="5" xfId="0" applyFont="1" applyFill="1" applyBorder="1" applyAlignment="1">
      <alignment horizontal="left" indent="1"/>
    </xf>
    <xf numFmtId="41" fontId="0" fillId="5" borderId="0" xfId="0" applyNumberFormat="1" applyFill="1"/>
    <xf numFmtId="41" fontId="2" fillId="0" borderId="0" xfId="0" applyNumberFormat="1" applyFont="1"/>
    <xf numFmtId="0" fontId="2" fillId="0" borderId="0" xfId="0" applyFont="1"/>
    <xf numFmtId="0" fontId="1" fillId="0" borderId="0" xfId="0" applyFont="1"/>
    <xf numFmtId="0" fontId="19" fillId="0" borderId="0" xfId="0" applyFont="1"/>
    <xf numFmtId="166" fontId="19" fillId="0" borderId="0" xfId="0" applyNumberFormat="1" applyFont="1"/>
    <xf numFmtId="166" fontId="19" fillId="6" borderId="1" xfId="0" applyNumberFormat="1" applyFont="1" applyFill="1" applyBorder="1"/>
    <xf numFmtId="0" fontId="7" fillId="6" borderId="6" xfId="0" quotePrefix="1" applyFont="1" applyFill="1" applyBorder="1"/>
    <xf numFmtId="166" fontId="19" fillId="6" borderId="2" xfId="0" applyNumberFormat="1" applyFont="1" applyFill="1" applyBorder="1"/>
    <xf numFmtId="0" fontId="2" fillId="6" borderId="7" xfId="0" applyFont="1" applyFill="1" applyBorder="1"/>
    <xf numFmtId="166" fontId="19" fillId="6" borderId="0" xfId="0" applyNumberFormat="1" applyFont="1" applyFill="1"/>
    <xf numFmtId="0" fontId="7" fillId="6" borderId="7" xfId="0" applyFont="1" applyFill="1" applyBorder="1"/>
    <xf numFmtId="0" fontId="7" fillId="6" borderId="7" xfId="0" quotePrefix="1" applyFont="1" applyFill="1" applyBorder="1"/>
    <xf numFmtId="0" fontId="2" fillId="6" borderId="7" xfId="0" quotePrefix="1" applyFont="1" applyFill="1" applyBorder="1"/>
    <xf numFmtId="0" fontId="19" fillId="6" borderId="8" xfId="0" applyFont="1" applyFill="1" applyBorder="1"/>
    <xf numFmtId="0" fontId="4" fillId="6" borderId="9" xfId="0" applyFont="1" applyFill="1" applyBorder="1"/>
    <xf numFmtId="43" fontId="19" fillId="0" borderId="0" xfId="0" applyNumberFormat="1" applyFont="1"/>
    <xf numFmtId="0" fontId="7" fillId="0" borderId="0" xfId="0" quotePrefix="1" applyFont="1"/>
    <xf numFmtId="0" fontId="2" fillId="0" borderId="0" xfId="0" applyFont="1" applyAlignment="1">
      <alignment horizontal="left"/>
    </xf>
    <xf numFmtId="167" fontId="20" fillId="7" borderId="0" xfId="0" applyNumberFormat="1" applyFont="1" applyFill="1" applyAlignment="1">
      <alignment horizontal="center"/>
    </xf>
    <xf numFmtId="0" fontId="17" fillId="7" borderId="0" xfId="0" applyFont="1" applyFill="1" applyAlignment="1">
      <alignment horizontal="centerContinuous"/>
    </xf>
    <xf numFmtId="0" fontId="16" fillId="0" borderId="2" xfId="0" applyFont="1" applyBorder="1" applyAlignment="1">
      <alignment horizontal="center"/>
    </xf>
    <xf numFmtId="0" fontId="7" fillId="0" borderId="0" xfId="0" applyFont="1"/>
    <xf numFmtId="41" fontId="7" fillId="0" borderId="4" xfId="0" applyNumberFormat="1" applyFont="1" applyBorder="1"/>
    <xf numFmtId="0" fontId="7" fillId="0" borderId="4" xfId="0" applyFont="1" applyBorder="1"/>
  </cellXfs>
  <cellStyles count="1">
    <cellStyle name="Normal" xfId="0" builtinId="0"/>
  </cellStyles>
  <dxfs count="36">
    <dxf>
      <font>
        <b/>
        <i val="0"/>
        <color rgb="FFFF0000"/>
      </font>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lor rgb="FF006100"/>
      </font>
      <fill>
        <patternFill>
          <bgColor rgb="FFC6EFCE"/>
        </patternFill>
      </fill>
    </dxf>
    <dxf>
      <font>
        <color rgb="FF7030A0"/>
      </font>
      <fill>
        <patternFill>
          <bgColor rgb="FFEADCF4"/>
        </patternFill>
      </fill>
    </dxf>
    <dxf>
      <font>
        <color rgb="FF9C0006"/>
      </font>
      <fill>
        <patternFill>
          <bgColor rgb="FFFFC7CE"/>
        </patternFill>
      </fill>
    </dxf>
    <dxf>
      <font>
        <color rgb="FF7030A0"/>
      </font>
      <fill>
        <patternFill>
          <bgColor rgb="FFEADCF4"/>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7030A0"/>
      </font>
      <fill>
        <patternFill>
          <bgColor rgb="FFEADCF4"/>
        </patternFill>
      </fill>
    </dxf>
    <dxf>
      <font>
        <color rgb="FF9C0006"/>
      </font>
      <fill>
        <patternFill>
          <bgColor rgb="FFFFC7CE"/>
        </patternFill>
      </fill>
    </dxf>
    <dxf>
      <font>
        <color rgb="FF7030A0"/>
      </font>
      <fill>
        <patternFill>
          <bgColor rgb="FFEADCF4"/>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7030A0"/>
      </font>
      <fill>
        <patternFill>
          <bgColor rgb="FFEADCF4"/>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b/>
        <i val="0"/>
        <color rgb="FFFF0000"/>
      </font>
    </dxf>
    <dxf>
      <font>
        <b/>
        <i val="0"/>
        <color rgb="FFFF0000"/>
      </font>
    </dxf>
    <dxf>
      <font>
        <b/>
        <i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000000"/>
                </a:solidFill>
                <a:latin typeface="Arial" panose="020B0604020202020204" pitchFamily="34" charset="0"/>
                <a:ea typeface="Arial"/>
                <a:cs typeface="Arial"/>
              </a:defRPr>
            </a:pPr>
            <a:r>
              <a:rPr lang="en-US" sz="1000" b="1" i="0" u="none">
                <a:solidFill>
                  <a:srgbClr val="000000"/>
                </a:solidFill>
                <a:latin typeface="Arial" panose="020B0604020202020204" pitchFamily="34" charset="0"/>
              </a:rPr>
              <a:t>Adjusted NWC TTM25</a:t>
            </a:r>
          </a:p>
        </c:rich>
      </c:tx>
      <c:overlay val="0"/>
      <c:spPr>
        <a:noFill/>
        <a:ln>
          <a:noFill/>
        </a:ln>
        <a:effectLst/>
        <a:extLst>
          <a:ext uri="{909E8E84-426E-40DD-AFC4-6F175D3DCCD1}">
            <a14:hiddenFill xmlns:a14="http://schemas.microsoft.com/office/drawing/2010/main">
              <a:solidFill>
                <a:srgbClr val="FFFFFF">
                  <a:alpha val="0"/>
                </a:srgbClr>
              </a:solidFill>
            </a14:hiddenFill>
          </a:ext>
        </a:extLst>
      </c:spPr>
      <c:txPr>
        <a:bodyPr rot="0" spcFirstLastPara="1" vertOverflow="ellipsis" vert="horz" wrap="square" anchor="ctr" anchorCtr="1"/>
        <a:lstStyle/>
        <a:p>
          <a:pPr>
            <a:defRPr sz="1000" b="1" i="0" u="none" strike="noStrike" kern="1200" spc="0" baseline="0">
              <a:solidFill>
                <a:srgbClr val="000000"/>
              </a:solidFill>
              <a:latin typeface="Arial" panose="020B0604020202020204" pitchFamily="34" charset="0"/>
              <a:ea typeface="Arial"/>
              <a:cs typeface="Arial"/>
            </a:defRPr>
          </a:pPr>
          <a:endParaRPr lang="en-US"/>
        </a:p>
      </c:txPr>
    </c:title>
    <c:autoTitleDeleted val="0"/>
    <c:plotArea>
      <c:layout/>
      <c:barChart>
        <c:barDir val="col"/>
        <c:grouping val="stacked"/>
        <c:varyColors val="0"/>
        <c:ser>
          <c:idx val="0"/>
          <c:order val="0"/>
          <c:tx>
            <c:strRef>
              <c:f>'NWC2'!$W$62</c:f>
              <c:strCache>
                <c:ptCount val="1"/>
                <c:pt idx="0">
                  <c:v> Accounts receivable, net </c:v>
                </c:pt>
              </c:strCache>
            </c:strRef>
          </c:tx>
          <c:spPr>
            <a:solidFill>
              <a:srgbClr val="0A2463"/>
            </a:solidFill>
            <a:ln>
              <a:noFill/>
            </a:ln>
            <a:effectLst/>
          </c:spPr>
          <c:invertIfNegative val="0"/>
          <c:cat>
            <c:numRef>
              <c:f>'NWC2'!$X$61:$AI$61</c:f>
              <c:numCache>
                <c:formatCode>mmmyy</c:formatCode>
                <c:ptCount val="12"/>
                <c:pt idx="0">
                  <c:v>45626</c:v>
                </c:pt>
                <c:pt idx="1">
                  <c:v>45657</c:v>
                </c:pt>
                <c:pt idx="2">
                  <c:v>45688</c:v>
                </c:pt>
                <c:pt idx="3">
                  <c:v>45716</c:v>
                </c:pt>
                <c:pt idx="4">
                  <c:v>45747</c:v>
                </c:pt>
                <c:pt idx="5">
                  <c:v>45777</c:v>
                </c:pt>
                <c:pt idx="6">
                  <c:v>45808</c:v>
                </c:pt>
                <c:pt idx="7">
                  <c:v>45838</c:v>
                </c:pt>
                <c:pt idx="8">
                  <c:v>45869</c:v>
                </c:pt>
                <c:pt idx="9">
                  <c:v>45900</c:v>
                </c:pt>
                <c:pt idx="10">
                  <c:v>45930</c:v>
                </c:pt>
                <c:pt idx="11">
                  <c:v>45961</c:v>
                </c:pt>
              </c:numCache>
            </c:numRef>
          </c:cat>
          <c:val>
            <c:numRef>
              <c:f>'NWC2'!$X$62:$AI$62</c:f>
              <c:numCache>
                <c:formatCode>_(* #,##0_);_(* \(#,##0\);_(* "-"_);_(@_)</c:formatCode>
                <c:ptCount val="12"/>
                <c:pt idx="0">
                  <c:v>917.83900000000006</c:v>
                </c:pt>
                <c:pt idx="1">
                  <c:v>1105.5360000000001</c:v>
                </c:pt>
                <c:pt idx="2">
                  <c:v>329.661</c:v>
                </c:pt>
                <c:pt idx="3">
                  <c:v>727.59749999999997</c:v>
                </c:pt>
                <c:pt idx="4">
                  <c:v>597.9</c:v>
                </c:pt>
                <c:pt idx="5">
                  <c:v>557.57299999999998</c:v>
                </c:pt>
                <c:pt idx="6">
                  <c:v>512</c:v>
                </c:pt>
                <c:pt idx="7">
                  <c:v>996.39009999999996</c:v>
                </c:pt>
                <c:pt idx="8">
                  <c:v>636.00360000000001</c:v>
                </c:pt>
                <c:pt idx="9">
                  <c:v>608.91700000000003</c:v>
                </c:pt>
                <c:pt idx="10">
                  <c:v>836.82</c:v>
                </c:pt>
                <c:pt idx="11">
                  <c:v>770.76300000000003</c:v>
                </c:pt>
              </c:numCache>
            </c:numRef>
          </c:val>
          <c:extLst>
            <c:ext xmlns:c16="http://schemas.microsoft.com/office/drawing/2014/chart" uri="{C3380CC4-5D6E-409C-BE32-E72D297353CC}">
              <c16:uniqueId val="{00000000-8498-4FBB-BC79-E56E1999F3A1}"/>
            </c:ext>
          </c:extLst>
        </c:ser>
        <c:ser>
          <c:idx val="1"/>
          <c:order val="1"/>
          <c:tx>
            <c:strRef>
              <c:f>'NWC2'!$W$63</c:f>
              <c:strCache>
                <c:ptCount val="1"/>
                <c:pt idx="0">
                  <c:v> Other receivables </c:v>
                </c:pt>
              </c:strCache>
            </c:strRef>
          </c:tx>
          <c:spPr>
            <a:solidFill>
              <a:srgbClr val="2C78C9"/>
            </a:solidFill>
            <a:ln>
              <a:noFill/>
            </a:ln>
            <a:effectLst/>
          </c:spPr>
          <c:invertIfNegative val="0"/>
          <c:cat>
            <c:numRef>
              <c:f>'NWC2'!$X$61:$AI$61</c:f>
              <c:numCache>
                <c:formatCode>mmmyy</c:formatCode>
                <c:ptCount val="12"/>
                <c:pt idx="0">
                  <c:v>45626</c:v>
                </c:pt>
                <c:pt idx="1">
                  <c:v>45657</c:v>
                </c:pt>
                <c:pt idx="2">
                  <c:v>45688</c:v>
                </c:pt>
                <c:pt idx="3">
                  <c:v>45716</c:v>
                </c:pt>
                <c:pt idx="4">
                  <c:v>45747</c:v>
                </c:pt>
                <c:pt idx="5">
                  <c:v>45777</c:v>
                </c:pt>
                <c:pt idx="6">
                  <c:v>45808</c:v>
                </c:pt>
                <c:pt idx="7">
                  <c:v>45838</c:v>
                </c:pt>
                <c:pt idx="8">
                  <c:v>45869</c:v>
                </c:pt>
                <c:pt idx="9">
                  <c:v>45900</c:v>
                </c:pt>
                <c:pt idx="10">
                  <c:v>45930</c:v>
                </c:pt>
                <c:pt idx="11">
                  <c:v>45961</c:v>
                </c:pt>
              </c:numCache>
            </c:numRef>
          </c:cat>
          <c:val>
            <c:numRef>
              <c:f>'NWC2'!$X$63:$AI$63</c:f>
              <c:numCache>
                <c:formatCode>_(* #,##0_);_(* \(#,##0\);_(* "-"_);_(@_)</c:formatCode>
                <c:ptCount val="12"/>
                <c:pt idx="0">
                  <c:v>2.99152</c:v>
                </c:pt>
                <c:pt idx="1">
                  <c:v>2.99152</c:v>
                </c:pt>
                <c:pt idx="2">
                  <c:v>2.99152</c:v>
                </c:pt>
                <c:pt idx="3">
                  <c:v>4.2915200000000002</c:v>
                </c:pt>
                <c:pt idx="4">
                  <c:v>4.2915200000000002</c:v>
                </c:pt>
                <c:pt idx="5">
                  <c:v>4.2915200000000002</c:v>
                </c:pt>
                <c:pt idx="6">
                  <c:v>4.2915200000000002</c:v>
                </c:pt>
                <c:pt idx="7">
                  <c:v>4.2915200000000002</c:v>
                </c:pt>
                <c:pt idx="8">
                  <c:v>4.2915200000000002</c:v>
                </c:pt>
                <c:pt idx="9">
                  <c:v>4.2915200000000002</c:v>
                </c:pt>
                <c:pt idx="10">
                  <c:v>4.2915200000000002</c:v>
                </c:pt>
                <c:pt idx="11">
                  <c:v>4.2915200000000002</c:v>
                </c:pt>
              </c:numCache>
            </c:numRef>
          </c:val>
          <c:extLst>
            <c:ext xmlns:c16="http://schemas.microsoft.com/office/drawing/2014/chart" uri="{C3380CC4-5D6E-409C-BE32-E72D297353CC}">
              <c16:uniqueId val="{00000001-8498-4FBB-BC79-E56E1999F3A1}"/>
            </c:ext>
          </c:extLst>
        </c:ser>
        <c:ser>
          <c:idx val="2"/>
          <c:order val="2"/>
          <c:tx>
            <c:strRef>
              <c:f>'NWC2'!$W$64</c:f>
              <c:strCache>
                <c:ptCount val="1"/>
                <c:pt idx="0">
                  <c:v> Prepaid expenses </c:v>
                </c:pt>
              </c:strCache>
            </c:strRef>
          </c:tx>
          <c:spPr>
            <a:solidFill>
              <a:srgbClr val="828282"/>
            </a:solidFill>
            <a:ln>
              <a:noFill/>
            </a:ln>
            <a:effectLst/>
          </c:spPr>
          <c:invertIfNegative val="0"/>
          <c:cat>
            <c:numRef>
              <c:f>'NWC2'!$X$61:$AI$61</c:f>
              <c:numCache>
                <c:formatCode>mmmyy</c:formatCode>
                <c:ptCount val="12"/>
                <c:pt idx="0">
                  <c:v>45626</c:v>
                </c:pt>
                <c:pt idx="1">
                  <c:v>45657</c:v>
                </c:pt>
                <c:pt idx="2">
                  <c:v>45688</c:v>
                </c:pt>
                <c:pt idx="3">
                  <c:v>45716</c:v>
                </c:pt>
                <c:pt idx="4">
                  <c:v>45747</c:v>
                </c:pt>
                <c:pt idx="5">
                  <c:v>45777</c:v>
                </c:pt>
                <c:pt idx="6">
                  <c:v>45808</c:v>
                </c:pt>
                <c:pt idx="7">
                  <c:v>45838</c:v>
                </c:pt>
                <c:pt idx="8">
                  <c:v>45869</c:v>
                </c:pt>
                <c:pt idx="9">
                  <c:v>45900</c:v>
                </c:pt>
                <c:pt idx="10">
                  <c:v>45930</c:v>
                </c:pt>
                <c:pt idx="11">
                  <c:v>45961</c:v>
                </c:pt>
              </c:numCache>
            </c:numRef>
          </c:cat>
          <c:val>
            <c:numRef>
              <c:f>'NWC2'!$X$64:$AI$64</c:f>
              <c:numCache>
                <c:formatCode>_(* #,##0_);_(* \(#,##0\);_(*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8498-4FBB-BC79-E56E1999F3A1}"/>
            </c:ext>
          </c:extLst>
        </c:ser>
        <c:ser>
          <c:idx val="3"/>
          <c:order val="3"/>
          <c:tx>
            <c:strRef>
              <c:f>'NWC2'!$W$65</c:f>
              <c:strCache>
                <c:ptCount val="1"/>
                <c:pt idx="0">
                  <c:v> Accounts payable </c:v>
                </c:pt>
              </c:strCache>
            </c:strRef>
          </c:tx>
          <c:spPr>
            <a:solidFill>
              <a:srgbClr val="F0C617"/>
            </a:solidFill>
            <a:ln>
              <a:noFill/>
            </a:ln>
            <a:effectLst/>
          </c:spPr>
          <c:invertIfNegative val="0"/>
          <c:cat>
            <c:numRef>
              <c:f>'NWC2'!$X$61:$AI$61</c:f>
              <c:numCache>
                <c:formatCode>mmmyy</c:formatCode>
                <c:ptCount val="12"/>
                <c:pt idx="0">
                  <c:v>45626</c:v>
                </c:pt>
                <c:pt idx="1">
                  <c:v>45657</c:v>
                </c:pt>
                <c:pt idx="2">
                  <c:v>45688</c:v>
                </c:pt>
                <c:pt idx="3">
                  <c:v>45716</c:v>
                </c:pt>
                <c:pt idx="4">
                  <c:v>45747</c:v>
                </c:pt>
                <c:pt idx="5">
                  <c:v>45777</c:v>
                </c:pt>
                <c:pt idx="6">
                  <c:v>45808</c:v>
                </c:pt>
                <c:pt idx="7">
                  <c:v>45838</c:v>
                </c:pt>
                <c:pt idx="8">
                  <c:v>45869</c:v>
                </c:pt>
                <c:pt idx="9">
                  <c:v>45900</c:v>
                </c:pt>
                <c:pt idx="10">
                  <c:v>45930</c:v>
                </c:pt>
                <c:pt idx="11">
                  <c:v>45961</c:v>
                </c:pt>
              </c:numCache>
            </c:numRef>
          </c:cat>
          <c:val>
            <c:numRef>
              <c:f>'NWC2'!$X$65:$AI$65</c:f>
              <c:numCache>
                <c:formatCode>_(* #,##0_);_(* \(#,##0\);_(* "-"_);_(@_)</c:formatCode>
                <c:ptCount val="12"/>
                <c:pt idx="0">
                  <c:v>-169.12200000000001</c:v>
                </c:pt>
                <c:pt idx="1">
                  <c:v>-118.87128999999999</c:v>
                </c:pt>
                <c:pt idx="2">
                  <c:v>-222.63320000000002</c:v>
                </c:pt>
                <c:pt idx="3">
                  <c:v>-96.150399999999991</c:v>
                </c:pt>
                <c:pt idx="4">
                  <c:v>-66.373259999999988</c:v>
                </c:pt>
                <c:pt idx="5">
                  <c:v>-111.65541999999999</c:v>
                </c:pt>
                <c:pt idx="6">
                  <c:v>-144.52427</c:v>
                </c:pt>
                <c:pt idx="7">
                  <c:v>-237.55035999999998</c:v>
                </c:pt>
                <c:pt idx="8">
                  <c:v>-57.762129999999999</c:v>
                </c:pt>
                <c:pt idx="9">
                  <c:v>-154.90525</c:v>
                </c:pt>
                <c:pt idx="10">
                  <c:v>-105.925</c:v>
                </c:pt>
                <c:pt idx="11">
                  <c:v>-95.755990000000011</c:v>
                </c:pt>
              </c:numCache>
            </c:numRef>
          </c:val>
          <c:extLst>
            <c:ext xmlns:c16="http://schemas.microsoft.com/office/drawing/2014/chart" uri="{C3380CC4-5D6E-409C-BE32-E72D297353CC}">
              <c16:uniqueId val="{00000003-8498-4FBB-BC79-E56E1999F3A1}"/>
            </c:ext>
          </c:extLst>
        </c:ser>
        <c:ser>
          <c:idx val="4"/>
          <c:order val="4"/>
          <c:tx>
            <c:strRef>
              <c:f>'NWC2'!$W$66</c:f>
              <c:strCache>
                <c:ptCount val="1"/>
                <c:pt idx="0">
                  <c:v> Other payables </c:v>
                </c:pt>
              </c:strCache>
            </c:strRef>
          </c:tx>
          <c:spPr>
            <a:solidFill>
              <a:srgbClr val="4EA700"/>
            </a:solidFill>
            <a:ln>
              <a:noFill/>
            </a:ln>
            <a:effectLst/>
          </c:spPr>
          <c:invertIfNegative val="0"/>
          <c:cat>
            <c:numRef>
              <c:f>'NWC2'!$X$61:$AI$61</c:f>
              <c:numCache>
                <c:formatCode>mmmyy</c:formatCode>
                <c:ptCount val="12"/>
                <c:pt idx="0">
                  <c:v>45626</c:v>
                </c:pt>
                <c:pt idx="1">
                  <c:v>45657</c:v>
                </c:pt>
                <c:pt idx="2">
                  <c:v>45688</c:v>
                </c:pt>
                <c:pt idx="3">
                  <c:v>45716</c:v>
                </c:pt>
                <c:pt idx="4">
                  <c:v>45747</c:v>
                </c:pt>
                <c:pt idx="5">
                  <c:v>45777</c:v>
                </c:pt>
                <c:pt idx="6">
                  <c:v>45808</c:v>
                </c:pt>
                <c:pt idx="7">
                  <c:v>45838</c:v>
                </c:pt>
                <c:pt idx="8">
                  <c:v>45869</c:v>
                </c:pt>
                <c:pt idx="9">
                  <c:v>45900</c:v>
                </c:pt>
                <c:pt idx="10">
                  <c:v>45930</c:v>
                </c:pt>
                <c:pt idx="11">
                  <c:v>45961</c:v>
                </c:pt>
              </c:numCache>
            </c:numRef>
          </c:cat>
          <c:val>
            <c:numRef>
              <c:f>'NWC2'!$X$66:$AI$66</c:f>
              <c:numCache>
                <c:formatCode>_(* #,##0_);_(* \(#,##0\);_(* "-"_);_(@_)</c:formatCode>
                <c:ptCount val="12"/>
                <c:pt idx="0">
                  <c:v>-16.874379999999999</c:v>
                </c:pt>
                <c:pt idx="1">
                  <c:v>-16.874379999999999</c:v>
                </c:pt>
                <c:pt idx="2">
                  <c:v>-16.874379999999999</c:v>
                </c:pt>
                <c:pt idx="3">
                  <c:v>-15.654999999999999</c:v>
                </c:pt>
                <c:pt idx="4">
                  <c:v>-83.500690000000006</c:v>
                </c:pt>
                <c:pt idx="5">
                  <c:v>-83.500690000000006</c:v>
                </c:pt>
                <c:pt idx="6">
                  <c:v>-83.500690000000006</c:v>
                </c:pt>
                <c:pt idx="7">
                  <c:v>-83.500690000000006</c:v>
                </c:pt>
                <c:pt idx="8">
                  <c:v>-15.654999999999999</c:v>
                </c:pt>
                <c:pt idx="9">
                  <c:v>-15.654999999999999</c:v>
                </c:pt>
                <c:pt idx="10">
                  <c:v>-16.234999999999999</c:v>
                </c:pt>
                <c:pt idx="11">
                  <c:v>-16.234999999999999</c:v>
                </c:pt>
              </c:numCache>
            </c:numRef>
          </c:val>
          <c:extLst>
            <c:ext xmlns:c16="http://schemas.microsoft.com/office/drawing/2014/chart" uri="{C3380CC4-5D6E-409C-BE32-E72D297353CC}">
              <c16:uniqueId val="{00000004-8498-4FBB-BC79-E56E1999F3A1}"/>
            </c:ext>
          </c:extLst>
        </c:ser>
        <c:ser>
          <c:idx val="5"/>
          <c:order val="5"/>
          <c:tx>
            <c:strRef>
              <c:f>'NWC2'!$W$67</c:f>
              <c:strCache>
                <c:ptCount val="1"/>
                <c:pt idx="0">
                  <c:v> Unearned revenue </c:v>
                </c:pt>
              </c:strCache>
            </c:strRef>
          </c:tx>
          <c:spPr>
            <a:solidFill>
              <a:schemeClr val="accent6"/>
            </a:solidFill>
            <a:ln>
              <a:noFill/>
            </a:ln>
            <a:effectLst/>
          </c:spPr>
          <c:invertIfNegative val="0"/>
          <c:cat>
            <c:numRef>
              <c:f>'NWC2'!$X$61:$AI$61</c:f>
              <c:numCache>
                <c:formatCode>mmmyy</c:formatCode>
                <c:ptCount val="12"/>
                <c:pt idx="0">
                  <c:v>45626</c:v>
                </c:pt>
                <c:pt idx="1">
                  <c:v>45657</c:v>
                </c:pt>
                <c:pt idx="2">
                  <c:v>45688</c:v>
                </c:pt>
                <c:pt idx="3">
                  <c:v>45716</c:v>
                </c:pt>
                <c:pt idx="4">
                  <c:v>45747</c:v>
                </c:pt>
                <c:pt idx="5">
                  <c:v>45777</c:v>
                </c:pt>
                <c:pt idx="6">
                  <c:v>45808</c:v>
                </c:pt>
                <c:pt idx="7">
                  <c:v>45838</c:v>
                </c:pt>
                <c:pt idx="8">
                  <c:v>45869</c:v>
                </c:pt>
                <c:pt idx="9">
                  <c:v>45900</c:v>
                </c:pt>
                <c:pt idx="10">
                  <c:v>45930</c:v>
                </c:pt>
                <c:pt idx="11">
                  <c:v>45961</c:v>
                </c:pt>
              </c:numCache>
            </c:numRef>
          </c:cat>
          <c:val>
            <c:numRef>
              <c:f>'NWC2'!$X$67:$AI$67</c:f>
              <c:numCache>
                <c:formatCode>_(* #,##0_);_(* \(#,##0\);_(* "-"_);_(@_)</c:formatCode>
                <c:ptCount val="12"/>
                <c:pt idx="0">
                  <c:v>-933.346</c:v>
                </c:pt>
                <c:pt idx="1">
                  <c:v>-933.346</c:v>
                </c:pt>
                <c:pt idx="2">
                  <c:v>-933.346</c:v>
                </c:pt>
                <c:pt idx="3">
                  <c:v>-933.346</c:v>
                </c:pt>
                <c:pt idx="4">
                  <c:v>-925.17</c:v>
                </c:pt>
                <c:pt idx="5">
                  <c:v>-925.17</c:v>
                </c:pt>
                <c:pt idx="6">
                  <c:v>-925.17</c:v>
                </c:pt>
                <c:pt idx="7">
                  <c:v>-851.17</c:v>
                </c:pt>
                <c:pt idx="8">
                  <c:v>-851.17</c:v>
                </c:pt>
                <c:pt idx="9">
                  <c:v>-851.17</c:v>
                </c:pt>
                <c:pt idx="10">
                  <c:v>-851.17</c:v>
                </c:pt>
                <c:pt idx="11">
                  <c:v>-810.14499999999998</c:v>
                </c:pt>
              </c:numCache>
            </c:numRef>
          </c:val>
          <c:extLst>
            <c:ext xmlns:c16="http://schemas.microsoft.com/office/drawing/2014/chart" uri="{C3380CC4-5D6E-409C-BE32-E72D297353CC}">
              <c16:uniqueId val="{00000005-8498-4FBB-BC79-E56E1999F3A1}"/>
            </c:ext>
          </c:extLst>
        </c:ser>
        <c:ser>
          <c:idx val="7"/>
          <c:order val="6"/>
          <c:tx>
            <c:strRef>
              <c:f>'NWC2'!$W$68</c:f>
              <c:strCache>
                <c:ptCount val="1"/>
                <c:pt idx="0">
                  <c:v> Payroll liabilities </c:v>
                </c:pt>
              </c:strCache>
            </c:strRef>
          </c:tx>
          <c:spPr>
            <a:solidFill>
              <a:schemeClr val="accent2">
                <a:lumMod val="60000"/>
              </a:schemeClr>
            </a:solidFill>
            <a:ln>
              <a:noFill/>
            </a:ln>
            <a:effectLst/>
          </c:spPr>
          <c:invertIfNegative val="0"/>
          <c:cat>
            <c:numRef>
              <c:f>'NWC2'!$X$61:$AI$61</c:f>
              <c:numCache>
                <c:formatCode>mmmyy</c:formatCode>
                <c:ptCount val="12"/>
                <c:pt idx="0">
                  <c:v>45626</c:v>
                </c:pt>
                <c:pt idx="1">
                  <c:v>45657</c:v>
                </c:pt>
                <c:pt idx="2">
                  <c:v>45688</c:v>
                </c:pt>
                <c:pt idx="3">
                  <c:v>45716</c:v>
                </c:pt>
                <c:pt idx="4">
                  <c:v>45747</c:v>
                </c:pt>
                <c:pt idx="5">
                  <c:v>45777</c:v>
                </c:pt>
                <c:pt idx="6">
                  <c:v>45808</c:v>
                </c:pt>
                <c:pt idx="7">
                  <c:v>45838</c:v>
                </c:pt>
                <c:pt idx="8">
                  <c:v>45869</c:v>
                </c:pt>
                <c:pt idx="9">
                  <c:v>45900</c:v>
                </c:pt>
                <c:pt idx="10">
                  <c:v>45930</c:v>
                </c:pt>
                <c:pt idx="11">
                  <c:v>45961</c:v>
                </c:pt>
              </c:numCache>
            </c:numRef>
          </c:cat>
          <c:val>
            <c:numRef>
              <c:f>'NWC2'!$X$68:$AI$68</c:f>
              <c:numCache>
                <c:formatCode>_(* #,##0_);_(* \(#,##0\);_(* "-"_);_(@_)</c:formatCode>
                <c:ptCount val="12"/>
                <c:pt idx="0">
                  <c:v>-419.27010999999999</c:v>
                </c:pt>
                <c:pt idx="1">
                  <c:v>-470.52010999999999</c:v>
                </c:pt>
                <c:pt idx="2">
                  <c:v>-9.3978400000000004</c:v>
                </c:pt>
                <c:pt idx="3">
                  <c:v>-7.6471599999999995</c:v>
                </c:pt>
                <c:pt idx="4">
                  <c:v>-95.306049999999999</c:v>
                </c:pt>
                <c:pt idx="5">
                  <c:v>-95.335310000000007</c:v>
                </c:pt>
                <c:pt idx="6">
                  <c:v>-197.83531000000002</c:v>
                </c:pt>
                <c:pt idx="7">
                  <c:v>-258.08933999999999</c:v>
                </c:pt>
                <c:pt idx="8">
                  <c:v>-213.50942000000001</c:v>
                </c:pt>
                <c:pt idx="9">
                  <c:v>-264.63672000000003</c:v>
                </c:pt>
                <c:pt idx="10">
                  <c:v>-315.88672000000003</c:v>
                </c:pt>
                <c:pt idx="11">
                  <c:v>-358.75</c:v>
                </c:pt>
              </c:numCache>
            </c:numRef>
          </c:val>
          <c:extLst>
            <c:ext xmlns:c16="http://schemas.microsoft.com/office/drawing/2014/chart" uri="{C3380CC4-5D6E-409C-BE32-E72D297353CC}">
              <c16:uniqueId val="{00000006-8498-4FBB-BC79-E56E1999F3A1}"/>
            </c:ext>
          </c:extLst>
        </c:ser>
        <c:dLbls>
          <c:showLegendKey val="0"/>
          <c:showVal val="0"/>
          <c:showCatName val="0"/>
          <c:showSerName val="0"/>
          <c:showPercent val="0"/>
          <c:showBubbleSize val="0"/>
        </c:dLbls>
        <c:gapWidth val="219"/>
        <c:overlap val="100"/>
        <c:axId val="91962231"/>
        <c:axId val="91966191"/>
      </c:barChart>
      <c:barChart>
        <c:barDir val="col"/>
        <c:grouping val="stacked"/>
        <c:varyColors val="0"/>
        <c:ser>
          <c:idx val="8"/>
          <c:order val="7"/>
          <c:tx>
            <c:strRef>
              <c:f>'NWC2'!$W$69</c:f>
              <c:strCache>
                <c:ptCount val="1"/>
                <c:pt idx="0">
                  <c:v> Credit cards payable </c:v>
                </c:pt>
              </c:strCache>
            </c:strRef>
          </c:tx>
          <c:spPr>
            <a:solidFill>
              <a:schemeClr val="accent5"/>
            </a:solidFill>
            <a:ln>
              <a:noFill/>
            </a:ln>
            <a:effectLst/>
          </c:spPr>
          <c:invertIfNegative val="0"/>
          <c:cat>
            <c:numRef>
              <c:f>'NWC2'!$X$61:$AI$61</c:f>
              <c:numCache>
                <c:formatCode>mmmyy</c:formatCode>
                <c:ptCount val="12"/>
                <c:pt idx="0">
                  <c:v>45626</c:v>
                </c:pt>
                <c:pt idx="1">
                  <c:v>45657</c:v>
                </c:pt>
                <c:pt idx="2">
                  <c:v>45688</c:v>
                </c:pt>
                <c:pt idx="3">
                  <c:v>45716</c:v>
                </c:pt>
                <c:pt idx="4">
                  <c:v>45747</c:v>
                </c:pt>
                <c:pt idx="5">
                  <c:v>45777</c:v>
                </c:pt>
                <c:pt idx="6">
                  <c:v>45808</c:v>
                </c:pt>
                <c:pt idx="7">
                  <c:v>45838</c:v>
                </c:pt>
                <c:pt idx="8">
                  <c:v>45869</c:v>
                </c:pt>
                <c:pt idx="9">
                  <c:v>45900</c:v>
                </c:pt>
                <c:pt idx="10">
                  <c:v>45930</c:v>
                </c:pt>
                <c:pt idx="11">
                  <c:v>45961</c:v>
                </c:pt>
              </c:numCache>
            </c:numRef>
          </c:cat>
          <c:val>
            <c:numRef>
              <c:f>'NWC2'!$X$69:$AI$69</c:f>
              <c:numCache>
                <c:formatCode>_(* #,##0_);_(* \(#,##0\);_(* "-"_);_(@_)</c:formatCode>
                <c:ptCount val="12"/>
                <c:pt idx="0">
                  <c:v>-4.02806</c:v>
                </c:pt>
                <c:pt idx="1">
                  <c:v>0</c:v>
                </c:pt>
                <c:pt idx="2">
                  <c:v>-3.4602199999999996</c:v>
                </c:pt>
                <c:pt idx="3">
                  <c:v>-4.3994300000000006</c:v>
                </c:pt>
                <c:pt idx="4">
                  <c:v>-3.9042500000000002</c:v>
                </c:pt>
                <c:pt idx="5">
                  <c:v>-3.98306</c:v>
                </c:pt>
                <c:pt idx="6">
                  <c:v>-2.3029799999999998</c:v>
                </c:pt>
                <c:pt idx="7">
                  <c:v>-3.4098800000000002</c:v>
                </c:pt>
                <c:pt idx="8">
                  <c:v>-5.76356</c:v>
                </c:pt>
                <c:pt idx="9">
                  <c:v>-3.0628200000000003</c:v>
                </c:pt>
                <c:pt idx="10">
                  <c:v>-3.1991900000000002</c:v>
                </c:pt>
                <c:pt idx="11">
                  <c:v>-4.8542200000000006</c:v>
                </c:pt>
              </c:numCache>
            </c:numRef>
          </c:val>
          <c:extLst>
            <c:ext xmlns:c16="http://schemas.microsoft.com/office/drawing/2014/chart" uri="{C3380CC4-5D6E-409C-BE32-E72D297353CC}">
              <c16:uniqueId val="{00000007-8498-4FBB-BC79-E56E1999F3A1}"/>
            </c:ext>
          </c:extLst>
        </c:ser>
        <c:dLbls>
          <c:showLegendKey val="0"/>
          <c:showVal val="0"/>
          <c:showCatName val="0"/>
          <c:showSerName val="0"/>
          <c:showPercent val="0"/>
          <c:showBubbleSize val="0"/>
        </c:dLbls>
        <c:gapWidth val="150"/>
        <c:overlap val="100"/>
        <c:axId val="91944591"/>
        <c:axId val="91938471"/>
      </c:barChart>
      <c:lineChart>
        <c:grouping val="standard"/>
        <c:varyColors val="0"/>
        <c:ser>
          <c:idx val="6"/>
          <c:order val="8"/>
          <c:tx>
            <c:strRef>
              <c:f>'NWC2'!$W$70</c:f>
              <c:strCache>
                <c:ptCount val="1"/>
                <c:pt idx="0">
                  <c:v>Adjusted NWC</c:v>
                </c:pt>
              </c:strCache>
            </c:strRef>
          </c:tx>
          <c:spPr>
            <a:ln w="28575" cap="rnd">
              <a:solidFill>
                <a:schemeClr val="accent6"/>
              </a:solidFill>
              <a:prstDash val="dash"/>
              <a:round/>
            </a:ln>
            <a:effectLst/>
          </c:spPr>
          <c:marker>
            <c:symbol val="none"/>
          </c:marker>
          <c:cat>
            <c:numRef>
              <c:f>'NWC2'!$X$61:$AI$61</c:f>
              <c:numCache>
                <c:formatCode>mmmyy</c:formatCode>
                <c:ptCount val="12"/>
                <c:pt idx="0">
                  <c:v>45626</c:v>
                </c:pt>
                <c:pt idx="1">
                  <c:v>45657</c:v>
                </c:pt>
                <c:pt idx="2">
                  <c:v>45688</c:v>
                </c:pt>
                <c:pt idx="3">
                  <c:v>45716</c:v>
                </c:pt>
                <c:pt idx="4">
                  <c:v>45747</c:v>
                </c:pt>
                <c:pt idx="5">
                  <c:v>45777</c:v>
                </c:pt>
                <c:pt idx="6">
                  <c:v>45808</c:v>
                </c:pt>
                <c:pt idx="7">
                  <c:v>45838</c:v>
                </c:pt>
                <c:pt idx="8">
                  <c:v>45869</c:v>
                </c:pt>
                <c:pt idx="9">
                  <c:v>45900</c:v>
                </c:pt>
                <c:pt idx="10">
                  <c:v>45930</c:v>
                </c:pt>
                <c:pt idx="11">
                  <c:v>45961</c:v>
                </c:pt>
              </c:numCache>
            </c:numRef>
          </c:cat>
          <c:val>
            <c:numRef>
              <c:f>'NWC2'!$X$70:$AI$70</c:f>
              <c:numCache>
                <c:formatCode>_(* #,##0_);_(* \(#,##0\);_(* "-"_);_(@_)</c:formatCode>
                <c:ptCount val="12"/>
                <c:pt idx="0">
                  <c:v>-621.81002999999976</c:v>
                </c:pt>
                <c:pt idx="1">
                  <c:v>-431.08425999999992</c:v>
                </c:pt>
                <c:pt idx="2">
                  <c:v>-853.05912000000012</c:v>
                </c:pt>
                <c:pt idx="3">
                  <c:v>-325.30896999999999</c:v>
                </c:pt>
                <c:pt idx="4">
                  <c:v>-572.06272999999999</c:v>
                </c:pt>
                <c:pt idx="5">
                  <c:v>-657.77996000000007</c:v>
                </c:pt>
                <c:pt idx="6">
                  <c:v>-837.04173000000014</c:v>
                </c:pt>
                <c:pt idx="7">
                  <c:v>-433.0386499999999</c:v>
                </c:pt>
                <c:pt idx="8">
                  <c:v>-503.56498999999985</c:v>
                </c:pt>
                <c:pt idx="9">
                  <c:v>-676.22126999999989</c:v>
                </c:pt>
                <c:pt idx="10">
                  <c:v>-451.3043899999999</c:v>
                </c:pt>
                <c:pt idx="11">
                  <c:v>-510.68568999999997</c:v>
                </c:pt>
              </c:numCache>
            </c:numRef>
          </c:val>
          <c:smooth val="0"/>
          <c:extLst>
            <c:ext xmlns:c16="http://schemas.microsoft.com/office/drawing/2014/chart" uri="{C3380CC4-5D6E-409C-BE32-E72D297353CC}">
              <c16:uniqueId val="{00000008-8498-4FBB-BC79-E56E1999F3A1}"/>
            </c:ext>
          </c:extLst>
        </c:ser>
        <c:dLbls>
          <c:showLegendKey val="0"/>
          <c:showVal val="0"/>
          <c:showCatName val="0"/>
          <c:showSerName val="0"/>
          <c:showPercent val="0"/>
          <c:showBubbleSize val="0"/>
        </c:dLbls>
        <c:marker val="1"/>
        <c:smooth val="0"/>
        <c:axId val="91944591"/>
        <c:axId val="91938471"/>
      </c:lineChart>
      <c:dateAx>
        <c:axId val="91962231"/>
        <c:scaling>
          <c:orientation val="minMax"/>
        </c:scaling>
        <c:delete val="0"/>
        <c:axPos val="b"/>
        <c:numFmt formatCode="mmmyy" sourceLinked="1"/>
        <c:majorTickMark val="out"/>
        <c:minorTickMark val="none"/>
        <c:tickLblPos val="nextTo"/>
        <c:spPr>
          <a:noFill/>
          <a:ln w="9525" cap="flat" cmpd="sng" algn="ctr">
            <a:solidFill>
              <a:srgbClr val="000000"/>
            </a:solidFill>
            <a:prstDash val="solid"/>
            <a:roun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900" b="0" i="0" u="none" strike="noStrike" kern="1200" baseline="0">
                <a:solidFill>
                  <a:srgbClr val="000000"/>
                </a:solidFill>
                <a:latin typeface="Arial"/>
                <a:ea typeface="Arial"/>
                <a:cs typeface="Arial"/>
              </a:defRPr>
            </a:pPr>
            <a:endParaRPr lang="en-US"/>
          </a:p>
        </c:txPr>
        <c:crossAx val="91966191"/>
        <c:crosses val="autoZero"/>
        <c:auto val="1"/>
        <c:lblOffset val="100"/>
        <c:baseTimeUnit val="months"/>
      </c:dateAx>
      <c:valAx>
        <c:axId val="91966191"/>
        <c:scaling>
          <c:orientation val="minMax"/>
        </c:scaling>
        <c:delete val="0"/>
        <c:axPos val="l"/>
        <c:majorGridlines>
          <c:spPr>
            <a:ln w="9525" cap="flat" cmpd="sng" algn="ctr">
              <a:noFill/>
              <a:prstDash val="solid"/>
              <a:round/>
            </a:ln>
            <a:effectLst/>
          </c:spPr>
        </c:majorGridlines>
        <c:numFmt formatCode="_(&quot;$&quot;* #,##0_);_(&quot;$&quot;* \(#,##0\);_(&quot;$&quot;* &quot;-&quot;_);_(@_)" sourceLinked="0"/>
        <c:majorTickMark val="out"/>
        <c:minorTickMark val="none"/>
        <c:tickLblPos val="nextTo"/>
        <c:spPr>
          <a:noFill/>
          <a:ln>
            <a:noFill/>
          </a:ln>
          <a:effectLst/>
          <a:extLs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sz="900" b="0" i="0" u="none" strike="noStrike" kern="1200" baseline="0">
                <a:solidFill>
                  <a:srgbClr val="000000"/>
                </a:solidFill>
                <a:latin typeface="Arial"/>
                <a:ea typeface="Arial"/>
                <a:cs typeface="Arial"/>
              </a:defRPr>
            </a:pPr>
            <a:endParaRPr lang="en-US"/>
          </a:p>
        </c:txPr>
        <c:crossAx val="91962231"/>
        <c:crosses val="autoZero"/>
        <c:crossBetween val="between"/>
      </c:valAx>
      <c:valAx>
        <c:axId val="91938471"/>
        <c:scaling>
          <c:orientation val="minMax"/>
        </c:scaling>
        <c:delete val="1"/>
        <c:axPos val="r"/>
        <c:numFmt formatCode="_(&quot;$&quot;* #,##0_);_(&quot;$&quot;* \(#,##0\);_(&quot;$&quot;* &quot;-&quot;_);_(@_)" sourceLinked="0"/>
        <c:majorTickMark val="out"/>
        <c:minorTickMark val="none"/>
        <c:tickLblPos val="nextTo"/>
        <c:crossAx val="91944591"/>
        <c:crosses val="max"/>
        <c:crossBetween val="between"/>
      </c:valAx>
      <c:dateAx>
        <c:axId val="91944591"/>
        <c:scaling>
          <c:orientation val="minMax"/>
        </c:scaling>
        <c:delete val="1"/>
        <c:axPos val="b"/>
        <c:numFmt formatCode="mmmyy" sourceLinked="1"/>
        <c:majorTickMark val="out"/>
        <c:minorTickMark val="none"/>
        <c:tickLblPos val="nextTo"/>
        <c:crossAx val="91938471"/>
        <c:crosses val="autoZero"/>
        <c:auto val="1"/>
        <c:lblOffset val="100"/>
        <c:baseTimeUnit val="months"/>
      </c:dateAx>
      <c:spPr>
        <a:noFill/>
        <a:ln w="25400">
          <a:noFill/>
        </a:ln>
        <a:effectLst/>
      </c:spPr>
    </c:plotArea>
    <c:legend>
      <c:legendPos val="b"/>
      <c:layout>
        <c:manualLayout>
          <c:xMode val="edge"/>
          <c:yMode val="edge"/>
          <c:x val="0.12290572263252474"/>
          <c:y val="0.74752698340905821"/>
          <c:w val="0.68619025469245154"/>
          <c:h val="0.24202915236117678"/>
        </c:manualLayout>
      </c:layout>
      <c:overlay val="0"/>
      <c:spPr>
        <a:noFill/>
        <a:ln>
          <a:noFill/>
        </a:ln>
        <a:effectLst/>
        <a:extLst>
          <a:ext uri="{909E8E84-426E-40DD-AFC4-6F175D3DCCD1}">
            <a14:hiddenFill xmlns:a14="http://schemas.microsoft.com/office/drawing/2010/main">
              <a:solidFill>
                <a:srgbClr val="FFFFFF">
                  <a:alpha val="0"/>
                </a:srgbClr>
              </a:solidFill>
            </a14:hiddenFill>
          </a:ext>
        </a:extLst>
      </c:spPr>
      <c:txPr>
        <a:bodyPr rot="0" spcFirstLastPara="1" vertOverflow="ellipsis" vert="horz" wrap="square" anchor="ctr" anchorCtr="1"/>
        <a:lstStyle/>
        <a:p>
          <a:pPr>
            <a:defRPr sz="900" b="0" i="0" u="none" strike="noStrike" kern="1200" baseline="0">
              <a:solidFill>
                <a:srgbClr val="000000"/>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c:spPr>
  <c:txPr>
    <a:bodyPr/>
    <a:lstStyle/>
    <a:p>
      <a:pPr>
        <a:defRPr sz="900">
          <a:latin typeface="Arial"/>
          <a:ea typeface="Arial"/>
          <a:cs typeface="Arial"/>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000000"/>
                </a:solidFill>
                <a:latin typeface="Arial" panose="020B0604020202020204" pitchFamily="34" charset="0"/>
                <a:ea typeface="Arial"/>
                <a:cs typeface="Arial"/>
              </a:defRPr>
            </a:pPr>
            <a:r>
              <a:rPr lang="en-US" sz="1000" b="1" i="0" u="none">
                <a:solidFill>
                  <a:srgbClr val="000000"/>
                </a:solidFill>
                <a:latin typeface="Arial" panose="020B0604020202020204" pitchFamily="34" charset="0"/>
              </a:rPr>
              <a:t>DIO, Reported</a:t>
            </a:r>
          </a:p>
        </c:rich>
      </c:tx>
      <c:overlay val="0"/>
      <c:spPr>
        <a:noFill/>
        <a:ln>
          <a:noFill/>
        </a:ln>
        <a:effectLst/>
        <a:extLst>
          <a:ext uri="{909E8E84-426E-40DD-AFC4-6F175D3DCCD1}">
            <a14:hiddenFill xmlns:a14="http://schemas.microsoft.com/office/drawing/2010/main">
              <a:solidFill>
                <a:srgbClr val="FFFFFF">
                  <a:alpha val="0"/>
                </a:srgbClr>
              </a:solidFill>
            </a14:hiddenFill>
          </a:ext>
        </a:extLst>
      </c:spPr>
      <c:txPr>
        <a:bodyPr rot="0" spcFirstLastPara="1" vertOverflow="ellipsis" vert="horz" wrap="square" anchor="ctr" anchorCtr="1"/>
        <a:lstStyle/>
        <a:p>
          <a:pPr>
            <a:defRPr sz="1000" b="1" i="0" u="none" strike="noStrike" kern="1200" spc="0" baseline="0">
              <a:solidFill>
                <a:srgbClr val="000000"/>
              </a:solidFill>
              <a:latin typeface="Arial" panose="020B0604020202020204" pitchFamily="34" charset="0"/>
              <a:ea typeface="Arial"/>
              <a:cs typeface="Arial"/>
            </a:defRPr>
          </a:pPr>
          <a:endParaRPr lang="en-US"/>
        </a:p>
      </c:txPr>
    </c:title>
    <c:autoTitleDeleted val="0"/>
    <c:plotArea>
      <c:layout/>
      <c:lineChart>
        <c:grouping val="standard"/>
        <c:varyColors val="0"/>
        <c:ser>
          <c:idx val="2"/>
          <c:order val="0"/>
          <c:tx>
            <c:v>FY23</c:v>
          </c:tx>
          <c:spPr>
            <a:ln w="28575" cap="rnd">
              <a:solidFill>
                <a:srgbClr val="0A2463"/>
              </a:solidFill>
              <a:round/>
            </a:ln>
            <a:effectLst/>
          </c:spPr>
          <c:marker>
            <c:symbol val="circle"/>
            <c:size val="5"/>
            <c:spPr>
              <a:solidFill>
                <a:srgbClr val="0A2463"/>
              </a:solidFill>
              <a:ln w="9525">
                <a:solidFill>
                  <a:srgbClr val="0A2463"/>
                </a:solidFill>
                <a:prstDash val="solid"/>
              </a:ln>
              <a:effectLst/>
            </c:spPr>
          </c:marker>
          <c:cat>
            <c:strRef>
              <c:f>NWC_Metrics!$E$6:$AI$6</c:f>
              <c:strCache>
                <c:ptCount val="31"/>
                <c:pt idx="0">
                  <c:v>April</c:v>
                </c:pt>
                <c:pt idx="1">
                  <c:v>May</c:v>
                </c:pt>
                <c:pt idx="2">
                  <c:v>June</c:v>
                </c:pt>
                <c:pt idx="3">
                  <c:v>July</c:v>
                </c:pt>
                <c:pt idx="4">
                  <c:v>August</c:v>
                </c:pt>
                <c:pt idx="5">
                  <c:v>September</c:v>
                </c:pt>
                <c:pt idx="6">
                  <c:v>October</c:v>
                </c:pt>
                <c:pt idx="7">
                  <c:v>November</c:v>
                </c:pt>
                <c:pt idx="8">
                  <c:v>December</c:v>
                </c:pt>
                <c:pt idx="9">
                  <c:v>January</c:v>
                </c:pt>
                <c:pt idx="10">
                  <c:v>February</c:v>
                </c:pt>
                <c:pt idx="11">
                  <c:v>March</c:v>
                </c:pt>
                <c:pt idx="12">
                  <c:v>April</c:v>
                </c:pt>
                <c:pt idx="13">
                  <c:v>May</c:v>
                </c:pt>
                <c:pt idx="14">
                  <c:v>June</c:v>
                </c:pt>
                <c:pt idx="15">
                  <c:v>July</c:v>
                </c:pt>
                <c:pt idx="16">
                  <c:v>August</c:v>
                </c:pt>
                <c:pt idx="17">
                  <c:v>September</c:v>
                </c:pt>
                <c:pt idx="18">
                  <c:v>October</c:v>
                </c:pt>
                <c:pt idx="19">
                  <c:v>November</c:v>
                </c:pt>
                <c:pt idx="20">
                  <c:v>December</c:v>
                </c:pt>
                <c:pt idx="21">
                  <c:v>January</c:v>
                </c:pt>
                <c:pt idx="22">
                  <c:v>February</c:v>
                </c:pt>
                <c:pt idx="23">
                  <c:v>March</c:v>
                </c:pt>
                <c:pt idx="24">
                  <c:v>April</c:v>
                </c:pt>
                <c:pt idx="25">
                  <c:v>May</c:v>
                </c:pt>
                <c:pt idx="26">
                  <c:v>June</c:v>
                </c:pt>
                <c:pt idx="27">
                  <c:v>July</c:v>
                </c:pt>
                <c:pt idx="28">
                  <c:v>August</c:v>
                </c:pt>
                <c:pt idx="29">
                  <c:v>September</c:v>
                </c:pt>
                <c:pt idx="30">
                  <c:v>October</c:v>
                </c:pt>
              </c:strCache>
            </c:strRef>
          </c:cat>
          <c:val>
            <c:numRef>
              <c:f>NWC_Metrics!$E$18:$P$18</c:f>
              <c:numCache>
                <c:formatCode>_(* #,##0_);_(* \(#,##0\);_(*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0469-4E84-9475-7F9CB625405A}"/>
            </c:ext>
          </c:extLst>
        </c:ser>
        <c:ser>
          <c:idx val="4"/>
          <c:order val="1"/>
          <c:tx>
            <c:strRef>
              <c:f>NWC_Metrics!$C$88</c:f>
              <c:strCache>
                <c:ptCount val="1"/>
                <c:pt idx="0">
                  <c:v>FY24</c:v>
                </c:pt>
              </c:strCache>
            </c:strRef>
          </c:tx>
          <c:spPr>
            <a:ln w="28575" cap="rnd">
              <a:solidFill>
                <a:srgbClr val="2C78C9"/>
              </a:solidFill>
              <a:round/>
            </a:ln>
            <a:effectLst/>
          </c:spPr>
          <c:marker>
            <c:symbol val="circle"/>
            <c:size val="5"/>
            <c:spPr>
              <a:solidFill>
                <a:srgbClr val="2C78C9"/>
              </a:solidFill>
              <a:ln w="9525">
                <a:solidFill>
                  <a:srgbClr val="2C78C9"/>
                </a:solidFill>
              </a:ln>
              <a:effectLst/>
            </c:spPr>
          </c:marker>
          <c:cat>
            <c:strRef>
              <c:f>NWC_Metrics!$E$6:$AI$6</c:f>
              <c:strCache>
                <c:ptCount val="31"/>
                <c:pt idx="0">
                  <c:v>April</c:v>
                </c:pt>
                <c:pt idx="1">
                  <c:v>May</c:v>
                </c:pt>
                <c:pt idx="2">
                  <c:v>June</c:v>
                </c:pt>
                <c:pt idx="3">
                  <c:v>July</c:v>
                </c:pt>
                <c:pt idx="4">
                  <c:v>August</c:v>
                </c:pt>
                <c:pt idx="5">
                  <c:v>September</c:v>
                </c:pt>
                <c:pt idx="6">
                  <c:v>October</c:v>
                </c:pt>
                <c:pt idx="7">
                  <c:v>November</c:v>
                </c:pt>
                <c:pt idx="8">
                  <c:v>December</c:v>
                </c:pt>
                <c:pt idx="9">
                  <c:v>January</c:v>
                </c:pt>
                <c:pt idx="10">
                  <c:v>February</c:v>
                </c:pt>
                <c:pt idx="11">
                  <c:v>March</c:v>
                </c:pt>
                <c:pt idx="12">
                  <c:v>April</c:v>
                </c:pt>
                <c:pt idx="13">
                  <c:v>May</c:v>
                </c:pt>
                <c:pt idx="14">
                  <c:v>June</c:v>
                </c:pt>
                <c:pt idx="15">
                  <c:v>July</c:v>
                </c:pt>
                <c:pt idx="16">
                  <c:v>August</c:v>
                </c:pt>
                <c:pt idx="17">
                  <c:v>September</c:v>
                </c:pt>
                <c:pt idx="18">
                  <c:v>October</c:v>
                </c:pt>
                <c:pt idx="19">
                  <c:v>November</c:v>
                </c:pt>
                <c:pt idx="20">
                  <c:v>December</c:v>
                </c:pt>
                <c:pt idx="21">
                  <c:v>January</c:v>
                </c:pt>
                <c:pt idx="22">
                  <c:v>February</c:v>
                </c:pt>
                <c:pt idx="23">
                  <c:v>March</c:v>
                </c:pt>
                <c:pt idx="24">
                  <c:v>April</c:v>
                </c:pt>
                <c:pt idx="25">
                  <c:v>May</c:v>
                </c:pt>
                <c:pt idx="26">
                  <c:v>June</c:v>
                </c:pt>
                <c:pt idx="27">
                  <c:v>July</c:v>
                </c:pt>
                <c:pt idx="28">
                  <c:v>August</c:v>
                </c:pt>
                <c:pt idx="29">
                  <c:v>September</c:v>
                </c:pt>
                <c:pt idx="30">
                  <c:v>October</c:v>
                </c:pt>
              </c:strCache>
            </c:strRef>
          </c:cat>
          <c:val>
            <c:numRef>
              <c:f>NWC_Metrics!$Q$18:$AB$18</c:f>
              <c:numCache>
                <c:formatCode>_(* #,##0_);_(* \(#,##0\);_(*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0469-4E84-9475-7F9CB625405A}"/>
            </c:ext>
          </c:extLst>
        </c:ser>
        <c:ser>
          <c:idx val="3"/>
          <c:order val="2"/>
          <c:tx>
            <c:strRef>
              <c:f>NWC_Metrics!$C$89</c:f>
              <c:strCache>
                <c:ptCount val="1"/>
                <c:pt idx="0">
                  <c:v>YTD25</c:v>
                </c:pt>
              </c:strCache>
            </c:strRef>
          </c:tx>
          <c:spPr>
            <a:ln w="28575" cap="rnd">
              <a:solidFill>
                <a:srgbClr val="E26E17"/>
              </a:solidFill>
              <a:round/>
            </a:ln>
            <a:effectLst/>
          </c:spPr>
          <c:marker>
            <c:symbol val="circle"/>
            <c:size val="5"/>
            <c:spPr>
              <a:solidFill>
                <a:srgbClr val="E26E17"/>
              </a:solidFill>
              <a:ln w="9525">
                <a:solidFill>
                  <a:srgbClr val="E26E17"/>
                </a:solidFill>
              </a:ln>
              <a:effectLst/>
            </c:spPr>
          </c:marker>
          <c:cat>
            <c:strRef>
              <c:f>NWC_Metrics!$E$6:$AI$6</c:f>
              <c:strCache>
                <c:ptCount val="31"/>
                <c:pt idx="0">
                  <c:v>April</c:v>
                </c:pt>
                <c:pt idx="1">
                  <c:v>May</c:v>
                </c:pt>
                <c:pt idx="2">
                  <c:v>June</c:v>
                </c:pt>
                <c:pt idx="3">
                  <c:v>July</c:v>
                </c:pt>
                <c:pt idx="4">
                  <c:v>August</c:v>
                </c:pt>
                <c:pt idx="5">
                  <c:v>September</c:v>
                </c:pt>
                <c:pt idx="6">
                  <c:v>October</c:v>
                </c:pt>
                <c:pt idx="7">
                  <c:v>November</c:v>
                </c:pt>
                <c:pt idx="8">
                  <c:v>December</c:v>
                </c:pt>
                <c:pt idx="9">
                  <c:v>January</c:v>
                </c:pt>
                <c:pt idx="10">
                  <c:v>February</c:v>
                </c:pt>
                <c:pt idx="11">
                  <c:v>March</c:v>
                </c:pt>
                <c:pt idx="12">
                  <c:v>April</c:v>
                </c:pt>
                <c:pt idx="13">
                  <c:v>May</c:v>
                </c:pt>
                <c:pt idx="14">
                  <c:v>June</c:v>
                </c:pt>
                <c:pt idx="15">
                  <c:v>July</c:v>
                </c:pt>
                <c:pt idx="16">
                  <c:v>August</c:v>
                </c:pt>
                <c:pt idx="17">
                  <c:v>September</c:v>
                </c:pt>
                <c:pt idx="18">
                  <c:v>October</c:v>
                </c:pt>
                <c:pt idx="19">
                  <c:v>November</c:v>
                </c:pt>
                <c:pt idx="20">
                  <c:v>December</c:v>
                </c:pt>
                <c:pt idx="21">
                  <c:v>January</c:v>
                </c:pt>
                <c:pt idx="22">
                  <c:v>February</c:v>
                </c:pt>
                <c:pt idx="23">
                  <c:v>March</c:v>
                </c:pt>
                <c:pt idx="24">
                  <c:v>April</c:v>
                </c:pt>
                <c:pt idx="25">
                  <c:v>May</c:v>
                </c:pt>
                <c:pt idx="26">
                  <c:v>June</c:v>
                </c:pt>
                <c:pt idx="27">
                  <c:v>July</c:v>
                </c:pt>
                <c:pt idx="28">
                  <c:v>August</c:v>
                </c:pt>
                <c:pt idx="29">
                  <c:v>September</c:v>
                </c:pt>
                <c:pt idx="30">
                  <c:v>October</c:v>
                </c:pt>
              </c:strCache>
            </c:strRef>
          </c:cat>
          <c:val>
            <c:numRef>
              <c:f>NWC_Metrics!$AC$18:$AI$18</c:f>
              <c:numCache>
                <c:formatCode>_(* #,##0_);_(* \(#,##0\);_(* "-"_);_(@_)</c:formatCode>
                <c:ptCount val="7"/>
                <c:pt idx="0">
                  <c:v>0</c:v>
                </c:pt>
                <c:pt idx="1">
                  <c:v>0</c:v>
                </c:pt>
                <c:pt idx="2">
                  <c:v>0</c:v>
                </c:pt>
                <c:pt idx="3">
                  <c:v>0</c:v>
                </c:pt>
                <c:pt idx="4">
                  <c:v>0</c:v>
                </c:pt>
                <c:pt idx="5">
                  <c:v>0</c:v>
                </c:pt>
                <c:pt idx="6">
                  <c:v>0</c:v>
                </c:pt>
              </c:numCache>
            </c:numRef>
          </c:val>
          <c:smooth val="0"/>
          <c:extLst>
            <c:ext xmlns:c16="http://schemas.microsoft.com/office/drawing/2014/chart" uri="{C3380CC4-5D6E-409C-BE32-E72D297353CC}">
              <c16:uniqueId val="{00000002-0469-4E84-9475-7F9CB625405A}"/>
            </c:ext>
          </c:extLst>
        </c:ser>
        <c:dLbls>
          <c:showLegendKey val="0"/>
          <c:showVal val="0"/>
          <c:showCatName val="0"/>
          <c:showSerName val="0"/>
          <c:showPercent val="0"/>
          <c:showBubbleSize val="0"/>
        </c:dLbls>
        <c:marker val="1"/>
        <c:smooth val="0"/>
        <c:axId val="1982351151"/>
        <c:axId val="1601675855"/>
      </c:lineChart>
      <c:catAx>
        <c:axId val="1982351151"/>
        <c:scaling>
          <c:orientation val="minMax"/>
        </c:scaling>
        <c:delete val="0"/>
        <c:axPos val="b"/>
        <c:numFmt formatCode="General" sourceLinked="1"/>
        <c:majorTickMark val="out"/>
        <c:minorTickMark val="none"/>
        <c:tickLblPos val="nextTo"/>
        <c:spPr>
          <a:noFill/>
          <a:ln w="9525" cap="flat" cmpd="sng" algn="ctr">
            <a:solidFill>
              <a:srgbClr val="000000"/>
            </a:solidFill>
            <a:prstDash val="solid"/>
            <a:roun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900" b="0" i="0" u="none" strike="noStrike" kern="1200" baseline="0">
                <a:solidFill>
                  <a:srgbClr val="000000"/>
                </a:solidFill>
                <a:latin typeface="Arial"/>
                <a:ea typeface="Arial"/>
                <a:cs typeface="Arial"/>
              </a:defRPr>
            </a:pPr>
            <a:endParaRPr lang="en-US"/>
          </a:p>
        </c:txPr>
        <c:crossAx val="1601675855"/>
        <c:crosses val="autoZero"/>
        <c:auto val="1"/>
        <c:lblAlgn val="ctr"/>
        <c:lblOffset val="100"/>
        <c:noMultiLvlLbl val="0"/>
      </c:catAx>
      <c:valAx>
        <c:axId val="1601675855"/>
        <c:scaling>
          <c:orientation val="minMax"/>
        </c:scaling>
        <c:delete val="0"/>
        <c:axPos val="l"/>
        <c:majorGridlines>
          <c:spPr>
            <a:ln w="9525" cap="flat" cmpd="sng" algn="ctr">
              <a:noFill/>
              <a:prstDash val="solid"/>
              <a:round/>
            </a:ln>
            <a:effectLst/>
          </c:spPr>
        </c:majorGridlines>
        <c:numFmt formatCode="General\ &quot;Days&quot;" sourceLinked="0"/>
        <c:majorTickMark val="out"/>
        <c:minorTickMark val="none"/>
        <c:tickLblPos val="nextTo"/>
        <c:spPr>
          <a:noFill/>
          <a:ln>
            <a:solidFill>
              <a:schemeClr val="tx1"/>
            </a:solidFill>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900" b="0" i="0" u="none" strike="noStrike" kern="1200" baseline="0">
                <a:solidFill>
                  <a:srgbClr val="000000"/>
                </a:solidFill>
                <a:latin typeface="Arial"/>
                <a:ea typeface="Arial"/>
                <a:cs typeface="Arial"/>
              </a:defRPr>
            </a:pPr>
            <a:endParaRPr lang="en-US"/>
          </a:p>
        </c:txPr>
        <c:crossAx val="1982351151"/>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c:spPr>
  <c:txPr>
    <a:bodyPr/>
    <a:lstStyle/>
    <a:p>
      <a:pPr>
        <a:defRPr sz="900">
          <a:latin typeface="Arial"/>
          <a:ea typeface="Arial"/>
          <a:cs typeface="Arial"/>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000000"/>
                </a:solidFill>
                <a:latin typeface="Arial" panose="020B0604020202020204" pitchFamily="34" charset="0"/>
                <a:ea typeface="Arial"/>
                <a:cs typeface="Arial"/>
              </a:defRPr>
            </a:pPr>
            <a:r>
              <a:rPr lang="en-US" sz="1000" b="1" i="0" u="none">
                <a:solidFill>
                  <a:srgbClr val="000000"/>
                </a:solidFill>
                <a:latin typeface="Arial" panose="020B0604020202020204" pitchFamily="34" charset="0"/>
              </a:rPr>
              <a:t>DPO, Reported</a:t>
            </a:r>
          </a:p>
        </c:rich>
      </c:tx>
      <c:overlay val="0"/>
      <c:spPr>
        <a:noFill/>
        <a:ln>
          <a:noFill/>
        </a:ln>
        <a:effectLst/>
        <a:extLst>
          <a:ext uri="{909E8E84-426E-40DD-AFC4-6F175D3DCCD1}">
            <a14:hiddenFill xmlns:a14="http://schemas.microsoft.com/office/drawing/2010/main">
              <a:solidFill>
                <a:srgbClr val="FFFFFF">
                  <a:alpha val="0"/>
                </a:srgbClr>
              </a:solidFill>
            </a14:hiddenFill>
          </a:ext>
        </a:extLst>
      </c:spPr>
      <c:txPr>
        <a:bodyPr rot="0" spcFirstLastPara="1" vertOverflow="ellipsis" vert="horz" wrap="square" anchor="ctr" anchorCtr="1"/>
        <a:lstStyle/>
        <a:p>
          <a:pPr>
            <a:defRPr sz="1000" b="1" i="0" u="none" strike="noStrike" kern="1200" spc="0" baseline="0">
              <a:solidFill>
                <a:srgbClr val="000000"/>
              </a:solidFill>
              <a:latin typeface="Arial" panose="020B0604020202020204" pitchFamily="34" charset="0"/>
              <a:ea typeface="Arial"/>
              <a:cs typeface="Arial"/>
            </a:defRPr>
          </a:pPr>
          <a:endParaRPr lang="en-US"/>
        </a:p>
      </c:txPr>
    </c:title>
    <c:autoTitleDeleted val="0"/>
    <c:plotArea>
      <c:layout>
        <c:manualLayout>
          <c:layoutTarget val="inner"/>
          <c:xMode val="edge"/>
          <c:yMode val="edge"/>
          <c:x val="0.17351392540622915"/>
          <c:y val="0.15404699738903394"/>
          <c:w val="0.7881251330070228"/>
          <c:h val="0.45894040007401166"/>
        </c:manualLayout>
      </c:layout>
      <c:lineChart>
        <c:grouping val="standard"/>
        <c:varyColors val="0"/>
        <c:ser>
          <c:idx val="2"/>
          <c:order val="0"/>
          <c:tx>
            <c:v>FY23</c:v>
          </c:tx>
          <c:spPr>
            <a:ln w="28575" cap="rnd">
              <a:solidFill>
                <a:srgbClr val="0A2463"/>
              </a:solidFill>
              <a:round/>
            </a:ln>
            <a:effectLst/>
          </c:spPr>
          <c:marker>
            <c:symbol val="circle"/>
            <c:size val="5"/>
            <c:spPr>
              <a:solidFill>
                <a:srgbClr val="0A2463"/>
              </a:solidFill>
              <a:ln w="9525">
                <a:solidFill>
                  <a:srgbClr val="0A2463"/>
                </a:solidFill>
                <a:prstDash val="solid"/>
              </a:ln>
              <a:effectLst/>
            </c:spPr>
          </c:marker>
          <c:cat>
            <c:strRef>
              <c:f>NWC_Metrics!$E$6:$AI$6</c:f>
              <c:strCache>
                <c:ptCount val="31"/>
                <c:pt idx="0">
                  <c:v>April</c:v>
                </c:pt>
                <c:pt idx="1">
                  <c:v>May</c:v>
                </c:pt>
                <c:pt idx="2">
                  <c:v>June</c:v>
                </c:pt>
                <c:pt idx="3">
                  <c:v>July</c:v>
                </c:pt>
                <c:pt idx="4">
                  <c:v>August</c:v>
                </c:pt>
                <c:pt idx="5">
                  <c:v>September</c:v>
                </c:pt>
                <c:pt idx="6">
                  <c:v>October</c:v>
                </c:pt>
                <c:pt idx="7">
                  <c:v>November</c:v>
                </c:pt>
                <c:pt idx="8">
                  <c:v>December</c:v>
                </c:pt>
                <c:pt idx="9">
                  <c:v>January</c:v>
                </c:pt>
                <c:pt idx="10">
                  <c:v>February</c:v>
                </c:pt>
                <c:pt idx="11">
                  <c:v>March</c:v>
                </c:pt>
                <c:pt idx="12">
                  <c:v>April</c:v>
                </c:pt>
                <c:pt idx="13">
                  <c:v>May</c:v>
                </c:pt>
                <c:pt idx="14">
                  <c:v>June</c:v>
                </c:pt>
                <c:pt idx="15">
                  <c:v>July</c:v>
                </c:pt>
                <c:pt idx="16">
                  <c:v>August</c:v>
                </c:pt>
                <c:pt idx="17">
                  <c:v>September</c:v>
                </c:pt>
                <c:pt idx="18">
                  <c:v>October</c:v>
                </c:pt>
                <c:pt idx="19">
                  <c:v>November</c:v>
                </c:pt>
                <c:pt idx="20">
                  <c:v>December</c:v>
                </c:pt>
                <c:pt idx="21">
                  <c:v>January</c:v>
                </c:pt>
                <c:pt idx="22">
                  <c:v>February</c:v>
                </c:pt>
                <c:pt idx="23">
                  <c:v>March</c:v>
                </c:pt>
                <c:pt idx="24">
                  <c:v>April</c:v>
                </c:pt>
                <c:pt idx="25">
                  <c:v>May</c:v>
                </c:pt>
                <c:pt idx="26">
                  <c:v>June</c:v>
                </c:pt>
                <c:pt idx="27">
                  <c:v>July</c:v>
                </c:pt>
                <c:pt idx="28">
                  <c:v>August</c:v>
                </c:pt>
                <c:pt idx="29">
                  <c:v>September</c:v>
                </c:pt>
                <c:pt idx="30">
                  <c:v>October</c:v>
                </c:pt>
              </c:strCache>
            </c:strRef>
          </c:cat>
          <c:val>
            <c:numRef>
              <c:f>NWC_Metrics!$E$19:$P$19</c:f>
              <c:numCache>
                <c:formatCode>_(* #,##0_);_(* \(#,##0\);_(* "-"_);_(@_)</c:formatCode>
                <c:ptCount val="12"/>
                <c:pt idx="0">
                  <c:v>15.731246792610364</c:v>
                </c:pt>
                <c:pt idx="1">
                  <c:v>16.349467225952527</c:v>
                </c:pt>
                <c:pt idx="2">
                  <c:v>18.751136513803893</c:v>
                </c:pt>
                <c:pt idx="3">
                  <c:v>10.793710500209688</c:v>
                </c:pt>
                <c:pt idx="4">
                  <c:v>14.671002618883982</c:v>
                </c:pt>
                <c:pt idx="5">
                  <c:v>14.45842582773766</c:v>
                </c:pt>
                <c:pt idx="6">
                  <c:v>18.625684166309135</c:v>
                </c:pt>
                <c:pt idx="7">
                  <c:v>11.76405271783514</c:v>
                </c:pt>
                <c:pt idx="8">
                  <c:v>-11.228207281575532</c:v>
                </c:pt>
                <c:pt idx="9">
                  <c:v>-5.4515308855406071</c:v>
                </c:pt>
                <c:pt idx="10">
                  <c:v>13.230875927949064</c:v>
                </c:pt>
                <c:pt idx="11">
                  <c:v>0</c:v>
                </c:pt>
              </c:numCache>
            </c:numRef>
          </c:val>
          <c:smooth val="0"/>
          <c:extLst>
            <c:ext xmlns:c16="http://schemas.microsoft.com/office/drawing/2014/chart" uri="{C3380CC4-5D6E-409C-BE32-E72D297353CC}">
              <c16:uniqueId val="{00000000-C344-4B85-BD44-D8040B95E010}"/>
            </c:ext>
          </c:extLst>
        </c:ser>
        <c:ser>
          <c:idx val="4"/>
          <c:order val="1"/>
          <c:tx>
            <c:strRef>
              <c:f>NWC_Metrics!$C$88</c:f>
              <c:strCache>
                <c:ptCount val="1"/>
                <c:pt idx="0">
                  <c:v>FY24</c:v>
                </c:pt>
              </c:strCache>
            </c:strRef>
          </c:tx>
          <c:spPr>
            <a:ln w="28575" cap="rnd">
              <a:solidFill>
                <a:srgbClr val="2C78C9"/>
              </a:solidFill>
              <a:round/>
            </a:ln>
            <a:effectLst/>
          </c:spPr>
          <c:marker>
            <c:symbol val="circle"/>
            <c:size val="5"/>
            <c:spPr>
              <a:solidFill>
                <a:srgbClr val="2C78C9"/>
              </a:solidFill>
              <a:ln w="9525">
                <a:solidFill>
                  <a:srgbClr val="2C78C9"/>
                </a:solidFill>
              </a:ln>
              <a:effectLst/>
            </c:spPr>
          </c:marker>
          <c:cat>
            <c:strRef>
              <c:f>NWC_Metrics!$E$6:$AI$6</c:f>
              <c:strCache>
                <c:ptCount val="31"/>
                <c:pt idx="0">
                  <c:v>April</c:v>
                </c:pt>
                <c:pt idx="1">
                  <c:v>May</c:v>
                </c:pt>
                <c:pt idx="2">
                  <c:v>June</c:v>
                </c:pt>
                <c:pt idx="3">
                  <c:v>July</c:v>
                </c:pt>
                <c:pt idx="4">
                  <c:v>August</c:v>
                </c:pt>
                <c:pt idx="5">
                  <c:v>September</c:v>
                </c:pt>
                <c:pt idx="6">
                  <c:v>October</c:v>
                </c:pt>
                <c:pt idx="7">
                  <c:v>November</c:v>
                </c:pt>
                <c:pt idx="8">
                  <c:v>December</c:v>
                </c:pt>
                <c:pt idx="9">
                  <c:v>January</c:v>
                </c:pt>
                <c:pt idx="10">
                  <c:v>February</c:v>
                </c:pt>
                <c:pt idx="11">
                  <c:v>March</c:v>
                </c:pt>
                <c:pt idx="12">
                  <c:v>April</c:v>
                </c:pt>
                <c:pt idx="13">
                  <c:v>May</c:v>
                </c:pt>
                <c:pt idx="14">
                  <c:v>June</c:v>
                </c:pt>
                <c:pt idx="15">
                  <c:v>July</c:v>
                </c:pt>
                <c:pt idx="16">
                  <c:v>August</c:v>
                </c:pt>
                <c:pt idx="17">
                  <c:v>September</c:v>
                </c:pt>
                <c:pt idx="18">
                  <c:v>October</c:v>
                </c:pt>
                <c:pt idx="19">
                  <c:v>November</c:v>
                </c:pt>
                <c:pt idx="20">
                  <c:v>December</c:v>
                </c:pt>
                <c:pt idx="21">
                  <c:v>January</c:v>
                </c:pt>
                <c:pt idx="22">
                  <c:v>February</c:v>
                </c:pt>
                <c:pt idx="23">
                  <c:v>March</c:v>
                </c:pt>
                <c:pt idx="24">
                  <c:v>April</c:v>
                </c:pt>
                <c:pt idx="25">
                  <c:v>May</c:v>
                </c:pt>
                <c:pt idx="26">
                  <c:v>June</c:v>
                </c:pt>
                <c:pt idx="27">
                  <c:v>July</c:v>
                </c:pt>
                <c:pt idx="28">
                  <c:v>August</c:v>
                </c:pt>
                <c:pt idx="29">
                  <c:v>September</c:v>
                </c:pt>
                <c:pt idx="30">
                  <c:v>October</c:v>
                </c:pt>
              </c:strCache>
            </c:strRef>
          </c:cat>
          <c:val>
            <c:numRef>
              <c:f>NWC_Metrics!$Q$19:$AB$19</c:f>
              <c:numCache>
                <c:formatCode>_(* #,##0_);_(* \(#,##0\);_(* "-"_);_(@_)</c:formatCode>
                <c:ptCount val="12"/>
                <c:pt idx="0">
                  <c:v>7.617657553135615</c:v>
                </c:pt>
                <c:pt idx="1">
                  <c:v>1.0255573197174397</c:v>
                </c:pt>
                <c:pt idx="2">
                  <c:v>12.674498537982</c:v>
                </c:pt>
                <c:pt idx="3">
                  <c:v>1.6081291050497075</c:v>
                </c:pt>
                <c:pt idx="4">
                  <c:v>18.080884632292666</c:v>
                </c:pt>
                <c:pt idx="5">
                  <c:v>8.6229463983072279</c:v>
                </c:pt>
                <c:pt idx="6">
                  <c:v>15.027227599020179</c:v>
                </c:pt>
                <c:pt idx="7">
                  <c:v>21.651519971131648</c:v>
                </c:pt>
                <c:pt idx="8">
                  <c:v>16.00104173663938</c:v>
                </c:pt>
                <c:pt idx="9">
                  <c:v>22.454154235207241</c:v>
                </c:pt>
                <c:pt idx="10">
                  <c:v>16.672404529484925</c:v>
                </c:pt>
                <c:pt idx="11">
                  <c:v>5.4953531483092908</c:v>
                </c:pt>
              </c:numCache>
            </c:numRef>
          </c:val>
          <c:smooth val="0"/>
          <c:extLst>
            <c:ext xmlns:c16="http://schemas.microsoft.com/office/drawing/2014/chart" uri="{C3380CC4-5D6E-409C-BE32-E72D297353CC}">
              <c16:uniqueId val="{00000001-C344-4B85-BD44-D8040B95E010}"/>
            </c:ext>
          </c:extLst>
        </c:ser>
        <c:ser>
          <c:idx val="3"/>
          <c:order val="2"/>
          <c:tx>
            <c:strRef>
              <c:f>NWC_Metrics!$C$89</c:f>
              <c:strCache>
                <c:ptCount val="1"/>
                <c:pt idx="0">
                  <c:v>YTD25</c:v>
                </c:pt>
              </c:strCache>
            </c:strRef>
          </c:tx>
          <c:spPr>
            <a:ln w="28575" cap="rnd">
              <a:solidFill>
                <a:srgbClr val="E26E17"/>
              </a:solidFill>
              <a:round/>
            </a:ln>
            <a:effectLst/>
          </c:spPr>
          <c:marker>
            <c:symbol val="circle"/>
            <c:size val="5"/>
            <c:spPr>
              <a:solidFill>
                <a:srgbClr val="E26E17"/>
              </a:solidFill>
              <a:ln w="9525">
                <a:solidFill>
                  <a:srgbClr val="E26E17"/>
                </a:solidFill>
              </a:ln>
              <a:effectLst/>
            </c:spPr>
          </c:marker>
          <c:cat>
            <c:strRef>
              <c:f>NWC_Metrics!$E$6:$AI$6</c:f>
              <c:strCache>
                <c:ptCount val="31"/>
                <c:pt idx="0">
                  <c:v>April</c:v>
                </c:pt>
                <c:pt idx="1">
                  <c:v>May</c:v>
                </c:pt>
                <c:pt idx="2">
                  <c:v>June</c:v>
                </c:pt>
                <c:pt idx="3">
                  <c:v>July</c:v>
                </c:pt>
                <c:pt idx="4">
                  <c:v>August</c:v>
                </c:pt>
                <c:pt idx="5">
                  <c:v>September</c:v>
                </c:pt>
                <c:pt idx="6">
                  <c:v>October</c:v>
                </c:pt>
                <c:pt idx="7">
                  <c:v>November</c:v>
                </c:pt>
                <c:pt idx="8">
                  <c:v>December</c:v>
                </c:pt>
                <c:pt idx="9">
                  <c:v>January</c:v>
                </c:pt>
                <c:pt idx="10">
                  <c:v>February</c:v>
                </c:pt>
                <c:pt idx="11">
                  <c:v>March</c:v>
                </c:pt>
                <c:pt idx="12">
                  <c:v>April</c:v>
                </c:pt>
                <c:pt idx="13">
                  <c:v>May</c:v>
                </c:pt>
                <c:pt idx="14">
                  <c:v>June</c:v>
                </c:pt>
                <c:pt idx="15">
                  <c:v>July</c:v>
                </c:pt>
                <c:pt idx="16">
                  <c:v>August</c:v>
                </c:pt>
                <c:pt idx="17">
                  <c:v>September</c:v>
                </c:pt>
                <c:pt idx="18">
                  <c:v>October</c:v>
                </c:pt>
                <c:pt idx="19">
                  <c:v>November</c:v>
                </c:pt>
                <c:pt idx="20">
                  <c:v>December</c:v>
                </c:pt>
                <c:pt idx="21">
                  <c:v>January</c:v>
                </c:pt>
                <c:pt idx="22">
                  <c:v>February</c:v>
                </c:pt>
                <c:pt idx="23">
                  <c:v>March</c:v>
                </c:pt>
                <c:pt idx="24">
                  <c:v>April</c:v>
                </c:pt>
                <c:pt idx="25">
                  <c:v>May</c:v>
                </c:pt>
                <c:pt idx="26">
                  <c:v>June</c:v>
                </c:pt>
                <c:pt idx="27">
                  <c:v>July</c:v>
                </c:pt>
                <c:pt idx="28">
                  <c:v>August</c:v>
                </c:pt>
                <c:pt idx="29">
                  <c:v>September</c:v>
                </c:pt>
                <c:pt idx="30">
                  <c:v>October</c:v>
                </c:pt>
              </c:strCache>
            </c:strRef>
          </c:cat>
          <c:val>
            <c:numRef>
              <c:f>NWC_Metrics!$AC$19:$AI$19</c:f>
              <c:numCache>
                <c:formatCode>_(* #,##0_);_(* \(#,##0\);_(* "-"_);_(@_)</c:formatCode>
                <c:ptCount val="7"/>
                <c:pt idx="0">
                  <c:v>14.93239091391515</c:v>
                </c:pt>
                <c:pt idx="1">
                  <c:v>21.673571680816579</c:v>
                </c:pt>
                <c:pt idx="2">
                  <c:v>24.662943911120642</c:v>
                </c:pt>
                <c:pt idx="3">
                  <c:v>10.745057621379097</c:v>
                </c:pt>
                <c:pt idx="4">
                  <c:v>20.376094638551805</c:v>
                </c:pt>
                <c:pt idx="5">
                  <c:v>12.975141706798995</c:v>
                </c:pt>
                <c:pt idx="6">
                  <c:v>12.46061321985318</c:v>
                </c:pt>
              </c:numCache>
            </c:numRef>
          </c:val>
          <c:smooth val="0"/>
          <c:extLst>
            <c:ext xmlns:c16="http://schemas.microsoft.com/office/drawing/2014/chart" uri="{C3380CC4-5D6E-409C-BE32-E72D297353CC}">
              <c16:uniqueId val="{00000002-C344-4B85-BD44-D8040B95E010}"/>
            </c:ext>
          </c:extLst>
        </c:ser>
        <c:dLbls>
          <c:showLegendKey val="0"/>
          <c:showVal val="0"/>
          <c:showCatName val="0"/>
          <c:showSerName val="0"/>
          <c:showPercent val="0"/>
          <c:showBubbleSize val="0"/>
        </c:dLbls>
        <c:marker val="1"/>
        <c:smooth val="0"/>
        <c:axId val="1982351151"/>
        <c:axId val="1601675855"/>
      </c:lineChart>
      <c:catAx>
        <c:axId val="1982351151"/>
        <c:scaling>
          <c:orientation val="minMax"/>
        </c:scaling>
        <c:delete val="0"/>
        <c:axPos val="b"/>
        <c:numFmt formatCode="General" sourceLinked="1"/>
        <c:majorTickMark val="out"/>
        <c:minorTickMark val="none"/>
        <c:tickLblPos val="nextTo"/>
        <c:spPr>
          <a:noFill/>
          <a:ln w="9525" cap="flat" cmpd="sng" algn="ctr">
            <a:solidFill>
              <a:srgbClr val="000000"/>
            </a:solidFill>
            <a:prstDash val="solid"/>
            <a:roun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900" b="0" i="0" u="none" strike="noStrike" kern="1200" baseline="0">
                <a:solidFill>
                  <a:srgbClr val="000000"/>
                </a:solidFill>
                <a:latin typeface="Arial"/>
                <a:ea typeface="Arial"/>
                <a:cs typeface="Arial"/>
              </a:defRPr>
            </a:pPr>
            <a:endParaRPr lang="en-US"/>
          </a:p>
        </c:txPr>
        <c:crossAx val="1601675855"/>
        <c:crosses val="autoZero"/>
        <c:auto val="1"/>
        <c:lblAlgn val="ctr"/>
        <c:lblOffset val="100"/>
        <c:noMultiLvlLbl val="0"/>
      </c:catAx>
      <c:valAx>
        <c:axId val="1601675855"/>
        <c:scaling>
          <c:orientation val="minMax"/>
        </c:scaling>
        <c:delete val="0"/>
        <c:axPos val="l"/>
        <c:majorGridlines>
          <c:spPr>
            <a:ln w="9525" cap="flat" cmpd="sng" algn="ctr">
              <a:noFill/>
              <a:prstDash val="solid"/>
              <a:round/>
            </a:ln>
            <a:effectLst/>
          </c:spPr>
        </c:majorGridlines>
        <c:numFmt formatCode="General\ &quot;Days&quot;" sourceLinked="0"/>
        <c:majorTickMark val="out"/>
        <c:minorTickMark val="none"/>
        <c:tickLblPos val="nextTo"/>
        <c:spPr>
          <a:noFill/>
          <a:ln>
            <a:solidFill>
              <a:schemeClr val="tx1"/>
            </a:solidFill>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900" b="0" i="0" u="none" strike="noStrike" kern="1200" baseline="0">
                <a:solidFill>
                  <a:srgbClr val="000000"/>
                </a:solidFill>
                <a:latin typeface="Arial"/>
                <a:ea typeface="Arial"/>
                <a:cs typeface="Arial"/>
              </a:defRPr>
            </a:pPr>
            <a:endParaRPr lang="en-US"/>
          </a:p>
        </c:txPr>
        <c:crossAx val="1982351151"/>
        <c:crosses val="autoZero"/>
        <c:crossBetween val="between"/>
      </c:valAx>
      <c:spPr>
        <a:noFill/>
        <a:ln w="25400">
          <a:noFill/>
        </a:ln>
        <a:effectLst/>
      </c:spPr>
    </c:plotArea>
    <c:legend>
      <c:legendPos val="b"/>
      <c:overlay val="0"/>
      <c:spPr>
        <a:noFill/>
        <a:ln>
          <a:noFill/>
        </a:ln>
        <a:effectLst/>
        <a:extLst>
          <a:ext uri="{909E8E84-426E-40DD-AFC4-6F175D3DCCD1}">
            <a14:hiddenFill xmlns:a14="http://schemas.microsoft.com/office/drawing/2010/main">
              <a:solidFill>
                <a:srgbClr val="FFFFFF">
                  <a:alpha val="0"/>
                </a:srgbClr>
              </a:solidFill>
            </a14:hiddenFill>
          </a:ext>
        </a:extLst>
      </c:spPr>
      <c:txPr>
        <a:bodyPr rot="0" spcFirstLastPara="1" vertOverflow="ellipsis" vert="horz" wrap="square" anchor="ctr" anchorCtr="1"/>
        <a:lstStyle/>
        <a:p>
          <a:pPr>
            <a:defRPr sz="900" b="0" i="0" u="none" strike="noStrike" kern="1200" baseline="0">
              <a:solidFill>
                <a:srgbClr val="000000"/>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c:spPr>
  <c:txPr>
    <a:bodyPr/>
    <a:lstStyle/>
    <a:p>
      <a:pPr>
        <a:defRPr sz="900">
          <a:latin typeface="Arial"/>
          <a:ea typeface="Arial"/>
          <a:cs typeface="Arial"/>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000000"/>
                </a:solidFill>
                <a:latin typeface="Arial" panose="020B0604020202020204" pitchFamily="34" charset="0"/>
                <a:ea typeface="Arial"/>
                <a:cs typeface="Arial"/>
              </a:defRPr>
            </a:pPr>
            <a:r>
              <a:rPr lang="en-US" sz="1000" b="1" i="0" u="none">
                <a:solidFill>
                  <a:srgbClr val="000000"/>
                </a:solidFill>
                <a:latin typeface="Arial" panose="020B0604020202020204" pitchFamily="34" charset="0"/>
              </a:rPr>
              <a:t>Cash Conversion Cycle</a:t>
            </a:r>
          </a:p>
        </c:rich>
      </c:tx>
      <c:overlay val="0"/>
      <c:spPr>
        <a:noFill/>
        <a:ln>
          <a:noFill/>
        </a:ln>
        <a:effectLst/>
        <a:extLst>
          <a:ext uri="{909E8E84-426E-40DD-AFC4-6F175D3DCCD1}">
            <a14:hiddenFill xmlns:a14="http://schemas.microsoft.com/office/drawing/2010/main">
              <a:solidFill>
                <a:srgbClr val="FFFFFF">
                  <a:alpha val="0"/>
                </a:srgbClr>
              </a:solidFill>
            </a14:hiddenFill>
          </a:ext>
        </a:extLst>
      </c:spPr>
      <c:txPr>
        <a:bodyPr rot="0" spcFirstLastPara="1" vertOverflow="ellipsis" vert="horz" wrap="square" anchor="ctr" anchorCtr="1"/>
        <a:lstStyle/>
        <a:p>
          <a:pPr>
            <a:defRPr sz="1000" b="1" i="0" u="none" strike="noStrike" kern="1200" spc="0" baseline="0">
              <a:solidFill>
                <a:srgbClr val="000000"/>
              </a:solidFill>
              <a:latin typeface="Arial" panose="020B0604020202020204" pitchFamily="34" charset="0"/>
              <a:ea typeface="Arial"/>
              <a:cs typeface="Arial"/>
            </a:defRPr>
          </a:pPr>
          <a:endParaRPr lang="en-US"/>
        </a:p>
      </c:txPr>
    </c:title>
    <c:autoTitleDeleted val="0"/>
    <c:plotArea>
      <c:layout/>
      <c:lineChart>
        <c:grouping val="standard"/>
        <c:varyColors val="0"/>
        <c:ser>
          <c:idx val="2"/>
          <c:order val="0"/>
          <c:tx>
            <c:v>FY23</c:v>
          </c:tx>
          <c:spPr>
            <a:ln w="28575" cap="rnd">
              <a:solidFill>
                <a:srgbClr val="0A2463"/>
              </a:solidFill>
              <a:round/>
            </a:ln>
            <a:effectLst/>
          </c:spPr>
          <c:marker>
            <c:symbol val="circle"/>
            <c:size val="5"/>
            <c:spPr>
              <a:solidFill>
                <a:srgbClr val="0A2463"/>
              </a:solidFill>
              <a:ln w="9525">
                <a:solidFill>
                  <a:srgbClr val="0A2463"/>
                </a:solidFill>
                <a:prstDash val="solid"/>
              </a:ln>
              <a:effectLst/>
            </c:spPr>
          </c:marker>
          <c:cat>
            <c:strRef>
              <c:f>NWC_Metrics!$E$6:$AI$6</c:f>
              <c:strCache>
                <c:ptCount val="31"/>
                <c:pt idx="0">
                  <c:v>April</c:v>
                </c:pt>
                <c:pt idx="1">
                  <c:v>May</c:v>
                </c:pt>
                <c:pt idx="2">
                  <c:v>June</c:v>
                </c:pt>
                <c:pt idx="3">
                  <c:v>July</c:v>
                </c:pt>
                <c:pt idx="4">
                  <c:v>August</c:v>
                </c:pt>
                <c:pt idx="5">
                  <c:v>September</c:v>
                </c:pt>
                <c:pt idx="6">
                  <c:v>October</c:v>
                </c:pt>
                <c:pt idx="7">
                  <c:v>November</c:v>
                </c:pt>
                <c:pt idx="8">
                  <c:v>December</c:v>
                </c:pt>
                <c:pt idx="9">
                  <c:v>January</c:v>
                </c:pt>
                <c:pt idx="10">
                  <c:v>February</c:v>
                </c:pt>
                <c:pt idx="11">
                  <c:v>March</c:v>
                </c:pt>
                <c:pt idx="12">
                  <c:v>April</c:v>
                </c:pt>
                <c:pt idx="13">
                  <c:v>May</c:v>
                </c:pt>
                <c:pt idx="14">
                  <c:v>June</c:v>
                </c:pt>
                <c:pt idx="15">
                  <c:v>July</c:v>
                </c:pt>
                <c:pt idx="16">
                  <c:v>August</c:v>
                </c:pt>
                <c:pt idx="17">
                  <c:v>September</c:v>
                </c:pt>
                <c:pt idx="18">
                  <c:v>October</c:v>
                </c:pt>
                <c:pt idx="19">
                  <c:v>November</c:v>
                </c:pt>
                <c:pt idx="20">
                  <c:v>December</c:v>
                </c:pt>
                <c:pt idx="21">
                  <c:v>January</c:v>
                </c:pt>
                <c:pt idx="22">
                  <c:v>February</c:v>
                </c:pt>
                <c:pt idx="23">
                  <c:v>March</c:v>
                </c:pt>
                <c:pt idx="24">
                  <c:v>April</c:v>
                </c:pt>
                <c:pt idx="25">
                  <c:v>May</c:v>
                </c:pt>
                <c:pt idx="26">
                  <c:v>June</c:v>
                </c:pt>
                <c:pt idx="27">
                  <c:v>July</c:v>
                </c:pt>
                <c:pt idx="28">
                  <c:v>August</c:v>
                </c:pt>
                <c:pt idx="29">
                  <c:v>September</c:v>
                </c:pt>
                <c:pt idx="30">
                  <c:v>October</c:v>
                </c:pt>
              </c:strCache>
            </c:strRef>
          </c:cat>
          <c:val>
            <c:numRef>
              <c:f>NWC_Metrics!$E$20:$P$20</c:f>
              <c:numCache>
                <c:formatCode>_(* #,##0_);_(* \(#,##0\);_(* "-"_);_(@_)</c:formatCode>
                <c:ptCount val="12"/>
                <c:pt idx="0">
                  <c:v>32.11716901667576</c:v>
                </c:pt>
                <c:pt idx="1">
                  <c:v>8.7638002935232642</c:v>
                </c:pt>
                <c:pt idx="2">
                  <c:v>12.659752850311353</c:v>
                </c:pt>
                <c:pt idx="3">
                  <c:v>27.308941961130362</c:v>
                </c:pt>
                <c:pt idx="4">
                  <c:v>8.1690770052592647</c:v>
                </c:pt>
                <c:pt idx="5">
                  <c:v>25.344914639079168</c:v>
                </c:pt>
                <c:pt idx="6">
                  <c:v>15.215866929747627</c:v>
                </c:pt>
                <c:pt idx="7">
                  <c:v>20.698296367832008</c:v>
                </c:pt>
                <c:pt idx="8">
                  <c:v>33.370438055387297</c:v>
                </c:pt>
                <c:pt idx="9">
                  <c:v>53.705708173911233</c:v>
                </c:pt>
                <c:pt idx="10">
                  <c:v>6.3371573256894358</c:v>
                </c:pt>
                <c:pt idx="11">
                  <c:v>26.796432599557811</c:v>
                </c:pt>
              </c:numCache>
            </c:numRef>
          </c:val>
          <c:smooth val="0"/>
          <c:extLst>
            <c:ext xmlns:c16="http://schemas.microsoft.com/office/drawing/2014/chart" uri="{C3380CC4-5D6E-409C-BE32-E72D297353CC}">
              <c16:uniqueId val="{00000000-00D6-4F8B-B655-635E92553484}"/>
            </c:ext>
          </c:extLst>
        </c:ser>
        <c:ser>
          <c:idx val="4"/>
          <c:order val="1"/>
          <c:tx>
            <c:strRef>
              <c:f>NWC_Metrics!$C$88</c:f>
              <c:strCache>
                <c:ptCount val="1"/>
                <c:pt idx="0">
                  <c:v>FY24</c:v>
                </c:pt>
              </c:strCache>
            </c:strRef>
          </c:tx>
          <c:spPr>
            <a:ln w="28575" cap="rnd">
              <a:solidFill>
                <a:srgbClr val="2C78C9"/>
              </a:solidFill>
              <a:round/>
            </a:ln>
            <a:effectLst/>
          </c:spPr>
          <c:marker>
            <c:symbol val="circle"/>
            <c:size val="5"/>
            <c:spPr>
              <a:solidFill>
                <a:srgbClr val="2C78C9"/>
              </a:solidFill>
              <a:ln w="9525">
                <a:solidFill>
                  <a:srgbClr val="2C78C9"/>
                </a:solidFill>
              </a:ln>
              <a:effectLst/>
            </c:spPr>
          </c:marker>
          <c:cat>
            <c:strRef>
              <c:f>NWC_Metrics!$E$6:$AI$6</c:f>
              <c:strCache>
                <c:ptCount val="31"/>
                <c:pt idx="0">
                  <c:v>April</c:v>
                </c:pt>
                <c:pt idx="1">
                  <c:v>May</c:v>
                </c:pt>
                <c:pt idx="2">
                  <c:v>June</c:v>
                </c:pt>
                <c:pt idx="3">
                  <c:v>July</c:v>
                </c:pt>
                <c:pt idx="4">
                  <c:v>August</c:v>
                </c:pt>
                <c:pt idx="5">
                  <c:v>September</c:v>
                </c:pt>
                <c:pt idx="6">
                  <c:v>October</c:v>
                </c:pt>
                <c:pt idx="7">
                  <c:v>November</c:v>
                </c:pt>
                <c:pt idx="8">
                  <c:v>December</c:v>
                </c:pt>
                <c:pt idx="9">
                  <c:v>January</c:v>
                </c:pt>
                <c:pt idx="10">
                  <c:v>February</c:v>
                </c:pt>
                <c:pt idx="11">
                  <c:v>March</c:v>
                </c:pt>
                <c:pt idx="12">
                  <c:v>April</c:v>
                </c:pt>
                <c:pt idx="13">
                  <c:v>May</c:v>
                </c:pt>
                <c:pt idx="14">
                  <c:v>June</c:v>
                </c:pt>
                <c:pt idx="15">
                  <c:v>July</c:v>
                </c:pt>
                <c:pt idx="16">
                  <c:v>August</c:v>
                </c:pt>
                <c:pt idx="17">
                  <c:v>September</c:v>
                </c:pt>
                <c:pt idx="18">
                  <c:v>October</c:v>
                </c:pt>
                <c:pt idx="19">
                  <c:v>November</c:v>
                </c:pt>
                <c:pt idx="20">
                  <c:v>December</c:v>
                </c:pt>
                <c:pt idx="21">
                  <c:v>January</c:v>
                </c:pt>
                <c:pt idx="22">
                  <c:v>February</c:v>
                </c:pt>
                <c:pt idx="23">
                  <c:v>March</c:v>
                </c:pt>
                <c:pt idx="24">
                  <c:v>April</c:v>
                </c:pt>
                <c:pt idx="25">
                  <c:v>May</c:v>
                </c:pt>
                <c:pt idx="26">
                  <c:v>June</c:v>
                </c:pt>
                <c:pt idx="27">
                  <c:v>July</c:v>
                </c:pt>
                <c:pt idx="28">
                  <c:v>August</c:v>
                </c:pt>
                <c:pt idx="29">
                  <c:v>September</c:v>
                </c:pt>
                <c:pt idx="30">
                  <c:v>October</c:v>
                </c:pt>
              </c:strCache>
            </c:strRef>
          </c:cat>
          <c:val>
            <c:numRef>
              <c:f>NWC_Metrics!$Q$20:$AB$20</c:f>
              <c:numCache>
                <c:formatCode>_(* #,##0_);_(* \(#,##0\);_(* "-"_);_(@_)</c:formatCode>
                <c:ptCount val="12"/>
                <c:pt idx="0">
                  <c:v>30.91954472909088</c:v>
                </c:pt>
                <c:pt idx="1">
                  <c:v>41.264216293903793</c:v>
                </c:pt>
                <c:pt idx="2">
                  <c:v>25.176277553447068</c:v>
                </c:pt>
                <c:pt idx="3">
                  <c:v>33.148742662140847</c:v>
                </c:pt>
                <c:pt idx="4">
                  <c:v>12.002467471940747</c:v>
                </c:pt>
                <c:pt idx="5">
                  <c:v>37.3935454314285</c:v>
                </c:pt>
                <c:pt idx="6">
                  <c:v>24.964039146782767</c:v>
                </c:pt>
                <c:pt idx="7">
                  <c:v>2.6642000646860247</c:v>
                </c:pt>
                <c:pt idx="8">
                  <c:v>14.189688967394112</c:v>
                </c:pt>
                <c:pt idx="9">
                  <c:v>8.5467852128472366</c:v>
                </c:pt>
                <c:pt idx="10">
                  <c:v>8.5435859845330135</c:v>
                </c:pt>
                <c:pt idx="11">
                  <c:v>39.358793375526439</c:v>
                </c:pt>
              </c:numCache>
            </c:numRef>
          </c:val>
          <c:smooth val="0"/>
          <c:extLst>
            <c:ext xmlns:c16="http://schemas.microsoft.com/office/drawing/2014/chart" uri="{C3380CC4-5D6E-409C-BE32-E72D297353CC}">
              <c16:uniqueId val="{00000001-00D6-4F8B-B655-635E92553484}"/>
            </c:ext>
          </c:extLst>
        </c:ser>
        <c:ser>
          <c:idx val="3"/>
          <c:order val="2"/>
          <c:tx>
            <c:strRef>
              <c:f>NWC_Metrics!$C$89</c:f>
              <c:strCache>
                <c:ptCount val="1"/>
                <c:pt idx="0">
                  <c:v>YTD25</c:v>
                </c:pt>
              </c:strCache>
            </c:strRef>
          </c:tx>
          <c:spPr>
            <a:ln w="28575" cap="rnd">
              <a:solidFill>
                <a:srgbClr val="E26E17"/>
              </a:solidFill>
              <a:round/>
            </a:ln>
            <a:effectLst/>
          </c:spPr>
          <c:marker>
            <c:symbol val="circle"/>
            <c:size val="5"/>
            <c:spPr>
              <a:solidFill>
                <a:srgbClr val="E26E17"/>
              </a:solidFill>
              <a:ln w="9525">
                <a:solidFill>
                  <a:srgbClr val="E26E17"/>
                </a:solidFill>
              </a:ln>
              <a:effectLst/>
            </c:spPr>
          </c:marker>
          <c:cat>
            <c:strRef>
              <c:f>NWC_Metrics!$E$6:$AI$6</c:f>
              <c:strCache>
                <c:ptCount val="31"/>
                <c:pt idx="0">
                  <c:v>April</c:v>
                </c:pt>
                <c:pt idx="1">
                  <c:v>May</c:v>
                </c:pt>
                <c:pt idx="2">
                  <c:v>June</c:v>
                </c:pt>
                <c:pt idx="3">
                  <c:v>July</c:v>
                </c:pt>
                <c:pt idx="4">
                  <c:v>August</c:v>
                </c:pt>
                <c:pt idx="5">
                  <c:v>September</c:v>
                </c:pt>
                <c:pt idx="6">
                  <c:v>October</c:v>
                </c:pt>
                <c:pt idx="7">
                  <c:v>November</c:v>
                </c:pt>
                <c:pt idx="8">
                  <c:v>December</c:v>
                </c:pt>
                <c:pt idx="9">
                  <c:v>January</c:v>
                </c:pt>
                <c:pt idx="10">
                  <c:v>February</c:v>
                </c:pt>
                <c:pt idx="11">
                  <c:v>March</c:v>
                </c:pt>
                <c:pt idx="12">
                  <c:v>April</c:v>
                </c:pt>
                <c:pt idx="13">
                  <c:v>May</c:v>
                </c:pt>
                <c:pt idx="14">
                  <c:v>June</c:v>
                </c:pt>
                <c:pt idx="15">
                  <c:v>July</c:v>
                </c:pt>
                <c:pt idx="16">
                  <c:v>August</c:v>
                </c:pt>
                <c:pt idx="17">
                  <c:v>September</c:v>
                </c:pt>
                <c:pt idx="18">
                  <c:v>October</c:v>
                </c:pt>
                <c:pt idx="19">
                  <c:v>November</c:v>
                </c:pt>
                <c:pt idx="20">
                  <c:v>December</c:v>
                </c:pt>
                <c:pt idx="21">
                  <c:v>January</c:v>
                </c:pt>
                <c:pt idx="22">
                  <c:v>February</c:v>
                </c:pt>
                <c:pt idx="23">
                  <c:v>March</c:v>
                </c:pt>
                <c:pt idx="24">
                  <c:v>April</c:v>
                </c:pt>
                <c:pt idx="25">
                  <c:v>May</c:v>
                </c:pt>
                <c:pt idx="26">
                  <c:v>June</c:v>
                </c:pt>
                <c:pt idx="27">
                  <c:v>July</c:v>
                </c:pt>
                <c:pt idx="28">
                  <c:v>August</c:v>
                </c:pt>
                <c:pt idx="29">
                  <c:v>September</c:v>
                </c:pt>
                <c:pt idx="30">
                  <c:v>October</c:v>
                </c:pt>
              </c:strCache>
            </c:strRef>
          </c:cat>
          <c:val>
            <c:numRef>
              <c:f>NWC_Metrics!$AC$20:$AI$20</c:f>
              <c:numCache>
                <c:formatCode>_(* #,##0_);_(* \(#,##0\);_(* "-"_);_(@_)</c:formatCode>
                <c:ptCount val="7"/>
                <c:pt idx="0">
                  <c:v>32.65928753649213</c:v>
                </c:pt>
                <c:pt idx="1">
                  <c:v>7.5239920002986409</c:v>
                </c:pt>
                <c:pt idx="2">
                  <c:v>15.919623739722432</c:v>
                </c:pt>
                <c:pt idx="3">
                  <c:v>35.57527730404032</c:v>
                </c:pt>
                <c:pt idx="4">
                  <c:v>46.04576045839039</c:v>
                </c:pt>
                <c:pt idx="5">
                  <c:v>20.041326678162989</c:v>
                </c:pt>
                <c:pt idx="6">
                  <c:v>44.000470270226884</c:v>
                </c:pt>
              </c:numCache>
            </c:numRef>
          </c:val>
          <c:smooth val="0"/>
          <c:extLst>
            <c:ext xmlns:c16="http://schemas.microsoft.com/office/drawing/2014/chart" uri="{C3380CC4-5D6E-409C-BE32-E72D297353CC}">
              <c16:uniqueId val="{00000002-00D6-4F8B-B655-635E92553484}"/>
            </c:ext>
          </c:extLst>
        </c:ser>
        <c:dLbls>
          <c:showLegendKey val="0"/>
          <c:showVal val="0"/>
          <c:showCatName val="0"/>
          <c:showSerName val="0"/>
          <c:showPercent val="0"/>
          <c:showBubbleSize val="0"/>
        </c:dLbls>
        <c:marker val="1"/>
        <c:smooth val="0"/>
        <c:axId val="1411261119"/>
        <c:axId val="1438323759"/>
      </c:lineChart>
      <c:catAx>
        <c:axId val="1411261119"/>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a:extLst>
            <a:ext uri="{909E8E84-426E-40DD-AFC4-6F175D3DCCD1}">
              <a14:hiddenFill xmlns:a14="http://schemas.microsoft.com/office/drawing/2010/main">
                <a:noFill/>
              </a14:hiddenFill>
            </a:ext>
          </a:extLst>
        </c:spPr>
        <c:txPr>
          <a:bodyPr rot="-60000000" spcFirstLastPara="1" vertOverflow="ellipsis" vert="horz" wrap="square" anchor="ctr" anchorCtr="0"/>
          <a:lstStyle/>
          <a:p>
            <a:pPr>
              <a:defRPr sz="900" b="0" i="0" u="none" strike="noStrike" kern="1200" baseline="0">
                <a:solidFill>
                  <a:srgbClr val="000000"/>
                </a:solidFill>
                <a:latin typeface="Arial"/>
                <a:ea typeface="Arial"/>
                <a:cs typeface="Arial"/>
              </a:defRPr>
            </a:pPr>
            <a:endParaRPr lang="en-US"/>
          </a:p>
        </c:txPr>
        <c:crossAx val="1438323759"/>
        <c:crosses val="autoZero"/>
        <c:auto val="1"/>
        <c:lblAlgn val="ctr"/>
        <c:lblOffset val="100"/>
        <c:noMultiLvlLbl val="0"/>
      </c:catAx>
      <c:valAx>
        <c:axId val="1438323759"/>
        <c:scaling>
          <c:orientation val="minMax"/>
        </c:scaling>
        <c:delete val="0"/>
        <c:axPos val="l"/>
        <c:majorGridlines>
          <c:spPr>
            <a:ln w="9525" cap="flat" cmpd="sng" algn="ctr">
              <a:noFill/>
              <a:prstDash val="solid"/>
              <a:round/>
            </a:ln>
            <a:effectLst/>
          </c:spPr>
        </c:majorGridlines>
        <c:numFmt formatCode="General\ &quot;Days&quot;"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rgbClr val="000000"/>
                </a:solidFill>
                <a:latin typeface="Arial"/>
                <a:ea typeface="Arial"/>
                <a:cs typeface="Arial"/>
              </a:defRPr>
            </a:pPr>
            <a:endParaRPr lang="en-US"/>
          </a:p>
        </c:txPr>
        <c:crossAx val="1411261119"/>
        <c:crosses val="autoZero"/>
        <c:crossBetween val="between"/>
      </c:valAx>
      <c:spPr>
        <a:noFill/>
        <a:ln w="25400">
          <a:noFill/>
        </a:ln>
        <a:effectLst/>
      </c:spPr>
    </c:plotArea>
    <c:legend>
      <c:legendPos val="b"/>
      <c:overlay val="0"/>
      <c:spPr>
        <a:noFill/>
        <a:ln>
          <a:noFill/>
        </a:ln>
        <a:effectLst/>
        <a:extLst>
          <a:ext uri="{909E8E84-426E-40DD-AFC4-6F175D3DCCD1}">
            <a14:hiddenFill xmlns:a14="http://schemas.microsoft.com/office/drawing/2010/main">
              <a:solidFill>
                <a:srgbClr val="FFFFFF">
                  <a:alpha val="0"/>
                </a:srgbClr>
              </a:solidFill>
            </a14:hiddenFill>
          </a:ext>
        </a:extLst>
      </c:spPr>
      <c:txPr>
        <a:bodyPr rot="0" spcFirstLastPara="1" vertOverflow="ellipsis" vert="horz" wrap="square" anchor="ctr" anchorCtr="1"/>
        <a:lstStyle/>
        <a:p>
          <a:pPr>
            <a:defRPr sz="900" b="0" i="0" u="none" strike="noStrike" kern="1200" baseline="0">
              <a:solidFill>
                <a:srgbClr val="000000"/>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c:spPr>
  <c:txPr>
    <a:bodyPr/>
    <a:lstStyle/>
    <a:p>
      <a:pPr>
        <a:defRPr sz="900">
          <a:latin typeface="Arial"/>
          <a:ea typeface="Arial"/>
          <a:cs typeface="Arial"/>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000000"/>
                </a:solidFill>
                <a:latin typeface="Arial" panose="020B0604020202020204" pitchFamily="34" charset="0"/>
                <a:ea typeface="Arial"/>
                <a:cs typeface="Arial"/>
              </a:defRPr>
            </a:pPr>
            <a:r>
              <a:rPr lang="en-US" sz="1000" b="1" i="0" u="none">
                <a:solidFill>
                  <a:srgbClr val="000000"/>
                </a:solidFill>
                <a:latin typeface="Arial" panose="020B0604020202020204" pitchFamily="34" charset="0"/>
              </a:rPr>
              <a:t>DSO, Reported</a:t>
            </a:r>
          </a:p>
        </c:rich>
      </c:tx>
      <c:overlay val="0"/>
      <c:spPr>
        <a:noFill/>
        <a:ln>
          <a:noFill/>
        </a:ln>
        <a:effectLst/>
        <a:extLst>
          <a:ext uri="{909E8E84-426E-40DD-AFC4-6F175D3DCCD1}">
            <a14:hiddenFill xmlns:a14="http://schemas.microsoft.com/office/drawing/2010/main">
              <a:solidFill>
                <a:srgbClr val="FFFFFF">
                  <a:alpha val="0"/>
                </a:srgbClr>
              </a:solidFill>
            </a14:hiddenFill>
          </a:ext>
        </a:extLst>
      </c:spPr>
      <c:txPr>
        <a:bodyPr rot="0" spcFirstLastPara="1" vertOverflow="ellipsis" vert="horz" wrap="square" anchor="ctr" anchorCtr="1"/>
        <a:lstStyle/>
        <a:p>
          <a:pPr>
            <a:defRPr sz="1000" b="1" i="0" u="none" strike="noStrike" kern="1200" spc="0" baseline="0">
              <a:solidFill>
                <a:srgbClr val="000000"/>
              </a:solidFill>
              <a:latin typeface="Arial" panose="020B0604020202020204" pitchFamily="34" charset="0"/>
              <a:ea typeface="Arial"/>
              <a:cs typeface="Arial"/>
            </a:defRPr>
          </a:pPr>
          <a:endParaRPr lang="en-US"/>
        </a:p>
      </c:txPr>
    </c:title>
    <c:autoTitleDeleted val="0"/>
    <c:plotArea>
      <c:layout/>
      <c:lineChart>
        <c:grouping val="standard"/>
        <c:varyColors val="0"/>
        <c:ser>
          <c:idx val="2"/>
          <c:order val="0"/>
          <c:tx>
            <c:v>FY23</c:v>
          </c:tx>
          <c:spPr>
            <a:ln w="28575" cap="rnd">
              <a:solidFill>
                <a:srgbClr val="0A2463"/>
              </a:solidFill>
              <a:round/>
            </a:ln>
            <a:effectLst/>
          </c:spPr>
          <c:marker>
            <c:symbol val="circle"/>
            <c:size val="5"/>
            <c:spPr>
              <a:solidFill>
                <a:srgbClr val="0A2463"/>
              </a:solidFill>
              <a:ln w="9525">
                <a:solidFill>
                  <a:srgbClr val="0A2463"/>
                </a:solidFill>
                <a:prstDash val="solid"/>
              </a:ln>
              <a:effectLst/>
            </c:spPr>
          </c:marker>
          <c:cat>
            <c:strRef>
              <c:f>NWC_Metrics!$E$6:$AI$6</c:f>
              <c:strCache>
                <c:ptCount val="31"/>
                <c:pt idx="0">
                  <c:v>April</c:v>
                </c:pt>
                <c:pt idx="1">
                  <c:v>May</c:v>
                </c:pt>
                <c:pt idx="2">
                  <c:v>June</c:v>
                </c:pt>
                <c:pt idx="3">
                  <c:v>July</c:v>
                </c:pt>
                <c:pt idx="4">
                  <c:v>August</c:v>
                </c:pt>
                <c:pt idx="5">
                  <c:v>September</c:v>
                </c:pt>
                <c:pt idx="6">
                  <c:v>October</c:v>
                </c:pt>
                <c:pt idx="7">
                  <c:v>November</c:v>
                </c:pt>
                <c:pt idx="8">
                  <c:v>December</c:v>
                </c:pt>
                <c:pt idx="9">
                  <c:v>January</c:v>
                </c:pt>
                <c:pt idx="10">
                  <c:v>February</c:v>
                </c:pt>
                <c:pt idx="11">
                  <c:v>March</c:v>
                </c:pt>
                <c:pt idx="12">
                  <c:v>April</c:v>
                </c:pt>
                <c:pt idx="13">
                  <c:v>May</c:v>
                </c:pt>
                <c:pt idx="14">
                  <c:v>June</c:v>
                </c:pt>
                <c:pt idx="15">
                  <c:v>July</c:v>
                </c:pt>
                <c:pt idx="16">
                  <c:v>August</c:v>
                </c:pt>
                <c:pt idx="17">
                  <c:v>September</c:v>
                </c:pt>
                <c:pt idx="18">
                  <c:v>October</c:v>
                </c:pt>
                <c:pt idx="19">
                  <c:v>November</c:v>
                </c:pt>
                <c:pt idx="20">
                  <c:v>December</c:v>
                </c:pt>
                <c:pt idx="21">
                  <c:v>January</c:v>
                </c:pt>
                <c:pt idx="22">
                  <c:v>February</c:v>
                </c:pt>
                <c:pt idx="23">
                  <c:v>March</c:v>
                </c:pt>
                <c:pt idx="24">
                  <c:v>April</c:v>
                </c:pt>
                <c:pt idx="25">
                  <c:v>May</c:v>
                </c:pt>
                <c:pt idx="26">
                  <c:v>June</c:v>
                </c:pt>
                <c:pt idx="27">
                  <c:v>July</c:v>
                </c:pt>
                <c:pt idx="28">
                  <c:v>August</c:v>
                </c:pt>
                <c:pt idx="29">
                  <c:v>September</c:v>
                </c:pt>
                <c:pt idx="30">
                  <c:v>October</c:v>
                </c:pt>
              </c:strCache>
            </c:strRef>
          </c:cat>
          <c:val>
            <c:numRef>
              <c:f>NWC_Metrics!$E$17:$P$17</c:f>
              <c:numCache>
                <c:formatCode>_(* #,##0_);_(* \(#,##0\);_(* "-"_);_(@_)</c:formatCode>
                <c:ptCount val="12"/>
                <c:pt idx="0">
                  <c:v>47.848415809286124</c:v>
                </c:pt>
                <c:pt idx="1">
                  <c:v>25.113267519475791</c:v>
                </c:pt>
                <c:pt idx="2">
                  <c:v>31.410889364115246</c:v>
                </c:pt>
                <c:pt idx="3">
                  <c:v>38.10265246134005</c:v>
                </c:pt>
                <c:pt idx="4">
                  <c:v>22.840079624143247</c:v>
                </c:pt>
                <c:pt idx="5">
                  <c:v>39.803340466816827</c:v>
                </c:pt>
                <c:pt idx="6">
                  <c:v>33.841551096056762</c:v>
                </c:pt>
                <c:pt idx="7">
                  <c:v>32.462349085667149</c:v>
                </c:pt>
                <c:pt idx="8">
                  <c:v>22.142230773811761</c:v>
                </c:pt>
                <c:pt idx="9">
                  <c:v>48.254177288370627</c:v>
                </c:pt>
                <c:pt idx="10">
                  <c:v>19.5680332536385</c:v>
                </c:pt>
                <c:pt idx="11">
                  <c:v>26.796432599557811</c:v>
                </c:pt>
              </c:numCache>
            </c:numRef>
          </c:val>
          <c:smooth val="0"/>
          <c:extLst>
            <c:ext xmlns:c16="http://schemas.microsoft.com/office/drawing/2014/chart" uri="{C3380CC4-5D6E-409C-BE32-E72D297353CC}">
              <c16:uniqueId val="{00000000-7932-4B5E-A0AA-E1501A952293}"/>
            </c:ext>
          </c:extLst>
        </c:ser>
        <c:ser>
          <c:idx val="4"/>
          <c:order val="1"/>
          <c:tx>
            <c:strRef>
              <c:f>NWC_Metrics!$C$88</c:f>
              <c:strCache>
                <c:ptCount val="1"/>
                <c:pt idx="0">
                  <c:v>FY24</c:v>
                </c:pt>
              </c:strCache>
            </c:strRef>
          </c:tx>
          <c:spPr>
            <a:ln w="28575" cap="rnd">
              <a:solidFill>
                <a:srgbClr val="2C78C9"/>
              </a:solidFill>
              <a:round/>
            </a:ln>
            <a:effectLst/>
          </c:spPr>
          <c:marker>
            <c:symbol val="circle"/>
            <c:size val="5"/>
            <c:spPr>
              <a:solidFill>
                <a:srgbClr val="2C78C9"/>
              </a:solidFill>
              <a:ln w="9525">
                <a:solidFill>
                  <a:srgbClr val="2C78C9"/>
                </a:solidFill>
              </a:ln>
              <a:effectLst/>
            </c:spPr>
          </c:marker>
          <c:cat>
            <c:strRef>
              <c:f>NWC_Metrics!$E$6:$AI$6</c:f>
              <c:strCache>
                <c:ptCount val="31"/>
                <c:pt idx="0">
                  <c:v>April</c:v>
                </c:pt>
                <c:pt idx="1">
                  <c:v>May</c:v>
                </c:pt>
                <c:pt idx="2">
                  <c:v>June</c:v>
                </c:pt>
                <c:pt idx="3">
                  <c:v>July</c:v>
                </c:pt>
                <c:pt idx="4">
                  <c:v>August</c:v>
                </c:pt>
                <c:pt idx="5">
                  <c:v>September</c:v>
                </c:pt>
                <c:pt idx="6">
                  <c:v>October</c:v>
                </c:pt>
                <c:pt idx="7">
                  <c:v>November</c:v>
                </c:pt>
                <c:pt idx="8">
                  <c:v>December</c:v>
                </c:pt>
                <c:pt idx="9">
                  <c:v>January</c:v>
                </c:pt>
                <c:pt idx="10">
                  <c:v>February</c:v>
                </c:pt>
                <c:pt idx="11">
                  <c:v>March</c:v>
                </c:pt>
                <c:pt idx="12">
                  <c:v>April</c:v>
                </c:pt>
                <c:pt idx="13">
                  <c:v>May</c:v>
                </c:pt>
                <c:pt idx="14">
                  <c:v>June</c:v>
                </c:pt>
                <c:pt idx="15">
                  <c:v>July</c:v>
                </c:pt>
                <c:pt idx="16">
                  <c:v>August</c:v>
                </c:pt>
                <c:pt idx="17">
                  <c:v>September</c:v>
                </c:pt>
                <c:pt idx="18">
                  <c:v>October</c:v>
                </c:pt>
                <c:pt idx="19">
                  <c:v>November</c:v>
                </c:pt>
                <c:pt idx="20">
                  <c:v>December</c:v>
                </c:pt>
                <c:pt idx="21">
                  <c:v>January</c:v>
                </c:pt>
                <c:pt idx="22">
                  <c:v>February</c:v>
                </c:pt>
                <c:pt idx="23">
                  <c:v>March</c:v>
                </c:pt>
                <c:pt idx="24">
                  <c:v>April</c:v>
                </c:pt>
                <c:pt idx="25">
                  <c:v>May</c:v>
                </c:pt>
                <c:pt idx="26">
                  <c:v>June</c:v>
                </c:pt>
                <c:pt idx="27">
                  <c:v>July</c:v>
                </c:pt>
                <c:pt idx="28">
                  <c:v>August</c:v>
                </c:pt>
                <c:pt idx="29">
                  <c:v>September</c:v>
                </c:pt>
                <c:pt idx="30">
                  <c:v>October</c:v>
                </c:pt>
              </c:strCache>
            </c:strRef>
          </c:cat>
          <c:val>
            <c:numRef>
              <c:f>NWC_Metrics!$Q$17:$AB$17</c:f>
              <c:numCache>
                <c:formatCode>_(* #,##0_);_(* \(#,##0\);_(* "-"_);_(@_)</c:formatCode>
                <c:ptCount val="12"/>
                <c:pt idx="0">
                  <c:v>38.537202282226495</c:v>
                </c:pt>
                <c:pt idx="1">
                  <c:v>42.289773613621236</c:v>
                </c:pt>
                <c:pt idx="2">
                  <c:v>37.850776091429069</c:v>
                </c:pt>
                <c:pt idx="3">
                  <c:v>34.756871767190553</c:v>
                </c:pt>
                <c:pt idx="4">
                  <c:v>30.083352104233413</c:v>
                </c:pt>
                <c:pt idx="5">
                  <c:v>46.016491829735727</c:v>
                </c:pt>
                <c:pt idx="6">
                  <c:v>39.991266745802946</c:v>
                </c:pt>
                <c:pt idx="7">
                  <c:v>24.315720035817673</c:v>
                </c:pt>
                <c:pt idx="8">
                  <c:v>30.190730704033491</c:v>
                </c:pt>
                <c:pt idx="9">
                  <c:v>31.000939448054478</c:v>
                </c:pt>
                <c:pt idx="10">
                  <c:v>25.215990514017939</c:v>
                </c:pt>
                <c:pt idx="11">
                  <c:v>44.85414652383573</c:v>
                </c:pt>
              </c:numCache>
            </c:numRef>
          </c:val>
          <c:smooth val="0"/>
          <c:extLst>
            <c:ext xmlns:c16="http://schemas.microsoft.com/office/drawing/2014/chart" uri="{C3380CC4-5D6E-409C-BE32-E72D297353CC}">
              <c16:uniqueId val="{00000001-7932-4B5E-A0AA-E1501A952293}"/>
            </c:ext>
          </c:extLst>
        </c:ser>
        <c:ser>
          <c:idx val="3"/>
          <c:order val="2"/>
          <c:tx>
            <c:strRef>
              <c:f>NWC_Metrics!$C$89</c:f>
              <c:strCache>
                <c:ptCount val="1"/>
                <c:pt idx="0">
                  <c:v>YTD25</c:v>
                </c:pt>
              </c:strCache>
            </c:strRef>
          </c:tx>
          <c:spPr>
            <a:ln w="28575" cap="rnd">
              <a:solidFill>
                <a:srgbClr val="E26E17"/>
              </a:solidFill>
              <a:round/>
            </a:ln>
            <a:effectLst/>
          </c:spPr>
          <c:marker>
            <c:symbol val="circle"/>
            <c:size val="5"/>
            <c:spPr>
              <a:solidFill>
                <a:srgbClr val="E26E17"/>
              </a:solidFill>
              <a:ln w="9525">
                <a:solidFill>
                  <a:srgbClr val="E26E17"/>
                </a:solidFill>
              </a:ln>
              <a:effectLst/>
            </c:spPr>
          </c:marker>
          <c:cat>
            <c:strRef>
              <c:f>NWC_Metrics!$E$6:$AI$6</c:f>
              <c:strCache>
                <c:ptCount val="31"/>
                <c:pt idx="0">
                  <c:v>April</c:v>
                </c:pt>
                <c:pt idx="1">
                  <c:v>May</c:v>
                </c:pt>
                <c:pt idx="2">
                  <c:v>June</c:v>
                </c:pt>
                <c:pt idx="3">
                  <c:v>July</c:v>
                </c:pt>
                <c:pt idx="4">
                  <c:v>August</c:v>
                </c:pt>
                <c:pt idx="5">
                  <c:v>September</c:v>
                </c:pt>
                <c:pt idx="6">
                  <c:v>October</c:v>
                </c:pt>
                <c:pt idx="7">
                  <c:v>November</c:v>
                </c:pt>
                <c:pt idx="8">
                  <c:v>December</c:v>
                </c:pt>
                <c:pt idx="9">
                  <c:v>January</c:v>
                </c:pt>
                <c:pt idx="10">
                  <c:v>February</c:v>
                </c:pt>
                <c:pt idx="11">
                  <c:v>March</c:v>
                </c:pt>
                <c:pt idx="12">
                  <c:v>April</c:v>
                </c:pt>
                <c:pt idx="13">
                  <c:v>May</c:v>
                </c:pt>
                <c:pt idx="14">
                  <c:v>June</c:v>
                </c:pt>
                <c:pt idx="15">
                  <c:v>July</c:v>
                </c:pt>
                <c:pt idx="16">
                  <c:v>August</c:v>
                </c:pt>
                <c:pt idx="17">
                  <c:v>September</c:v>
                </c:pt>
                <c:pt idx="18">
                  <c:v>October</c:v>
                </c:pt>
                <c:pt idx="19">
                  <c:v>November</c:v>
                </c:pt>
                <c:pt idx="20">
                  <c:v>December</c:v>
                </c:pt>
                <c:pt idx="21">
                  <c:v>January</c:v>
                </c:pt>
                <c:pt idx="22">
                  <c:v>February</c:v>
                </c:pt>
                <c:pt idx="23">
                  <c:v>March</c:v>
                </c:pt>
                <c:pt idx="24">
                  <c:v>April</c:v>
                </c:pt>
                <c:pt idx="25">
                  <c:v>May</c:v>
                </c:pt>
                <c:pt idx="26">
                  <c:v>June</c:v>
                </c:pt>
                <c:pt idx="27">
                  <c:v>July</c:v>
                </c:pt>
                <c:pt idx="28">
                  <c:v>August</c:v>
                </c:pt>
                <c:pt idx="29">
                  <c:v>September</c:v>
                </c:pt>
                <c:pt idx="30">
                  <c:v>October</c:v>
                </c:pt>
              </c:strCache>
            </c:strRef>
          </c:cat>
          <c:val>
            <c:numRef>
              <c:f>NWC_Metrics!$AC$17:$AI$17</c:f>
              <c:numCache>
                <c:formatCode>_(* #,##0_);_(* \(#,##0\);_(* "-"_);_(@_)</c:formatCode>
                <c:ptCount val="7"/>
                <c:pt idx="0">
                  <c:v>47.591678450407279</c:v>
                </c:pt>
                <c:pt idx="1">
                  <c:v>29.19756368111522</c:v>
                </c:pt>
                <c:pt idx="2">
                  <c:v>40.582567650843075</c:v>
                </c:pt>
                <c:pt idx="3">
                  <c:v>46.320334925419417</c:v>
                </c:pt>
                <c:pt idx="4">
                  <c:v>66.421855096942195</c:v>
                </c:pt>
                <c:pt idx="5">
                  <c:v>33.016468384961982</c:v>
                </c:pt>
                <c:pt idx="6">
                  <c:v>56.461083490080064</c:v>
                </c:pt>
              </c:numCache>
            </c:numRef>
          </c:val>
          <c:smooth val="0"/>
          <c:extLst>
            <c:ext xmlns:c16="http://schemas.microsoft.com/office/drawing/2014/chart" uri="{C3380CC4-5D6E-409C-BE32-E72D297353CC}">
              <c16:uniqueId val="{00000002-7932-4B5E-A0AA-E1501A952293}"/>
            </c:ext>
          </c:extLst>
        </c:ser>
        <c:dLbls>
          <c:showLegendKey val="0"/>
          <c:showVal val="0"/>
          <c:showCatName val="0"/>
          <c:showSerName val="0"/>
          <c:showPercent val="0"/>
          <c:showBubbleSize val="0"/>
        </c:dLbls>
        <c:marker val="1"/>
        <c:smooth val="0"/>
        <c:axId val="1982351151"/>
        <c:axId val="1601675855"/>
      </c:lineChart>
      <c:catAx>
        <c:axId val="1982351151"/>
        <c:scaling>
          <c:orientation val="minMax"/>
        </c:scaling>
        <c:delete val="0"/>
        <c:axPos val="b"/>
        <c:numFmt formatCode="General" sourceLinked="1"/>
        <c:majorTickMark val="out"/>
        <c:minorTickMark val="none"/>
        <c:tickLblPos val="nextTo"/>
        <c:spPr>
          <a:noFill/>
          <a:ln w="9525" cap="flat" cmpd="sng" algn="ctr">
            <a:solidFill>
              <a:srgbClr val="000000"/>
            </a:solidFill>
            <a:prstDash val="solid"/>
            <a:roun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900" b="0" i="0" u="none" strike="noStrike" kern="1200" baseline="0">
                <a:solidFill>
                  <a:srgbClr val="000000"/>
                </a:solidFill>
                <a:latin typeface="Arial"/>
                <a:ea typeface="Arial"/>
                <a:cs typeface="Arial"/>
              </a:defRPr>
            </a:pPr>
            <a:endParaRPr lang="en-US"/>
          </a:p>
        </c:txPr>
        <c:crossAx val="1601675855"/>
        <c:crosses val="autoZero"/>
        <c:auto val="1"/>
        <c:lblAlgn val="ctr"/>
        <c:lblOffset val="100"/>
        <c:noMultiLvlLbl val="0"/>
      </c:catAx>
      <c:valAx>
        <c:axId val="1601675855"/>
        <c:scaling>
          <c:orientation val="minMax"/>
        </c:scaling>
        <c:delete val="0"/>
        <c:axPos val="l"/>
        <c:majorGridlines>
          <c:spPr>
            <a:ln w="9525" cap="flat" cmpd="sng" algn="ctr">
              <a:noFill/>
              <a:prstDash val="solid"/>
              <a:round/>
            </a:ln>
            <a:effectLst/>
          </c:spPr>
        </c:majorGridlines>
        <c:numFmt formatCode="General\ &quot;Days&quot;"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rgbClr val="000000"/>
                </a:solidFill>
                <a:latin typeface="Arial"/>
                <a:ea typeface="Arial"/>
                <a:cs typeface="Arial"/>
              </a:defRPr>
            </a:pPr>
            <a:endParaRPr lang="en-US"/>
          </a:p>
        </c:txPr>
        <c:crossAx val="1982351151"/>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c:spPr>
  <c:txPr>
    <a:bodyPr/>
    <a:lstStyle/>
    <a:p>
      <a:pPr>
        <a:defRPr sz="900">
          <a:latin typeface="Arial"/>
          <a:ea typeface="Arial"/>
          <a:cs typeface="Arial"/>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000000"/>
                </a:solidFill>
                <a:latin typeface="Arial" panose="020B0604020202020204" pitchFamily="34" charset="0"/>
                <a:ea typeface="Arial"/>
                <a:cs typeface="Arial"/>
              </a:defRPr>
            </a:pPr>
            <a:r>
              <a:rPr lang="en-US" sz="1000" b="1" i="0" u="none">
                <a:solidFill>
                  <a:srgbClr val="000000"/>
                </a:solidFill>
                <a:latin typeface="Arial" panose="020B0604020202020204" pitchFamily="34" charset="0"/>
              </a:rPr>
              <a:t>DSO Trends, reported</a:t>
            </a:r>
          </a:p>
        </c:rich>
      </c:tx>
      <c:overlay val="0"/>
      <c:spPr>
        <a:noFill/>
        <a:ln>
          <a:noFill/>
        </a:ln>
        <a:effectLst/>
        <a:extLst>
          <a:ext uri="{909E8E84-426E-40DD-AFC4-6F175D3DCCD1}">
            <a14:hiddenFill xmlns:a14="http://schemas.microsoft.com/office/drawing/2010/main">
              <a:solidFill>
                <a:srgbClr val="FFFFFF">
                  <a:alpha val="0"/>
                </a:srgbClr>
              </a:solidFill>
            </a14:hiddenFill>
          </a:ext>
        </a:extLst>
      </c:spPr>
      <c:txPr>
        <a:bodyPr rot="0" spcFirstLastPara="1" vertOverflow="ellipsis" vert="horz" wrap="square" anchor="ctr" anchorCtr="1"/>
        <a:lstStyle/>
        <a:p>
          <a:pPr>
            <a:defRPr sz="1000" b="1" i="0" u="none" strike="noStrike" kern="1200" spc="0" baseline="0">
              <a:solidFill>
                <a:srgbClr val="000000"/>
              </a:solidFill>
              <a:latin typeface="Arial" panose="020B0604020202020204" pitchFamily="34" charset="0"/>
              <a:ea typeface="Arial"/>
              <a:cs typeface="Arial"/>
            </a:defRPr>
          </a:pPr>
          <a:endParaRPr lang="en-US"/>
        </a:p>
      </c:txPr>
    </c:title>
    <c:autoTitleDeleted val="0"/>
    <c:plotArea>
      <c:layout/>
      <c:barChart>
        <c:barDir val="col"/>
        <c:grouping val="clustered"/>
        <c:varyColors val="0"/>
        <c:ser>
          <c:idx val="0"/>
          <c:order val="0"/>
          <c:tx>
            <c:strRef>
              <c:f>NWC_Metrics!$D$57</c:f>
              <c:strCache>
                <c:ptCount val="1"/>
                <c:pt idx="0">
                  <c:v>AR</c:v>
                </c:pt>
              </c:strCache>
            </c:strRef>
          </c:tx>
          <c:spPr>
            <a:solidFill>
              <a:srgbClr val="0A2463"/>
            </a:solidFill>
            <a:ln>
              <a:noFill/>
            </a:ln>
            <a:effectLst/>
          </c:spPr>
          <c:invertIfNegative val="0"/>
          <c:cat>
            <c:numRef>
              <c:f>NWC_Metrics!$E$56:$AI$56</c:f>
              <c:numCache>
                <c:formatCode>mmmyy</c:formatCode>
                <c:ptCount val="31"/>
                <c:pt idx="0">
                  <c:v>45046</c:v>
                </c:pt>
                <c:pt idx="1">
                  <c:v>45077</c:v>
                </c:pt>
                <c:pt idx="2">
                  <c:v>45107</c:v>
                </c:pt>
                <c:pt idx="3">
                  <c:v>45138</c:v>
                </c:pt>
                <c:pt idx="4">
                  <c:v>45169</c:v>
                </c:pt>
                <c:pt idx="5">
                  <c:v>45199</c:v>
                </c:pt>
                <c:pt idx="6">
                  <c:v>45230</c:v>
                </c:pt>
                <c:pt idx="7">
                  <c:v>45260</c:v>
                </c:pt>
                <c:pt idx="8">
                  <c:v>45291</c:v>
                </c:pt>
                <c:pt idx="9">
                  <c:v>45322</c:v>
                </c:pt>
                <c:pt idx="10">
                  <c:v>45351</c:v>
                </c:pt>
                <c:pt idx="11">
                  <c:v>45382</c:v>
                </c:pt>
                <c:pt idx="12">
                  <c:v>45412</c:v>
                </c:pt>
                <c:pt idx="13">
                  <c:v>45443</c:v>
                </c:pt>
                <c:pt idx="14">
                  <c:v>45473</c:v>
                </c:pt>
                <c:pt idx="15">
                  <c:v>45504</c:v>
                </c:pt>
                <c:pt idx="16">
                  <c:v>45535</c:v>
                </c:pt>
                <c:pt idx="17">
                  <c:v>45565</c:v>
                </c:pt>
                <c:pt idx="18">
                  <c:v>45596</c:v>
                </c:pt>
                <c:pt idx="19">
                  <c:v>45626</c:v>
                </c:pt>
                <c:pt idx="20">
                  <c:v>45657</c:v>
                </c:pt>
                <c:pt idx="21">
                  <c:v>45688</c:v>
                </c:pt>
                <c:pt idx="22">
                  <c:v>45716</c:v>
                </c:pt>
                <c:pt idx="23">
                  <c:v>45747</c:v>
                </c:pt>
                <c:pt idx="24">
                  <c:v>45777</c:v>
                </c:pt>
                <c:pt idx="25">
                  <c:v>45808</c:v>
                </c:pt>
                <c:pt idx="26">
                  <c:v>45838</c:v>
                </c:pt>
                <c:pt idx="27">
                  <c:v>45869</c:v>
                </c:pt>
                <c:pt idx="28">
                  <c:v>45900</c:v>
                </c:pt>
                <c:pt idx="29">
                  <c:v>45930</c:v>
                </c:pt>
                <c:pt idx="30">
                  <c:v>45961</c:v>
                </c:pt>
              </c:numCache>
            </c:numRef>
          </c:cat>
          <c:val>
            <c:numRef>
              <c:f>NWC_Metrics!$E$57:$AI$57</c:f>
              <c:numCache>
                <c:formatCode>_("$"* #,##0_);_("$"* \(#,##0\);_("$"* "-"_);_(@_)</c:formatCode>
                <c:ptCount val="31"/>
                <c:pt idx="0">
                  <c:v>298.09100000000001</c:v>
                </c:pt>
                <c:pt idx="1">
                  <c:v>347.89449999999999</c:v>
                </c:pt>
                <c:pt idx="2">
                  <c:v>766.23199999999997</c:v>
                </c:pt>
                <c:pt idx="3">
                  <c:v>528.95699999999999</c:v>
                </c:pt>
                <c:pt idx="4">
                  <c:v>459.32799999999997</c:v>
                </c:pt>
                <c:pt idx="5">
                  <c:v>637.95600000000002</c:v>
                </c:pt>
                <c:pt idx="6">
                  <c:v>751.57500000000005</c:v>
                </c:pt>
                <c:pt idx="7">
                  <c:v>1371.4255000000001</c:v>
                </c:pt>
                <c:pt idx="8">
                  <c:v>911.52850000000001</c:v>
                </c:pt>
                <c:pt idx="9">
                  <c:v>371.55950000000001</c:v>
                </c:pt>
                <c:pt idx="10">
                  <c:v>371.72050000000002</c:v>
                </c:pt>
                <c:pt idx="11">
                  <c:v>636.87599999999998</c:v>
                </c:pt>
                <c:pt idx="12">
                  <c:v>542.14649999999995</c:v>
                </c:pt>
                <c:pt idx="13">
                  <c:v>717.08450000000005</c:v>
                </c:pt>
                <c:pt idx="14">
                  <c:v>468.52699999999999</c:v>
                </c:pt>
                <c:pt idx="15">
                  <c:v>427.88400000000001</c:v>
                </c:pt>
                <c:pt idx="16">
                  <c:v>521.29499999999996</c:v>
                </c:pt>
                <c:pt idx="17">
                  <c:v>547.44899999999996</c:v>
                </c:pt>
                <c:pt idx="18">
                  <c:v>471.65699999999998</c:v>
                </c:pt>
                <c:pt idx="19">
                  <c:v>917.83900000000006</c:v>
                </c:pt>
                <c:pt idx="20">
                  <c:v>1105.5360000000001</c:v>
                </c:pt>
                <c:pt idx="21">
                  <c:v>329.661</c:v>
                </c:pt>
                <c:pt idx="22">
                  <c:v>727.59749999999997</c:v>
                </c:pt>
                <c:pt idx="23">
                  <c:v>597.9</c:v>
                </c:pt>
                <c:pt idx="24">
                  <c:v>557.57299999999998</c:v>
                </c:pt>
                <c:pt idx="25">
                  <c:v>512</c:v>
                </c:pt>
                <c:pt idx="26">
                  <c:v>996.39009999999996</c:v>
                </c:pt>
                <c:pt idx="27">
                  <c:v>636.00360000000001</c:v>
                </c:pt>
                <c:pt idx="28">
                  <c:v>608.91700000000003</c:v>
                </c:pt>
                <c:pt idx="29">
                  <c:v>836.82</c:v>
                </c:pt>
                <c:pt idx="30">
                  <c:v>770.76300000000003</c:v>
                </c:pt>
              </c:numCache>
            </c:numRef>
          </c:val>
          <c:extLst>
            <c:ext xmlns:c16="http://schemas.microsoft.com/office/drawing/2014/chart" uri="{C3380CC4-5D6E-409C-BE32-E72D297353CC}">
              <c16:uniqueId val="{00000000-B7AA-4DD1-B466-4828BEF23628}"/>
            </c:ext>
          </c:extLst>
        </c:ser>
        <c:dLbls>
          <c:showLegendKey val="0"/>
          <c:showVal val="0"/>
          <c:showCatName val="0"/>
          <c:showSerName val="0"/>
          <c:showPercent val="0"/>
          <c:showBubbleSize val="0"/>
        </c:dLbls>
        <c:gapWidth val="219"/>
        <c:overlap val="-27"/>
        <c:axId val="2146548415"/>
        <c:axId val="90942464"/>
      </c:barChart>
      <c:lineChart>
        <c:grouping val="standard"/>
        <c:varyColors val="0"/>
        <c:ser>
          <c:idx val="1"/>
          <c:order val="1"/>
          <c:tx>
            <c:strRef>
              <c:f>NWC_Metrics!$D$58</c:f>
              <c:strCache>
                <c:ptCount val="1"/>
                <c:pt idx="0">
                  <c:v>DSO</c:v>
                </c:pt>
              </c:strCache>
            </c:strRef>
          </c:tx>
          <c:spPr>
            <a:ln w="28575" cap="rnd">
              <a:solidFill>
                <a:srgbClr val="2C78C9"/>
              </a:solidFill>
              <a:prstDash val="solid"/>
              <a:round/>
            </a:ln>
            <a:effectLst/>
          </c:spPr>
          <c:marker>
            <c:symbol val="none"/>
          </c:marker>
          <c:cat>
            <c:numRef>
              <c:f>NWC_Metrics!$E$56:$AI$56</c:f>
              <c:numCache>
                <c:formatCode>mmmyy</c:formatCode>
                <c:ptCount val="31"/>
                <c:pt idx="0">
                  <c:v>45046</c:v>
                </c:pt>
                <c:pt idx="1">
                  <c:v>45077</c:v>
                </c:pt>
                <c:pt idx="2">
                  <c:v>45107</c:v>
                </c:pt>
                <c:pt idx="3">
                  <c:v>45138</c:v>
                </c:pt>
                <c:pt idx="4">
                  <c:v>45169</c:v>
                </c:pt>
                <c:pt idx="5">
                  <c:v>45199</c:v>
                </c:pt>
                <c:pt idx="6">
                  <c:v>45230</c:v>
                </c:pt>
                <c:pt idx="7">
                  <c:v>45260</c:v>
                </c:pt>
                <c:pt idx="8">
                  <c:v>45291</c:v>
                </c:pt>
                <c:pt idx="9">
                  <c:v>45322</c:v>
                </c:pt>
                <c:pt idx="10">
                  <c:v>45351</c:v>
                </c:pt>
                <c:pt idx="11">
                  <c:v>45382</c:v>
                </c:pt>
                <c:pt idx="12">
                  <c:v>45412</c:v>
                </c:pt>
                <c:pt idx="13">
                  <c:v>45443</c:v>
                </c:pt>
                <c:pt idx="14">
                  <c:v>45473</c:v>
                </c:pt>
                <c:pt idx="15">
                  <c:v>45504</c:v>
                </c:pt>
                <c:pt idx="16">
                  <c:v>45535</c:v>
                </c:pt>
                <c:pt idx="17">
                  <c:v>45565</c:v>
                </c:pt>
                <c:pt idx="18">
                  <c:v>45596</c:v>
                </c:pt>
                <c:pt idx="19">
                  <c:v>45626</c:v>
                </c:pt>
                <c:pt idx="20">
                  <c:v>45657</c:v>
                </c:pt>
                <c:pt idx="21">
                  <c:v>45688</c:v>
                </c:pt>
                <c:pt idx="22">
                  <c:v>45716</c:v>
                </c:pt>
                <c:pt idx="23">
                  <c:v>45747</c:v>
                </c:pt>
                <c:pt idx="24">
                  <c:v>45777</c:v>
                </c:pt>
                <c:pt idx="25">
                  <c:v>45808</c:v>
                </c:pt>
                <c:pt idx="26">
                  <c:v>45838</c:v>
                </c:pt>
                <c:pt idx="27">
                  <c:v>45869</c:v>
                </c:pt>
                <c:pt idx="28">
                  <c:v>45900</c:v>
                </c:pt>
                <c:pt idx="29">
                  <c:v>45930</c:v>
                </c:pt>
                <c:pt idx="30">
                  <c:v>45961</c:v>
                </c:pt>
              </c:numCache>
            </c:numRef>
          </c:cat>
          <c:val>
            <c:numRef>
              <c:f>NWC_Metrics!$E$58:$AI$58</c:f>
              <c:numCache>
                <c:formatCode>_(* #,##0_);_(* \(#,##0\);_(* "-"_);_(@_)</c:formatCode>
                <c:ptCount val="31"/>
                <c:pt idx="0">
                  <c:v>47.848415809286124</c:v>
                </c:pt>
                <c:pt idx="1">
                  <c:v>25.113267519475791</c:v>
                </c:pt>
                <c:pt idx="2">
                  <c:v>31.410889364115246</c:v>
                </c:pt>
                <c:pt idx="3">
                  <c:v>38.10265246134005</c:v>
                </c:pt>
                <c:pt idx="4">
                  <c:v>22.840079624143247</c:v>
                </c:pt>
                <c:pt idx="5">
                  <c:v>39.803340466816827</c:v>
                </c:pt>
                <c:pt idx="6">
                  <c:v>33.841551096056762</c:v>
                </c:pt>
                <c:pt idx="7">
                  <c:v>32.462349085667149</c:v>
                </c:pt>
                <c:pt idx="8">
                  <c:v>22.142230773811761</c:v>
                </c:pt>
                <c:pt idx="9">
                  <c:v>48.254177288370627</c:v>
                </c:pt>
                <c:pt idx="10">
                  <c:v>19.5680332536385</c:v>
                </c:pt>
                <c:pt idx="11">
                  <c:v>26.796432599557811</c:v>
                </c:pt>
                <c:pt idx="12">
                  <c:v>38.537202282226495</c:v>
                </c:pt>
                <c:pt idx="13">
                  <c:v>42.289773613621236</c:v>
                </c:pt>
                <c:pt idx="14">
                  <c:v>37.850776091429069</c:v>
                </c:pt>
                <c:pt idx="15">
                  <c:v>34.756871767190553</c:v>
                </c:pt>
                <c:pt idx="16">
                  <c:v>30.083352104233413</c:v>
                </c:pt>
                <c:pt idx="17">
                  <c:v>46.016491829735727</c:v>
                </c:pt>
                <c:pt idx="18">
                  <c:v>39.991266745802946</c:v>
                </c:pt>
                <c:pt idx="19">
                  <c:v>24.315720035817673</c:v>
                </c:pt>
                <c:pt idx="20">
                  <c:v>30.190730704033491</c:v>
                </c:pt>
                <c:pt idx="21">
                  <c:v>31.000939448054478</c:v>
                </c:pt>
                <c:pt idx="22">
                  <c:v>25.215990514017939</c:v>
                </c:pt>
                <c:pt idx="23">
                  <c:v>44.85414652383573</c:v>
                </c:pt>
                <c:pt idx="24">
                  <c:v>47.591678450407279</c:v>
                </c:pt>
                <c:pt idx="25">
                  <c:v>29.19756368111522</c:v>
                </c:pt>
                <c:pt idx="26">
                  <c:v>40.582567650843075</c:v>
                </c:pt>
                <c:pt idx="27">
                  <c:v>46.320334925419417</c:v>
                </c:pt>
                <c:pt idx="28">
                  <c:v>66.421855096942195</c:v>
                </c:pt>
                <c:pt idx="29">
                  <c:v>33.016468384961982</c:v>
                </c:pt>
                <c:pt idx="30">
                  <c:v>56.461083490080064</c:v>
                </c:pt>
              </c:numCache>
            </c:numRef>
          </c:val>
          <c:smooth val="0"/>
          <c:extLst>
            <c:ext xmlns:c16="http://schemas.microsoft.com/office/drawing/2014/chart" uri="{C3380CC4-5D6E-409C-BE32-E72D297353CC}">
              <c16:uniqueId val="{00000001-B7AA-4DD1-B466-4828BEF23628}"/>
            </c:ext>
          </c:extLst>
        </c:ser>
        <c:ser>
          <c:idx val="2"/>
          <c:order val="2"/>
          <c:tx>
            <c:strRef>
              <c:f>NWC_Metrics!$D$59</c:f>
              <c:strCache>
                <c:ptCount val="1"/>
                <c:pt idx="0">
                  <c:v>Average DSO</c:v>
                </c:pt>
              </c:strCache>
            </c:strRef>
          </c:tx>
          <c:spPr>
            <a:ln w="28575" cap="rnd">
              <a:solidFill>
                <a:srgbClr val="E26E17"/>
              </a:solidFill>
              <a:prstDash val="solid"/>
              <a:round/>
            </a:ln>
            <a:effectLst/>
          </c:spPr>
          <c:marker>
            <c:symbol val="none"/>
          </c:marker>
          <c:cat>
            <c:numRef>
              <c:f>NWC_Metrics!$E$56:$AI$56</c:f>
              <c:numCache>
                <c:formatCode>mmmyy</c:formatCode>
                <c:ptCount val="31"/>
                <c:pt idx="0">
                  <c:v>45046</c:v>
                </c:pt>
                <c:pt idx="1">
                  <c:v>45077</c:v>
                </c:pt>
                <c:pt idx="2">
                  <c:v>45107</c:v>
                </c:pt>
                <c:pt idx="3">
                  <c:v>45138</c:v>
                </c:pt>
                <c:pt idx="4">
                  <c:v>45169</c:v>
                </c:pt>
                <c:pt idx="5">
                  <c:v>45199</c:v>
                </c:pt>
                <c:pt idx="6">
                  <c:v>45230</c:v>
                </c:pt>
                <c:pt idx="7">
                  <c:v>45260</c:v>
                </c:pt>
                <c:pt idx="8">
                  <c:v>45291</c:v>
                </c:pt>
                <c:pt idx="9">
                  <c:v>45322</c:v>
                </c:pt>
                <c:pt idx="10">
                  <c:v>45351</c:v>
                </c:pt>
                <c:pt idx="11">
                  <c:v>45382</c:v>
                </c:pt>
                <c:pt idx="12">
                  <c:v>45412</c:v>
                </c:pt>
                <c:pt idx="13">
                  <c:v>45443</c:v>
                </c:pt>
                <c:pt idx="14">
                  <c:v>45473</c:v>
                </c:pt>
                <c:pt idx="15">
                  <c:v>45504</c:v>
                </c:pt>
                <c:pt idx="16">
                  <c:v>45535</c:v>
                </c:pt>
                <c:pt idx="17">
                  <c:v>45565</c:v>
                </c:pt>
                <c:pt idx="18">
                  <c:v>45596</c:v>
                </c:pt>
                <c:pt idx="19">
                  <c:v>45626</c:v>
                </c:pt>
                <c:pt idx="20">
                  <c:v>45657</c:v>
                </c:pt>
                <c:pt idx="21">
                  <c:v>45688</c:v>
                </c:pt>
                <c:pt idx="22">
                  <c:v>45716</c:v>
                </c:pt>
                <c:pt idx="23">
                  <c:v>45747</c:v>
                </c:pt>
                <c:pt idx="24">
                  <c:v>45777</c:v>
                </c:pt>
                <c:pt idx="25">
                  <c:v>45808</c:v>
                </c:pt>
                <c:pt idx="26">
                  <c:v>45838</c:v>
                </c:pt>
                <c:pt idx="27">
                  <c:v>45869</c:v>
                </c:pt>
                <c:pt idx="28">
                  <c:v>45900</c:v>
                </c:pt>
                <c:pt idx="29">
                  <c:v>45930</c:v>
                </c:pt>
                <c:pt idx="30">
                  <c:v>45961</c:v>
                </c:pt>
              </c:numCache>
            </c:numRef>
          </c:cat>
          <c:val>
            <c:numRef>
              <c:f>NWC_Metrics!$E$59:$AI$59</c:f>
              <c:numCache>
                <c:formatCode>_(* #,##0_);_(* \(#,##0\);_(* "-"_);_(@_)</c:formatCode>
                <c:ptCount val="31"/>
                <c:pt idx="0">
                  <c:v>36.544459118775734</c:v>
                </c:pt>
                <c:pt idx="1">
                  <c:v>36.544459118775734</c:v>
                </c:pt>
                <c:pt idx="2">
                  <c:v>36.544459118775734</c:v>
                </c:pt>
                <c:pt idx="3">
                  <c:v>36.544459118775734</c:v>
                </c:pt>
                <c:pt idx="4">
                  <c:v>36.544459118775734</c:v>
                </c:pt>
                <c:pt idx="5">
                  <c:v>36.544459118775734</c:v>
                </c:pt>
                <c:pt idx="6">
                  <c:v>36.544459118775734</c:v>
                </c:pt>
                <c:pt idx="7">
                  <c:v>36.544459118775734</c:v>
                </c:pt>
                <c:pt idx="8">
                  <c:v>36.544459118775734</c:v>
                </c:pt>
                <c:pt idx="9">
                  <c:v>36.544459118775734</c:v>
                </c:pt>
                <c:pt idx="10">
                  <c:v>36.544459118775734</c:v>
                </c:pt>
                <c:pt idx="11">
                  <c:v>36.544459118775734</c:v>
                </c:pt>
                <c:pt idx="12">
                  <c:v>36.544459118775734</c:v>
                </c:pt>
                <c:pt idx="13">
                  <c:v>36.544459118775734</c:v>
                </c:pt>
                <c:pt idx="14">
                  <c:v>36.544459118775734</c:v>
                </c:pt>
                <c:pt idx="15">
                  <c:v>36.544459118775734</c:v>
                </c:pt>
                <c:pt idx="16">
                  <c:v>36.544459118775734</c:v>
                </c:pt>
                <c:pt idx="17">
                  <c:v>36.544459118775734</c:v>
                </c:pt>
                <c:pt idx="18">
                  <c:v>36.544459118775734</c:v>
                </c:pt>
                <c:pt idx="19">
                  <c:v>36.544459118775734</c:v>
                </c:pt>
                <c:pt idx="20">
                  <c:v>36.544459118775734</c:v>
                </c:pt>
                <c:pt idx="21">
                  <c:v>36.544459118775734</c:v>
                </c:pt>
                <c:pt idx="22">
                  <c:v>36.544459118775734</c:v>
                </c:pt>
                <c:pt idx="23">
                  <c:v>36.544459118775734</c:v>
                </c:pt>
                <c:pt idx="24">
                  <c:v>36.544459118775734</c:v>
                </c:pt>
                <c:pt idx="25">
                  <c:v>36.544459118775734</c:v>
                </c:pt>
                <c:pt idx="26">
                  <c:v>36.544459118775734</c:v>
                </c:pt>
                <c:pt idx="27">
                  <c:v>36.544459118775734</c:v>
                </c:pt>
                <c:pt idx="28">
                  <c:v>36.544459118775734</c:v>
                </c:pt>
                <c:pt idx="29">
                  <c:v>36.544459118775734</c:v>
                </c:pt>
                <c:pt idx="30">
                  <c:v>36.544459118775734</c:v>
                </c:pt>
              </c:numCache>
            </c:numRef>
          </c:val>
          <c:smooth val="0"/>
          <c:extLst>
            <c:ext xmlns:c16="http://schemas.microsoft.com/office/drawing/2014/chart" uri="{C3380CC4-5D6E-409C-BE32-E72D297353CC}">
              <c16:uniqueId val="{00000002-B7AA-4DD1-B466-4828BEF23628}"/>
            </c:ext>
          </c:extLst>
        </c:ser>
        <c:dLbls>
          <c:showLegendKey val="0"/>
          <c:showVal val="0"/>
          <c:showCatName val="0"/>
          <c:showSerName val="0"/>
          <c:showPercent val="0"/>
          <c:showBubbleSize val="0"/>
        </c:dLbls>
        <c:marker val="1"/>
        <c:smooth val="0"/>
        <c:axId val="2146551295"/>
        <c:axId val="90942960"/>
      </c:lineChart>
      <c:dateAx>
        <c:axId val="2146548415"/>
        <c:scaling>
          <c:orientation val="minMax"/>
        </c:scaling>
        <c:delete val="0"/>
        <c:axPos val="b"/>
        <c:numFmt formatCode="mmmyy" sourceLinked="1"/>
        <c:majorTickMark val="out"/>
        <c:minorTickMark val="none"/>
        <c:tickLblPos val="nextTo"/>
        <c:spPr>
          <a:noFill/>
          <a:ln w="9525" cap="flat" cmpd="sng" algn="ctr">
            <a:solidFill>
              <a:srgbClr val="000000"/>
            </a:solidFill>
            <a:prstDash val="solid"/>
            <a:roun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900" b="0" i="0" u="none" strike="noStrike" kern="1200" baseline="0">
                <a:solidFill>
                  <a:srgbClr val="000000"/>
                </a:solidFill>
                <a:latin typeface="Arial"/>
                <a:ea typeface="Arial"/>
                <a:cs typeface="Arial"/>
              </a:defRPr>
            </a:pPr>
            <a:endParaRPr lang="en-US"/>
          </a:p>
        </c:txPr>
        <c:crossAx val="90942464"/>
        <c:crosses val="autoZero"/>
        <c:auto val="1"/>
        <c:lblOffset val="100"/>
        <c:baseTimeUnit val="months"/>
      </c:dateAx>
      <c:valAx>
        <c:axId val="90942464"/>
        <c:scaling>
          <c:orientation val="minMax"/>
        </c:scaling>
        <c:delete val="0"/>
        <c:axPos val="l"/>
        <c:majorGridlines>
          <c:spPr>
            <a:ln w="9525" cap="flat" cmpd="sng" algn="ctr">
              <a:noFill/>
              <a:prstDash val="solid"/>
              <a:round/>
            </a:ln>
            <a:effectLst/>
          </c:spPr>
        </c:majorGridlines>
        <c:numFmt formatCode="_(&quot;$&quot;* #,##0_);_(&quot;$&quot;* \(#,##0\);_(&quot;$&quot;* &quot;-&quot;_);_(@_)" sourceLinked="1"/>
        <c:majorTickMark val="out"/>
        <c:minorTickMark val="none"/>
        <c:tickLblPos val="nextTo"/>
        <c:spPr>
          <a:noFill/>
          <a:ln>
            <a:noFill/>
          </a:ln>
          <a:effectLst/>
          <a:extLs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sz="900" b="0" i="0" u="none" strike="noStrike" kern="1200" baseline="0">
                <a:solidFill>
                  <a:sysClr val="windowText" lastClr="000000"/>
                </a:solidFill>
                <a:latin typeface="Arial"/>
                <a:ea typeface="Arial"/>
                <a:cs typeface="Arial"/>
              </a:defRPr>
            </a:pPr>
            <a:endParaRPr lang="en-US"/>
          </a:p>
        </c:txPr>
        <c:crossAx val="2146548415"/>
        <c:crosses val="autoZero"/>
        <c:crossBetween val="between"/>
      </c:valAx>
      <c:valAx>
        <c:axId val="90942960"/>
        <c:scaling>
          <c:orientation val="minMax"/>
        </c:scaling>
        <c:delete val="0"/>
        <c:axPos val="r"/>
        <c:numFmt formatCode="General\ &quot;Days&quot;" sourceLinked="0"/>
        <c:majorTickMark val="out"/>
        <c:minorTickMark val="none"/>
        <c:tickLblPos val="nextTo"/>
        <c:spPr>
          <a:noFill/>
          <a:ln>
            <a:noFill/>
          </a:ln>
          <a:effectLst/>
          <a:extLs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sz="900" b="0" i="0" u="none" strike="noStrike" kern="1200" baseline="0">
                <a:solidFill>
                  <a:sysClr val="windowText" lastClr="000000"/>
                </a:solidFill>
                <a:latin typeface="Arial"/>
                <a:ea typeface="Arial"/>
                <a:cs typeface="Arial"/>
              </a:defRPr>
            </a:pPr>
            <a:endParaRPr lang="en-US"/>
          </a:p>
        </c:txPr>
        <c:crossAx val="2146551295"/>
        <c:crosses val="max"/>
        <c:crossBetween val="between"/>
      </c:valAx>
      <c:dateAx>
        <c:axId val="2146551295"/>
        <c:scaling>
          <c:orientation val="minMax"/>
        </c:scaling>
        <c:delete val="1"/>
        <c:axPos val="b"/>
        <c:numFmt formatCode="mmmyy" sourceLinked="1"/>
        <c:majorTickMark val="out"/>
        <c:minorTickMark val="none"/>
        <c:tickLblPos val="nextTo"/>
        <c:crossAx val="90942960"/>
        <c:crosses val="autoZero"/>
        <c:auto val="1"/>
        <c:lblOffset val="100"/>
        <c:baseTimeUnit val="months"/>
      </c:dateAx>
      <c:spPr>
        <a:noFill/>
        <a:ln w="25400">
          <a:noFill/>
        </a:ln>
        <a:effectLst/>
      </c:spPr>
    </c:plotArea>
    <c:legend>
      <c:legendPos val="b"/>
      <c:overlay val="0"/>
      <c:spPr>
        <a:noFill/>
        <a:ln>
          <a:noFill/>
        </a:ln>
        <a:effectLst/>
        <a:extLst>
          <a:ext uri="{909E8E84-426E-40DD-AFC4-6F175D3DCCD1}">
            <a14:hiddenFill xmlns:a14="http://schemas.microsoft.com/office/drawing/2010/main">
              <a:solidFill>
                <a:srgbClr val="FFFFFF">
                  <a:alpha val="0"/>
                </a:srgbClr>
              </a:solidFill>
            </a14:hiddenFill>
          </a:ext>
        </a:extLst>
      </c:spPr>
      <c:txPr>
        <a:bodyPr rot="0" spcFirstLastPara="1" vertOverflow="ellipsis" vert="horz" wrap="square" anchor="ctr" anchorCtr="1"/>
        <a:lstStyle/>
        <a:p>
          <a:pPr>
            <a:defRPr sz="900" b="0" i="0" u="none" strike="noStrike" kern="1200" baseline="0">
              <a:solidFill>
                <a:srgbClr val="000000"/>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c:spPr>
  <c:txPr>
    <a:bodyPr/>
    <a:lstStyle/>
    <a:p>
      <a:pPr>
        <a:defRPr sz="900">
          <a:latin typeface="Arial"/>
          <a:ea typeface="Arial"/>
          <a:cs typeface="Arial"/>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000000"/>
                </a:solidFill>
                <a:latin typeface="Arial" panose="020B0604020202020204" pitchFamily="34" charset="0"/>
                <a:ea typeface="Arial"/>
                <a:cs typeface="Arial"/>
              </a:defRPr>
            </a:pPr>
            <a:r>
              <a:rPr lang="en-US" sz="1000" b="1" i="0" u="none">
                <a:solidFill>
                  <a:srgbClr val="000000"/>
                </a:solidFill>
                <a:latin typeface="Arial" panose="020B0604020202020204" pitchFamily="34" charset="0"/>
              </a:rPr>
              <a:t>DPO Trends, reported</a:t>
            </a:r>
          </a:p>
        </c:rich>
      </c:tx>
      <c:overlay val="0"/>
      <c:spPr>
        <a:noFill/>
        <a:ln>
          <a:noFill/>
        </a:ln>
        <a:effectLst/>
        <a:extLst>
          <a:ext uri="{909E8E84-426E-40DD-AFC4-6F175D3DCCD1}">
            <a14:hiddenFill xmlns:a14="http://schemas.microsoft.com/office/drawing/2010/main">
              <a:solidFill>
                <a:srgbClr val="FFFFFF">
                  <a:alpha val="0"/>
                </a:srgbClr>
              </a:solidFill>
            </a14:hiddenFill>
          </a:ext>
        </a:extLst>
      </c:spPr>
      <c:txPr>
        <a:bodyPr rot="0" spcFirstLastPara="1" vertOverflow="ellipsis" vert="horz" wrap="square" anchor="ctr" anchorCtr="1"/>
        <a:lstStyle/>
        <a:p>
          <a:pPr>
            <a:defRPr sz="1000" b="1" i="0" u="none" strike="noStrike" kern="1200" spc="0" baseline="0">
              <a:solidFill>
                <a:srgbClr val="000000"/>
              </a:solidFill>
              <a:latin typeface="Arial" panose="020B0604020202020204" pitchFamily="34" charset="0"/>
              <a:ea typeface="Arial"/>
              <a:cs typeface="Arial"/>
            </a:defRPr>
          </a:pPr>
          <a:endParaRPr lang="en-US"/>
        </a:p>
      </c:txPr>
    </c:title>
    <c:autoTitleDeleted val="0"/>
    <c:plotArea>
      <c:layout/>
      <c:barChart>
        <c:barDir val="col"/>
        <c:grouping val="clustered"/>
        <c:varyColors val="0"/>
        <c:ser>
          <c:idx val="0"/>
          <c:order val="0"/>
          <c:tx>
            <c:strRef>
              <c:f>NWC_Metrics!$D$83</c:f>
              <c:strCache>
                <c:ptCount val="1"/>
                <c:pt idx="0">
                  <c:v>AP</c:v>
                </c:pt>
              </c:strCache>
            </c:strRef>
          </c:tx>
          <c:spPr>
            <a:solidFill>
              <a:srgbClr val="0A2463"/>
            </a:solidFill>
            <a:ln>
              <a:noFill/>
            </a:ln>
            <a:effectLst/>
          </c:spPr>
          <c:invertIfNegative val="0"/>
          <c:cat>
            <c:numRef>
              <c:f>NWC_Metrics!$E$56:$AI$56</c:f>
              <c:numCache>
                <c:formatCode>mmmyy</c:formatCode>
                <c:ptCount val="31"/>
                <c:pt idx="0">
                  <c:v>45046</c:v>
                </c:pt>
                <c:pt idx="1">
                  <c:v>45077</c:v>
                </c:pt>
                <c:pt idx="2">
                  <c:v>45107</c:v>
                </c:pt>
                <c:pt idx="3">
                  <c:v>45138</c:v>
                </c:pt>
                <c:pt idx="4">
                  <c:v>45169</c:v>
                </c:pt>
                <c:pt idx="5">
                  <c:v>45199</c:v>
                </c:pt>
                <c:pt idx="6">
                  <c:v>45230</c:v>
                </c:pt>
                <c:pt idx="7">
                  <c:v>45260</c:v>
                </c:pt>
                <c:pt idx="8">
                  <c:v>45291</c:v>
                </c:pt>
                <c:pt idx="9">
                  <c:v>45322</c:v>
                </c:pt>
                <c:pt idx="10">
                  <c:v>45351</c:v>
                </c:pt>
                <c:pt idx="11">
                  <c:v>45382</c:v>
                </c:pt>
                <c:pt idx="12">
                  <c:v>45412</c:v>
                </c:pt>
                <c:pt idx="13">
                  <c:v>45443</c:v>
                </c:pt>
                <c:pt idx="14">
                  <c:v>45473</c:v>
                </c:pt>
                <c:pt idx="15">
                  <c:v>45504</c:v>
                </c:pt>
                <c:pt idx="16">
                  <c:v>45535</c:v>
                </c:pt>
                <c:pt idx="17">
                  <c:v>45565</c:v>
                </c:pt>
                <c:pt idx="18">
                  <c:v>45596</c:v>
                </c:pt>
                <c:pt idx="19">
                  <c:v>45626</c:v>
                </c:pt>
                <c:pt idx="20">
                  <c:v>45657</c:v>
                </c:pt>
                <c:pt idx="21">
                  <c:v>45688</c:v>
                </c:pt>
                <c:pt idx="22">
                  <c:v>45716</c:v>
                </c:pt>
                <c:pt idx="23">
                  <c:v>45747</c:v>
                </c:pt>
                <c:pt idx="24">
                  <c:v>45777</c:v>
                </c:pt>
                <c:pt idx="25">
                  <c:v>45808</c:v>
                </c:pt>
                <c:pt idx="26">
                  <c:v>45838</c:v>
                </c:pt>
                <c:pt idx="27">
                  <c:v>45869</c:v>
                </c:pt>
                <c:pt idx="28">
                  <c:v>45900</c:v>
                </c:pt>
                <c:pt idx="29">
                  <c:v>45930</c:v>
                </c:pt>
                <c:pt idx="30">
                  <c:v>45961</c:v>
                </c:pt>
              </c:numCache>
            </c:numRef>
          </c:cat>
          <c:val>
            <c:numRef>
              <c:f>NWC_Metrics!$E$83:$AI$83</c:f>
              <c:numCache>
                <c:formatCode>_(* #,##0_);_(* \(#,##0\);_(* "-"_);_(@_)</c:formatCode>
                <c:ptCount val="31"/>
                <c:pt idx="0">
                  <c:v>102.97868</c:v>
                </c:pt>
                <c:pt idx="1">
                  <c:v>125.28341999999999</c:v>
                </c:pt>
                <c:pt idx="2">
                  <c:v>176.99108999999999</c:v>
                </c:pt>
                <c:pt idx="3">
                  <c:v>66.261679999999998</c:v>
                </c:pt>
                <c:pt idx="4">
                  <c:v>116.23258</c:v>
                </c:pt>
                <c:pt idx="5">
                  <c:v>121.51022999999999</c:v>
                </c:pt>
                <c:pt idx="6">
                  <c:v>187.83073000000002</c:v>
                </c:pt>
                <c:pt idx="7">
                  <c:v>127.91239999999999</c:v>
                </c:pt>
                <c:pt idx="8">
                  <c:v>-70.614460000000008</c:v>
                </c:pt>
                <c:pt idx="9">
                  <c:v>-35.702379999999998</c:v>
                </c:pt>
                <c:pt idx="10">
                  <c:v>175.42123999999998</c:v>
                </c:pt>
                <c:pt idx="11">
                  <c:v>0</c:v>
                </c:pt>
                <c:pt idx="12">
                  <c:v>57.586829999999999</c:v>
                </c:pt>
                <c:pt idx="13">
                  <c:v>5.61409</c:v>
                </c:pt>
                <c:pt idx="14">
                  <c:v>95.67886</c:v>
                </c:pt>
                <c:pt idx="15">
                  <c:v>10.043340000000001</c:v>
                </c:pt>
                <c:pt idx="16">
                  <c:v>131.57436999999999</c:v>
                </c:pt>
                <c:pt idx="17">
                  <c:v>51.048589999999997</c:v>
                </c:pt>
                <c:pt idx="18">
                  <c:v>118.19169000000001</c:v>
                </c:pt>
                <c:pt idx="19">
                  <c:v>169.12200000000001</c:v>
                </c:pt>
                <c:pt idx="20">
                  <c:v>118.87128999999999</c:v>
                </c:pt>
                <c:pt idx="21">
                  <c:v>222.63320000000002</c:v>
                </c:pt>
                <c:pt idx="22">
                  <c:v>96.150399999999991</c:v>
                </c:pt>
                <c:pt idx="23">
                  <c:v>66.373259999999988</c:v>
                </c:pt>
                <c:pt idx="24">
                  <c:v>111.65541999999999</c:v>
                </c:pt>
                <c:pt idx="25">
                  <c:v>144.52427</c:v>
                </c:pt>
                <c:pt idx="26">
                  <c:v>237.55035999999998</c:v>
                </c:pt>
                <c:pt idx="27">
                  <c:v>57.762129999999999</c:v>
                </c:pt>
                <c:pt idx="28">
                  <c:v>154.90525</c:v>
                </c:pt>
                <c:pt idx="29">
                  <c:v>105.925</c:v>
                </c:pt>
                <c:pt idx="30">
                  <c:v>95.755990000000011</c:v>
                </c:pt>
              </c:numCache>
            </c:numRef>
          </c:val>
          <c:extLst>
            <c:ext xmlns:c16="http://schemas.microsoft.com/office/drawing/2014/chart" uri="{C3380CC4-5D6E-409C-BE32-E72D297353CC}">
              <c16:uniqueId val="{00000000-0603-43A8-92D8-2D6E67ACB1B8}"/>
            </c:ext>
          </c:extLst>
        </c:ser>
        <c:dLbls>
          <c:showLegendKey val="0"/>
          <c:showVal val="0"/>
          <c:showCatName val="0"/>
          <c:showSerName val="0"/>
          <c:showPercent val="0"/>
          <c:showBubbleSize val="0"/>
        </c:dLbls>
        <c:gapWidth val="219"/>
        <c:overlap val="-27"/>
        <c:axId val="2146548415"/>
        <c:axId val="90942464"/>
      </c:barChart>
      <c:lineChart>
        <c:grouping val="standard"/>
        <c:varyColors val="0"/>
        <c:ser>
          <c:idx val="1"/>
          <c:order val="1"/>
          <c:tx>
            <c:strRef>
              <c:f>NWC_Metrics!$D$84</c:f>
              <c:strCache>
                <c:ptCount val="1"/>
                <c:pt idx="0">
                  <c:v>DPO</c:v>
                </c:pt>
              </c:strCache>
            </c:strRef>
          </c:tx>
          <c:spPr>
            <a:ln w="28575" cap="rnd">
              <a:solidFill>
                <a:srgbClr val="2C78C9"/>
              </a:solidFill>
              <a:prstDash val="solid"/>
              <a:round/>
            </a:ln>
            <a:effectLst/>
          </c:spPr>
          <c:marker>
            <c:symbol val="none"/>
          </c:marker>
          <c:cat>
            <c:numRef>
              <c:f>NWC_Metrics!$E$56:$AI$56</c:f>
              <c:numCache>
                <c:formatCode>mmmyy</c:formatCode>
                <c:ptCount val="31"/>
                <c:pt idx="0">
                  <c:v>45046</c:v>
                </c:pt>
                <c:pt idx="1">
                  <c:v>45077</c:v>
                </c:pt>
                <c:pt idx="2">
                  <c:v>45107</c:v>
                </c:pt>
                <c:pt idx="3">
                  <c:v>45138</c:v>
                </c:pt>
                <c:pt idx="4">
                  <c:v>45169</c:v>
                </c:pt>
                <c:pt idx="5">
                  <c:v>45199</c:v>
                </c:pt>
                <c:pt idx="6">
                  <c:v>45230</c:v>
                </c:pt>
                <c:pt idx="7">
                  <c:v>45260</c:v>
                </c:pt>
                <c:pt idx="8">
                  <c:v>45291</c:v>
                </c:pt>
                <c:pt idx="9">
                  <c:v>45322</c:v>
                </c:pt>
                <c:pt idx="10">
                  <c:v>45351</c:v>
                </c:pt>
                <c:pt idx="11">
                  <c:v>45382</c:v>
                </c:pt>
                <c:pt idx="12">
                  <c:v>45412</c:v>
                </c:pt>
                <c:pt idx="13">
                  <c:v>45443</c:v>
                </c:pt>
                <c:pt idx="14">
                  <c:v>45473</c:v>
                </c:pt>
                <c:pt idx="15">
                  <c:v>45504</c:v>
                </c:pt>
                <c:pt idx="16">
                  <c:v>45535</c:v>
                </c:pt>
                <c:pt idx="17">
                  <c:v>45565</c:v>
                </c:pt>
                <c:pt idx="18">
                  <c:v>45596</c:v>
                </c:pt>
                <c:pt idx="19">
                  <c:v>45626</c:v>
                </c:pt>
                <c:pt idx="20">
                  <c:v>45657</c:v>
                </c:pt>
                <c:pt idx="21">
                  <c:v>45688</c:v>
                </c:pt>
                <c:pt idx="22">
                  <c:v>45716</c:v>
                </c:pt>
                <c:pt idx="23">
                  <c:v>45747</c:v>
                </c:pt>
                <c:pt idx="24">
                  <c:v>45777</c:v>
                </c:pt>
                <c:pt idx="25">
                  <c:v>45808</c:v>
                </c:pt>
                <c:pt idx="26">
                  <c:v>45838</c:v>
                </c:pt>
                <c:pt idx="27">
                  <c:v>45869</c:v>
                </c:pt>
                <c:pt idx="28">
                  <c:v>45900</c:v>
                </c:pt>
                <c:pt idx="29">
                  <c:v>45930</c:v>
                </c:pt>
                <c:pt idx="30">
                  <c:v>45961</c:v>
                </c:pt>
              </c:numCache>
            </c:numRef>
          </c:cat>
          <c:val>
            <c:numRef>
              <c:f>NWC_Metrics!$E$84:$AI$84</c:f>
              <c:numCache>
                <c:formatCode>_(* #,##0_);_(* \(#,##0\);_(* "-"_);_(@_)</c:formatCode>
                <c:ptCount val="31"/>
                <c:pt idx="0">
                  <c:v>15.731246792610364</c:v>
                </c:pt>
                <c:pt idx="1">
                  <c:v>16.349467225952527</c:v>
                </c:pt>
                <c:pt idx="2">
                  <c:v>18.751136513803893</c:v>
                </c:pt>
                <c:pt idx="3">
                  <c:v>10.793710500209688</c:v>
                </c:pt>
                <c:pt idx="4">
                  <c:v>14.671002618883982</c:v>
                </c:pt>
                <c:pt idx="5">
                  <c:v>14.45842582773766</c:v>
                </c:pt>
                <c:pt idx="6">
                  <c:v>18.625684166309135</c:v>
                </c:pt>
                <c:pt idx="7">
                  <c:v>11.76405271783514</c:v>
                </c:pt>
                <c:pt idx="8">
                  <c:v>-11.228207281575532</c:v>
                </c:pt>
                <c:pt idx="9">
                  <c:v>-5.4515308855406071</c:v>
                </c:pt>
                <c:pt idx="10">
                  <c:v>13.230875927949064</c:v>
                </c:pt>
                <c:pt idx="11">
                  <c:v>0</c:v>
                </c:pt>
                <c:pt idx="12">
                  <c:v>7.617657553135615</c:v>
                </c:pt>
                <c:pt idx="13">
                  <c:v>1.0255573197174397</c:v>
                </c:pt>
                <c:pt idx="14">
                  <c:v>12.674498537982</c:v>
                </c:pt>
                <c:pt idx="15">
                  <c:v>1.6081291050497075</c:v>
                </c:pt>
                <c:pt idx="16">
                  <c:v>18.080884632292666</c:v>
                </c:pt>
                <c:pt idx="17">
                  <c:v>8.6229463983072279</c:v>
                </c:pt>
                <c:pt idx="18">
                  <c:v>15.027227599020179</c:v>
                </c:pt>
                <c:pt idx="19">
                  <c:v>21.651519971131648</c:v>
                </c:pt>
                <c:pt idx="20">
                  <c:v>16.00104173663938</c:v>
                </c:pt>
                <c:pt idx="21">
                  <c:v>22.454154235207241</c:v>
                </c:pt>
                <c:pt idx="22">
                  <c:v>16.672404529484925</c:v>
                </c:pt>
                <c:pt idx="23">
                  <c:v>5.4953531483092908</c:v>
                </c:pt>
                <c:pt idx="24">
                  <c:v>14.93239091391515</c:v>
                </c:pt>
                <c:pt idx="25">
                  <c:v>21.673571680816579</c:v>
                </c:pt>
                <c:pt idx="26">
                  <c:v>24.662943911120642</c:v>
                </c:pt>
                <c:pt idx="27">
                  <c:v>10.745057621379097</c:v>
                </c:pt>
                <c:pt idx="28">
                  <c:v>20.376094638551805</c:v>
                </c:pt>
                <c:pt idx="29">
                  <c:v>12.975141706798995</c:v>
                </c:pt>
                <c:pt idx="30">
                  <c:v>12.46061321985318</c:v>
                </c:pt>
              </c:numCache>
            </c:numRef>
          </c:val>
          <c:smooth val="0"/>
          <c:extLst>
            <c:ext xmlns:c16="http://schemas.microsoft.com/office/drawing/2014/chart" uri="{C3380CC4-5D6E-409C-BE32-E72D297353CC}">
              <c16:uniqueId val="{00000001-0603-43A8-92D8-2D6E67ACB1B8}"/>
            </c:ext>
          </c:extLst>
        </c:ser>
        <c:ser>
          <c:idx val="2"/>
          <c:order val="2"/>
          <c:tx>
            <c:strRef>
              <c:f>NWC_Metrics!$D$85</c:f>
              <c:strCache>
                <c:ptCount val="1"/>
                <c:pt idx="0">
                  <c:v>Average DPO</c:v>
                </c:pt>
              </c:strCache>
            </c:strRef>
          </c:tx>
          <c:spPr>
            <a:ln w="28575" cap="rnd">
              <a:solidFill>
                <a:srgbClr val="E26E17"/>
              </a:solidFill>
              <a:prstDash val="solid"/>
              <a:round/>
            </a:ln>
            <a:effectLst/>
          </c:spPr>
          <c:marker>
            <c:symbol val="none"/>
          </c:marker>
          <c:cat>
            <c:numRef>
              <c:f>NWC_Metrics!$E$56:$AI$56</c:f>
              <c:numCache>
                <c:formatCode>mmmyy</c:formatCode>
                <c:ptCount val="31"/>
                <c:pt idx="0">
                  <c:v>45046</c:v>
                </c:pt>
                <c:pt idx="1">
                  <c:v>45077</c:v>
                </c:pt>
                <c:pt idx="2">
                  <c:v>45107</c:v>
                </c:pt>
                <c:pt idx="3">
                  <c:v>45138</c:v>
                </c:pt>
                <c:pt idx="4">
                  <c:v>45169</c:v>
                </c:pt>
                <c:pt idx="5">
                  <c:v>45199</c:v>
                </c:pt>
                <c:pt idx="6">
                  <c:v>45230</c:v>
                </c:pt>
                <c:pt idx="7">
                  <c:v>45260</c:v>
                </c:pt>
                <c:pt idx="8">
                  <c:v>45291</c:v>
                </c:pt>
                <c:pt idx="9">
                  <c:v>45322</c:v>
                </c:pt>
                <c:pt idx="10">
                  <c:v>45351</c:v>
                </c:pt>
                <c:pt idx="11">
                  <c:v>45382</c:v>
                </c:pt>
                <c:pt idx="12">
                  <c:v>45412</c:v>
                </c:pt>
                <c:pt idx="13">
                  <c:v>45443</c:v>
                </c:pt>
                <c:pt idx="14">
                  <c:v>45473</c:v>
                </c:pt>
                <c:pt idx="15">
                  <c:v>45504</c:v>
                </c:pt>
                <c:pt idx="16">
                  <c:v>45535</c:v>
                </c:pt>
                <c:pt idx="17">
                  <c:v>45565</c:v>
                </c:pt>
                <c:pt idx="18">
                  <c:v>45596</c:v>
                </c:pt>
                <c:pt idx="19">
                  <c:v>45626</c:v>
                </c:pt>
                <c:pt idx="20">
                  <c:v>45657</c:v>
                </c:pt>
                <c:pt idx="21">
                  <c:v>45688</c:v>
                </c:pt>
                <c:pt idx="22">
                  <c:v>45716</c:v>
                </c:pt>
                <c:pt idx="23">
                  <c:v>45747</c:v>
                </c:pt>
                <c:pt idx="24">
                  <c:v>45777</c:v>
                </c:pt>
                <c:pt idx="25">
                  <c:v>45808</c:v>
                </c:pt>
                <c:pt idx="26">
                  <c:v>45838</c:v>
                </c:pt>
                <c:pt idx="27">
                  <c:v>45869</c:v>
                </c:pt>
                <c:pt idx="28">
                  <c:v>45900</c:v>
                </c:pt>
                <c:pt idx="29">
                  <c:v>45930</c:v>
                </c:pt>
                <c:pt idx="30">
                  <c:v>45961</c:v>
                </c:pt>
              </c:numCache>
            </c:numRef>
          </c:cat>
          <c:val>
            <c:numRef>
              <c:f>NWC_Metrics!$E$85:$AI$85</c:f>
              <c:numCache>
                <c:formatCode>_(* #,##0_);_(* \(#,##0\);_(* "-"_);_(@_)</c:formatCode>
                <c:ptCount val="31"/>
                <c:pt idx="0">
                  <c:v>12.337195244609291</c:v>
                </c:pt>
                <c:pt idx="1">
                  <c:v>12.337195244609291</c:v>
                </c:pt>
                <c:pt idx="2">
                  <c:v>12.337195244609291</c:v>
                </c:pt>
                <c:pt idx="3">
                  <c:v>12.337195244609291</c:v>
                </c:pt>
                <c:pt idx="4">
                  <c:v>12.337195244609291</c:v>
                </c:pt>
                <c:pt idx="5">
                  <c:v>12.337195244609291</c:v>
                </c:pt>
                <c:pt idx="6">
                  <c:v>12.337195244609291</c:v>
                </c:pt>
                <c:pt idx="7">
                  <c:v>12.337195244609291</c:v>
                </c:pt>
                <c:pt idx="8">
                  <c:v>12.337195244609291</c:v>
                </c:pt>
                <c:pt idx="9">
                  <c:v>12.337195244609291</c:v>
                </c:pt>
                <c:pt idx="10">
                  <c:v>12.337195244609291</c:v>
                </c:pt>
                <c:pt idx="11">
                  <c:v>12.337195244609291</c:v>
                </c:pt>
                <c:pt idx="12">
                  <c:v>12.337195244609291</c:v>
                </c:pt>
                <c:pt idx="13">
                  <c:v>12.337195244609291</c:v>
                </c:pt>
                <c:pt idx="14">
                  <c:v>12.337195244609291</c:v>
                </c:pt>
                <c:pt idx="15">
                  <c:v>12.337195244609291</c:v>
                </c:pt>
                <c:pt idx="16">
                  <c:v>12.337195244609291</c:v>
                </c:pt>
                <c:pt idx="17">
                  <c:v>12.337195244609291</c:v>
                </c:pt>
                <c:pt idx="18">
                  <c:v>12.337195244609291</c:v>
                </c:pt>
                <c:pt idx="19">
                  <c:v>12.337195244609291</c:v>
                </c:pt>
                <c:pt idx="20">
                  <c:v>12.337195244609291</c:v>
                </c:pt>
                <c:pt idx="21">
                  <c:v>12.337195244609291</c:v>
                </c:pt>
                <c:pt idx="22">
                  <c:v>12.337195244609291</c:v>
                </c:pt>
                <c:pt idx="23">
                  <c:v>12.337195244609291</c:v>
                </c:pt>
                <c:pt idx="24">
                  <c:v>12.337195244609291</c:v>
                </c:pt>
                <c:pt idx="25">
                  <c:v>12.337195244609291</c:v>
                </c:pt>
                <c:pt idx="26">
                  <c:v>12.337195244609291</c:v>
                </c:pt>
                <c:pt idx="27">
                  <c:v>12.337195244609291</c:v>
                </c:pt>
                <c:pt idx="28">
                  <c:v>12.337195244609291</c:v>
                </c:pt>
                <c:pt idx="29">
                  <c:v>12.337195244609291</c:v>
                </c:pt>
                <c:pt idx="30">
                  <c:v>12.337195244609291</c:v>
                </c:pt>
              </c:numCache>
            </c:numRef>
          </c:val>
          <c:smooth val="0"/>
          <c:extLst>
            <c:ext xmlns:c16="http://schemas.microsoft.com/office/drawing/2014/chart" uri="{C3380CC4-5D6E-409C-BE32-E72D297353CC}">
              <c16:uniqueId val="{00000002-0603-43A8-92D8-2D6E67ACB1B8}"/>
            </c:ext>
          </c:extLst>
        </c:ser>
        <c:dLbls>
          <c:showLegendKey val="0"/>
          <c:showVal val="0"/>
          <c:showCatName val="0"/>
          <c:showSerName val="0"/>
          <c:showPercent val="0"/>
          <c:showBubbleSize val="0"/>
        </c:dLbls>
        <c:marker val="1"/>
        <c:smooth val="0"/>
        <c:axId val="2146551295"/>
        <c:axId val="90942960"/>
      </c:lineChart>
      <c:dateAx>
        <c:axId val="2146548415"/>
        <c:scaling>
          <c:orientation val="minMax"/>
        </c:scaling>
        <c:delete val="0"/>
        <c:axPos val="b"/>
        <c:numFmt formatCode="mmmyy" sourceLinked="1"/>
        <c:majorTickMark val="out"/>
        <c:minorTickMark val="none"/>
        <c:tickLblPos val="nextTo"/>
        <c:spPr>
          <a:noFill/>
          <a:ln w="9525" cap="flat" cmpd="sng" algn="ctr">
            <a:solidFill>
              <a:srgbClr val="000000"/>
            </a:solidFill>
            <a:prstDash val="solid"/>
            <a:roun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900" b="0" i="0" u="none" strike="noStrike" kern="1200" baseline="0">
                <a:solidFill>
                  <a:srgbClr val="000000"/>
                </a:solidFill>
                <a:latin typeface="Arial"/>
                <a:ea typeface="Arial"/>
                <a:cs typeface="Arial"/>
              </a:defRPr>
            </a:pPr>
            <a:endParaRPr lang="en-US"/>
          </a:p>
        </c:txPr>
        <c:crossAx val="90942464"/>
        <c:crosses val="autoZero"/>
        <c:auto val="1"/>
        <c:lblOffset val="100"/>
        <c:baseTimeUnit val="months"/>
      </c:dateAx>
      <c:valAx>
        <c:axId val="90942464"/>
        <c:scaling>
          <c:orientation val="minMax"/>
        </c:scaling>
        <c:delete val="0"/>
        <c:axPos val="l"/>
        <c:majorGridlines>
          <c:spPr>
            <a:ln w="9525" cap="flat" cmpd="sng" algn="ctr">
              <a:noFill/>
              <a:prstDash val="solid"/>
              <a:round/>
            </a:ln>
            <a:effectLst/>
          </c:spPr>
        </c:majorGridlines>
        <c:numFmt formatCode="_(&quot;$&quot;* #,##0_);_(&quot;$&quot;* \(#,##0\);_(&quot;$&quot;* &quot;-&quot;_);_(@_)" sourceLinked="0"/>
        <c:majorTickMark val="out"/>
        <c:minorTickMark val="none"/>
        <c:tickLblPos val="nextTo"/>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sz="900" b="0" i="0" u="none" strike="noStrike" kern="1200" baseline="0">
                <a:solidFill>
                  <a:srgbClr val="000000"/>
                </a:solidFill>
                <a:latin typeface="Arial"/>
                <a:ea typeface="Arial"/>
                <a:cs typeface="Arial"/>
              </a:defRPr>
            </a:pPr>
            <a:endParaRPr lang="en-US"/>
          </a:p>
        </c:txPr>
        <c:crossAx val="2146548415"/>
        <c:crosses val="autoZero"/>
        <c:crossBetween val="between"/>
      </c:valAx>
      <c:valAx>
        <c:axId val="90942960"/>
        <c:scaling>
          <c:orientation val="minMax"/>
        </c:scaling>
        <c:delete val="0"/>
        <c:axPos val="r"/>
        <c:numFmt formatCode="General\ &quot;Days&quot;" sourceLinked="0"/>
        <c:majorTickMark val="out"/>
        <c:minorTickMark val="none"/>
        <c:tickLblPos val="nextTo"/>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sz="900" b="0" i="0" u="none" strike="noStrike" kern="1200" baseline="0">
                <a:solidFill>
                  <a:srgbClr val="000000"/>
                </a:solidFill>
                <a:latin typeface="Arial"/>
                <a:ea typeface="Arial"/>
                <a:cs typeface="Arial"/>
              </a:defRPr>
            </a:pPr>
            <a:endParaRPr lang="en-US"/>
          </a:p>
        </c:txPr>
        <c:crossAx val="2146551295"/>
        <c:crosses val="max"/>
        <c:crossBetween val="between"/>
      </c:valAx>
      <c:dateAx>
        <c:axId val="2146551295"/>
        <c:scaling>
          <c:orientation val="minMax"/>
        </c:scaling>
        <c:delete val="1"/>
        <c:axPos val="b"/>
        <c:numFmt formatCode="mmmyy" sourceLinked="1"/>
        <c:majorTickMark val="out"/>
        <c:minorTickMark val="none"/>
        <c:tickLblPos val="nextTo"/>
        <c:crossAx val="90942960"/>
        <c:crosses val="autoZero"/>
        <c:auto val="1"/>
        <c:lblOffset val="100"/>
        <c:baseTimeUnit val="months"/>
      </c:dateAx>
      <c:spPr>
        <a:noFill/>
        <a:ln w="25400">
          <a:noFill/>
        </a:ln>
        <a:effectLst/>
      </c:spPr>
    </c:plotArea>
    <c:legend>
      <c:legendPos val="b"/>
      <c:overlay val="0"/>
      <c:spPr>
        <a:noFill/>
        <a:ln>
          <a:noFill/>
        </a:ln>
        <a:effectLst/>
        <a:extLst>
          <a:ext uri="{909E8E84-426E-40DD-AFC4-6F175D3DCCD1}">
            <a14:hiddenFill xmlns:a14="http://schemas.microsoft.com/office/drawing/2010/main">
              <a:solidFill>
                <a:srgbClr val="FFFFFF">
                  <a:alpha val="0"/>
                </a:srgbClr>
              </a:solidFill>
            </a14:hiddenFill>
          </a:ext>
        </a:extLst>
      </c:spPr>
      <c:txPr>
        <a:bodyPr rot="0" spcFirstLastPara="1" vertOverflow="ellipsis" vert="horz" wrap="square" anchor="ctr" anchorCtr="1"/>
        <a:lstStyle/>
        <a:p>
          <a:pPr>
            <a:defRPr sz="900" b="0" i="0" u="none" strike="noStrike" kern="1200" baseline="0">
              <a:solidFill>
                <a:srgbClr val="000000"/>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c:spPr>
  <c:txPr>
    <a:bodyPr/>
    <a:lstStyle/>
    <a:p>
      <a:pPr>
        <a:defRPr sz="900">
          <a:latin typeface="Arial"/>
          <a:ea typeface="Arial"/>
          <a:cs typeface="Arial"/>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44</xdr:col>
      <xdr:colOff>371475</xdr:colOff>
      <xdr:row>0</xdr:row>
      <xdr:rowOff>104774</xdr:rowOff>
    </xdr:from>
    <xdr:to>
      <xdr:col>50</xdr:col>
      <xdr:colOff>238125</xdr:colOff>
      <xdr:row>7</xdr:row>
      <xdr:rowOff>38100</xdr:rowOff>
    </xdr:to>
    <xdr:sp macro="" textlink="">
      <xdr:nvSpPr>
        <xdr:cNvPr id="2" name="TextBox 1">
          <a:extLst>
            <a:ext uri="{FF2B5EF4-FFF2-40B4-BE49-F238E27FC236}">
              <a16:creationId xmlns:a16="http://schemas.microsoft.com/office/drawing/2014/main" id="{7CE148ED-05AF-43EB-B3CB-20331852D208}"/>
            </a:ext>
          </a:extLst>
        </xdr:cNvPr>
        <xdr:cNvSpPr txBox="1"/>
      </xdr:nvSpPr>
      <xdr:spPr>
        <a:xfrm>
          <a:off x="22723475" y="104774"/>
          <a:ext cx="2914650" cy="822326"/>
        </a:xfrm>
        <a:prstGeom prst="rect">
          <a:avLst/>
        </a:prstGeom>
        <a:solidFill>
          <a:schemeClr val="bg1">
            <a:lumMod val="85000"/>
          </a:schemeClr>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aseline="0">
              <a:solidFill>
                <a:srgbClr val="FF0000"/>
              </a:solidFill>
            </a:rPr>
            <a:t>1. Add Adjusted EBITDA Bridge at the Bottom</a:t>
          </a:r>
        </a:p>
        <a:p>
          <a:r>
            <a:rPr lang="en-US" sz="800" baseline="0">
              <a:solidFill>
                <a:srgbClr val="FF0000"/>
              </a:solidFill>
            </a:rPr>
            <a:t>2. Make this by going to Upslide -&gt; Charts -&gt; Waterfall</a:t>
          </a:r>
        </a:p>
        <a:p>
          <a:r>
            <a:rPr lang="en-US" sz="800" baseline="0">
              <a:solidFill>
                <a:srgbClr val="FF0000"/>
              </a:solidFill>
            </a:rPr>
            <a:t>3. Ensure Growth % is looking at MoM revenue growth. We should generally point to the same month, prior year as opposed to prior month. (I.e. Jan24 should be compared to Jan23 as opposed to Dec23). Seasonality impacts most businesses and YoY growth drives TTM movement.</a:t>
          </a:r>
        </a:p>
        <a:p>
          <a:endParaRPr lang="en-US" sz="800" baseline="0">
            <a:solidFill>
              <a:srgbClr val="FF0000"/>
            </a:solidFill>
          </a:endParaRPr>
        </a:p>
        <a:p>
          <a:endParaRPr lang="en-US" sz="800" baseline="0">
            <a:solidFill>
              <a:srgbClr val="FF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50</xdr:col>
      <xdr:colOff>190500</xdr:colOff>
      <xdr:row>0</xdr:row>
      <xdr:rowOff>76200</xdr:rowOff>
    </xdr:from>
    <xdr:to>
      <xdr:col>56</xdr:col>
      <xdr:colOff>57150</xdr:colOff>
      <xdr:row>6</xdr:row>
      <xdr:rowOff>85725</xdr:rowOff>
    </xdr:to>
    <xdr:sp macro="" textlink="">
      <xdr:nvSpPr>
        <xdr:cNvPr id="2" name="TextBox 1">
          <a:extLst>
            <a:ext uri="{FF2B5EF4-FFF2-40B4-BE49-F238E27FC236}">
              <a16:creationId xmlns:a16="http://schemas.microsoft.com/office/drawing/2014/main" id="{4B9EF884-6C5D-4AC7-A6D9-E76BE8CB273C}"/>
            </a:ext>
          </a:extLst>
        </xdr:cNvPr>
        <xdr:cNvSpPr txBox="1"/>
      </xdr:nvSpPr>
      <xdr:spPr>
        <a:xfrm>
          <a:off x="25590500" y="76200"/>
          <a:ext cx="2914650" cy="771525"/>
        </a:xfrm>
        <a:prstGeom prst="rect">
          <a:avLst/>
        </a:prstGeom>
        <a:solidFill>
          <a:schemeClr val="bg1">
            <a:lumMod val="85000"/>
          </a:schemeClr>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aseline="0">
              <a:solidFill>
                <a:srgbClr val="FF0000"/>
              </a:solidFill>
            </a:rPr>
            <a:t>1. </a:t>
          </a:r>
          <a:r>
            <a:rPr lang="en-US" sz="800" baseline="0">
              <a:solidFill>
                <a:srgbClr val="FF0000"/>
              </a:solidFill>
              <a:latin typeface="+mn-lt"/>
              <a:ea typeface="+mn-ea"/>
              <a:cs typeface="+mn-cs"/>
            </a:rPr>
            <a:t>Please ensure once all adjustments have been quantified that the adjustments are sorted largest to smallest by |absolute value|.</a:t>
          </a:r>
        </a:p>
        <a:p>
          <a:pPr marL="0" indent="0"/>
          <a:r>
            <a:rPr lang="en-US" sz="800" baseline="0">
              <a:solidFill>
                <a:srgbClr val="FF0000"/>
              </a:solidFill>
              <a:latin typeface="+mn-lt"/>
              <a:ea typeface="+mn-ea"/>
              <a:cs typeface="+mn-cs"/>
            </a:rPr>
            <a:t>2. Once all adjustments have been sorted and signed off on – please ensure the letter corresponds to the right tab and only utilize the letter in the tab name.</a:t>
          </a:r>
        </a:p>
        <a:p>
          <a:endParaRPr lang="en-US" sz="800" baseline="0">
            <a:solidFill>
              <a:srgbClr val="FF0000"/>
            </a:solidFill>
          </a:endParaRPr>
        </a:p>
        <a:p>
          <a:endParaRPr lang="en-US" sz="800" baseline="0">
            <a:solidFill>
              <a:srgbClr val="FF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45</xdr:col>
      <xdr:colOff>504825</xdr:colOff>
      <xdr:row>0</xdr:row>
      <xdr:rowOff>114298</xdr:rowOff>
    </xdr:from>
    <xdr:to>
      <xdr:col>51</xdr:col>
      <xdr:colOff>371475</xdr:colOff>
      <xdr:row>3</xdr:row>
      <xdr:rowOff>114300</xdr:rowOff>
    </xdr:to>
    <xdr:sp macro="" textlink="">
      <xdr:nvSpPr>
        <xdr:cNvPr id="2" name="TextBox 1">
          <a:extLst>
            <a:ext uri="{FF2B5EF4-FFF2-40B4-BE49-F238E27FC236}">
              <a16:creationId xmlns:a16="http://schemas.microsoft.com/office/drawing/2014/main" id="{B6372209-6018-4090-A230-C22A43462A85}"/>
            </a:ext>
          </a:extLst>
        </xdr:cNvPr>
        <xdr:cNvSpPr txBox="1"/>
      </xdr:nvSpPr>
      <xdr:spPr>
        <a:xfrm>
          <a:off x="23364825" y="114298"/>
          <a:ext cx="2914650" cy="381002"/>
        </a:xfrm>
        <a:prstGeom prst="rect">
          <a:avLst/>
        </a:prstGeom>
        <a:solidFill>
          <a:schemeClr val="bg1">
            <a:lumMod val="85000"/>
          </a:schemeClr>
        </a:solidFill>
        <a:ln w="9525" cmpd="sng">
          <a:solidFill>
            <a:srgbClr val="FF0000"/>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aseline="0">
              <a:solidFill>
                <a:srgbClr val="FF0000"/>
              </a:solidFill>
            </a:rPr>
            <a:t>1. Delete the Adjusted NWC TTM24 graph/data on NWC1 when it is copied to create NWC2.</a:t>
          </a:r>
        </a:p>
        <a:p>
          <a:endParaRPr lang="en-US" sz="800" baseline="0">
            <a:solidFill>
              <a:srgbClr val="FF0000"/>
            </a:solidFill>
          </a:endParaRPr>
        </a:p>
        <a:p>
          <a:endParaRPr lang="en-US" sz="800" baseline="0">
            <a:solidFill>
              <a:srgbClr val="FF0000"/>
            </a:solidFill>
          </a:endParaRPr>
        </a:p>
        <a:p>
          <a:endParaRPr lang="en-US" sz="800" baseline="0">
            <a:solidFill>
              <a:srgbClr val="FF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45</xdr:col>
      <xdr:colOff>133350</xdr:colOff>
      <xdr:row>0</xdr:row>
      <xdr:rowOff>19049</xdr:rowOff>
    </xdr:from>
    <xdr:to>
      <xdr:col>51</xdr:col>
      <xdr:colOff>0</xdr:colOff>
      <xdr:row>7</xdr:row>
      <xdr:rowOff>142874</xdr:rowOff>
    </xdr:to>
    <xdr:sp macro="" textlink="">
      <xdr:nvSpPr>
        <xdr:cNvPr id="2" name="TextBox 1">
          <a:extLst>
            <a:ext uri="{FF2B5EF4-FFF2-40B4-BE49-F238E27FC236}">
              <a16:creationId xmlns:a16="http://schemas.microsoft.com/office/drawing/2014/main" id="{590A27E1-3559-4ACD-9F01-ECA97EED1CD9}"/>
            </a:ext>
          </a:extLst>
        </xdr:cNvPr>
        <xdr:cNvSpPr txBox="1"/>
      </xdr:nvSpPr>
      <xdr:spPr>
        <a:xfrm>
          <a:off x="22993350" y="19049"/>
          <a:ext cx="2914650" cy="1000125"/>
        </a:xfrm>
        <a:prstGeom prst="rect">
          <a:avLst/>
        </a:prstGeom>
        <a:solidFill>
          <a:schemeClr val="bg1">
            <a:lumMod val="85000"/>
          </a:schemeClr>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aseline="0">
              <a:solidFill>
                <a:srgbClr val="FF0000"/>
              </a:solidFill>
            </a:rPr>
            <a:t>1. Best practice for making a NWC2 tab is to copy NWC1 and format it to look like this NWC tab does. </a:t>
          </a:r>
        </a:p>
        <a:p>
          <a:r>
            <a:rPr lang="en-US" sz="800" baseline="0">
              <a:solidFill>
                <a:srgbClr val="FF0000"/>
              </a:solidFill>
            </a:rPr>
            <a:t>2. Update formula to pull from the ADJ tab. </a:t>
          </a:r>
        </a:p>
        <a:p>
          <a:r>
            <a:rPr lang="en-US" sz="800" baseline="0">
              <a:solidFill>
                <a:srgbClr val="FF0000"/>
              </a:solidFill>
            </a:rPr>
            <a:t>3. Delete the cash and cash equivalnets  L1, and any debt L1s (curent debt, line of credit, etc.)</a:t>
          </a:r>
        </a:p>
        <a:p>
          <a:r>
            <a:rPr lang="en-US" sz="800" baseline="0">
              <a:solidFill>
                <a:srgbClr val="FF0000"/>
              </a:solidFill>
            </a:rPr>
            <a:t>4. Make sure that the DSO, DIO calcualtions are updated to reflect what is shown on this tab. </a:t>
          </a:r>
        </a:p>
        <a:p>
          <a:r>
            <a:rPr lang="en-US" sz="800" baseline="0">
              <a:solidFill>
                <a:srgbClr val="FF0000"/>
              </a:solidFill>
            </a:rPr>
            <a:t>5. Make the NWC2 metrics adjsuted calculations, rather than reported.</a:t>
          </a:r>
        </a:p>
        <a:p>
          <a:endParaRPr lang="en-US" sz="800" baseline="0">
            <a:solidFill>
              <a:srgbClr val="FF0000"/>
            </a:solidFill>
          </a:endParaRPr>
        </a:p>
      </xdr:txBody>
    </xdr:sp>
    <xdr:clientData/>
  </xdr:twoCellAnchor>
  <xdr:twoCellAnchor>
    <xdr:from>
      <xdr:col>21</xdr:col>
      <xdr:colOff>7937</xdr:colOff>
      <xdr:row>73</xdr:row>
      <xdr:rowOff>0</xdr:rowOff>
    </xdr:from>
    <xdr:to>
      <xdr:col>35</xdr:col>
      <xdr:colOff>100012</xdr:colOff>
      <xdr:row>92</xdr:row>
      <xdr:rowOff>19050</xdr:rowOff>
    </xdr:to>
    <xdr:graphicFrame macro="">
      <xdr:nvGraphicFramePr>
        <xdr:cNvPr id="3" name="Chart 2">
          <a:extLst>
            <a:ext uri="{FF2B5EF4-FFF2-40B4-BE49-F238E27FC236}">
              <a16:creationId xmlns:a16="http://schemas.microsoft.com/office/drawing/2014/main" id="{9141BD9C-D0E4-41F7-86E6-85C1886BC1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0.01111</cdr:x>
      <cdr:y>0.01852</cdr:y>
    </cdr:from>
    <cdr:to>
      <cdr:x>0.01111</cdr:x>
      <cdr:y>0.01852</cdr:y>
    </cdr:to>
    <cdr:sp macro="" textlink="">
      <cdr:nvSpPr>
        <cdr:cNvPr id="2" name="#UpSlide#ChartHasBeenCopiedWithUpSlideActive#" hidden="1">
          <a:extLst xmlns:a="http://schemas.openxmlformats.org/drawingml/2006/main">
            <a:ext uri="{FF2B5EF4-FFF2-40B4-BE49-F238E27FC236}">
              <a16:creationId xmlns:a16="http://schemas.microsoft.com/office/drawing/2014/main" id="{77BA6179-C269-9C40-7C91-D09EBB19B0B6}"/>
            </a:ext>
          </a:extLst>
        </cdr:cNvPr>
        <cdr:cNvSpPr/>
      </cdr:nvSpPr>
      <cdr:spPr>
        <a:xfrm xmlns:a="http://schemas.openxmlformats.org/drawingml/2006/main">
          <a:off x="50800" y="50800"/>
          <a:ext cx="0" cy="0"/>
        </a:xfrm>
        <a:prstGeom xmlns:a="http://schemas.openxmlformats.org/drawingml/2006/main" prst="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0.01111</cdr:x>
      <cdr:y>0.01852</cdr:y>
    </cdr:from>
    <cdr:to>
      <cdr:x>0.01111</cdr:x>
      <cdr:y>0.01852</cdr:y>
    </cdr:to>
    <cdr:sp macro="" textlink="">
      <cdr:nvSpPr>
        <cdr:cNvPr id="3" name="UpSlideExportSave" hidden="1">
          <a:extLst xmlns:a="http://schemas.openxmlformats.org/drawingml/2006/main">
            <a:ext uri="{FF2B5EF4-FFF2-40B4-BE49-F238E27FC236}">
              <a16:creationId xmlns:a16="http://schemas.microsoft.com/office/drawing/2014/main" id="{259AC683-D565-969A-6177-40A7834CC395}"/>
            </a:ext>
          </a:extLst>
        </cdr:cNvPr>
        <cdr:cNvSpPr/>
      </cdr:nvSpPr>
      <cdr:spPr>
        <a:xfrm xmlns:a="http://schemas.openxmlformats.org/drawingml/2006/main">
          <a:off x="50800" y="50800"/>
          <a:ext cx="0" cy="0"/>
        </a:xfrm>
        <a:prstGeom xmlns:a="http://schemas.openxmlformats.org/drawingml/2006/main" prst="rect">
          <a:avLst/>
        </a:prstGeom>
        <a:noFill xmlns:a="http://schemas.openxmlformats.org/drawingml/2006/main"/>
        <a:ln xmlns:a="http://schemas.openxmlformats.org/drawingml/2006/main" w="12700" cap="flat" cmpd="sng" algn="ctr">
          <a:noFill/>
          <a:prstDash val="solid"/>
          <a:miter lim="800000"/>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12700" cap="flat" cmpd="sng" algn="ctr">
              <a:solidFill>
                <a:schemeClr val="accent1">
                  <a:shade val="15000"/>
                </a:schemeClr>
              </a:solidFill>
              <a:prstDash val="solid"/>
              <a:miter lim="800000"/>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6.xml><?xml version="1.0" encoding="utf-8"?>
<xdr:wsDr xmlns:xdr="http://schemas.openxmlformats.org/drawingml/2006/spreadsheetDrawing" xmlns:a="http://schemas.openxmlformats.org/drawingml/2006/main">
  <xdr:twoCellAnchor>
    <xdr:from>
      <xdr:col>11</xdr:col>
      <xdr:colOff>120650</xdr:colOff>
      <xdr:row>24</xdr:row>
      <xdr:rowOff>3175</xdr:rowOff>
    </xdr:from>
    <xdr:to>
      <xdr:col>19</xdr:col>
      <xdr:colOff>114300</xdr:colOff>
      <xdr:row>43</xdr:row>
      <xdr:rowOff>31750</xdr:rowOff>
    </xdr:to>
    <xdr:graphicFrame macro="">
      <xdr:nvGraphicFramePr>
        <xdr:cNvPr id="2" name="Chart 1">
          <a:extLst>
            <a:ext uri="{FF2B5EF4-FFF2-40B4-BE49-F238E27FC236}">
              <a16:creationId xmlns:a16="http://schemas.microsoft.com/office/drawing/2014/main" id="{DB5B90AE-5EFA-4D71-B0CF-35D5CEFD41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76199</xdr:colOff>
      <xdr:row>24</xdr:row>
      <xdr:rowOff>31750</xdr:rowOff>
    </xdr:from>
    <xdr:to>
      <xdr:col>27</xdr:col>
      <xdr:colOff>161924</xdr:colOff>
      <xdr:row>43</xdr:row>
      <xdr:rowOff>50800</xdr:rowOff>
    </xdr:to>
    <xdr:graphicFrame macro="">
      <xdr:nvGraphicFramePr>
        <xdr:cNvPr id="3" name="Chart 2">
          <a:extLst>
            <a:ext uri="{FF2B5EF4-FFF2-40B4-BE49-F238E27FC236}">
              <a16:creationId xmlns:a16="http://schemas.microsoft.com/office/drawing/2014/main" id="{0905CE95-2571-4E83-98DE-E78C978E9B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130176</xdr:colOff>
      <xdr:row>23</xdr:row>
      <xdr:rowOff>117475</xdr:rowOff>
    </xdr:from>
    <xdr:to>
      <xdr:col>35</xdr:col>
      <xdr:colOff>0</xdr:colOff>
      <xdr:row>43</xdr:row>
      <xdr:rowOff>12700</xdr:rowOff>
    </xdr:to>
    <xdr:graphicFrame macro="">
      <xdr:nvGraphicFramePr>
        <xdr:cNvPr id="4" name="Chart 3">
          <a:extLst>
            <a:ext uri="{FF2B5EF4-FFF2-40B4-BE49-F238E27FC236}">
              <a16:creationId xmlns:a16="http://schemas.microsoft.com/office/drawing/2014/main" id="{06298681-9592-4B52-8688-ACFE40E7FD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0</xdr:colOff>
      <xdr:row>24</xdr:row>
      <xdr:rowOff>12700</xdr:rowOff>
    </xdr:from>
    <xdr:to>
      <xdr:col>11</xdr:col>
      <xdr:colOff>177800</xdr:colOff>
      <xdr:row>43</xdr:row>
      <xdr:rowOff>28575</xdr:rowOff>
    </xdr:to>
    <xdr:graphicFrame macro="">
      <xdr:nvGraphicFramePr>
        <xdr:cNvPr id="5" name="Chart 4">
          <a:extLst>
            <a:ext uri="{FF2B5EF4-FFF2-40B4-BE49-F238E27FC236}">
              <a16:creationId xmlns:a16="http://schemas.microsoft.com/office/drawing/2014/main" id="{183C0511-A6FE-4091-A414-E3A81E2460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247655</xdr:colOff>
      <xdr:row>60</xdr:row>
      <xdr:rowOff>57150</xdr:rowOff>
    </xdr:from>
    <xdr:to>
      <xdr:col>22</xdr:col>
      <xdr:colOff>285750</xdr:colOff>
      <xdr:row>79</xdr:row>
      <xdr:rowOff>52387</xdr:rowOff>
    </xdr:to>
    <xdr:graphicFrame macro="">
      <xdr:nvGraphicFramePr>
        <xdr:cNvPr id="6" name="Chart 5">
          <a:extLst>
            <a:ext uri="{FF2B5EF4-FFF2-40B4-BE49-F238E27FC236}">
              <a16:creationId xmlns:a16="http://schemas.microsoft.com/office/drawing/2014/main" id="{C5DDD37E-378A-43E8-BB16-429C5D05DC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66676</xdr:colOff>
      <xdr:row>87</xdr:row>
      <xdr:rowOff>76200</xdr:rowOff>
    </xdr:from>
    <xdr:to>
      <xdr:col>22</xdr:col>
      <xdr:colOff>219076</xdr:colOff>
      <xdr:row>106</xdr:row>
      <xdr:rowOff>4761</xdr:rowOff>
    </xdr:to>
    <xdr:graphicFrame macro="">
      <xdr:nvGraphicFramePr>
        <xdr:cNvPr id="7" name="Chart 6">
          <a:extLst>
            <a:ext uri="{FF2B5EF4-FFF2-40B4-BE49-F238E27FC236}">
              <a16:creationId xmlns:a16="http://schemas.microsoft.com/office/drawing/2014/main" id="{6DFABB6E-3850-4655-8A80-BF91389831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46</xdr:col>
      <xdr:colOff>0</xdr:colOff>
      <xdr:row>1</xdr:row>
      <xdr:rowOff>0</xdr:rowOff>
    </xdr:from>
    <xdr:to>
      <xdr:col>51</xdr:col>
      <xdr:colOff>400050</xdr:colOff>
      <xdr:row>5</xdr:row>
      <xdr:rowOff>85725</xdr:rowOff>
    </xdr:to>
    <xdr:sp macro="" textlink="">
      <xdr:nvSpPr>
        <xdr:cNvPr id="8" name="TextBox 7">
          <a:extLst>
            <a:ext uri="{FF2B5EF4-FFF2-40B4-BE49-F238E27FC236}">
              <a16:creationId xmlns:a16="http://schemas.microsoft.com/office/drawing/2014/main" id="{C7D3D1C6-15E7-4E7B-BB85-26F76E38904A}"/>
            </a:ext>
          </a:extLst>
        </xdr:cNvPr>
        <xdr:cNvSpPr txBox="1"/>
      </xdr:nvSpPr>
      <xdr:spPr>
        <a:xfrm>
          <a:off x="23368000" y="127000"/>
          <a:ext cx="2940050" cy="593725"/>
        </a:xfrm>
        <a:prstGeom prst="rect">
          <a:avLst/>
        </a:prstGeom>
        <a:solidFill>
          <a:schemeClr val="bg1">
            <a:lumMod val="85000"/>
          </a:schemeClr>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aseline="0">
              <a:solidFill>
                <a:srgbClr val="FF0000"/>
              </a:solidFill>
            </a:rPr>
            <a:t>1. Pull data from BS1</a:t>
          </a:r>
        </a:p>
        <a:p>
          <a:r>
            <a:rPr lang="en-US" sz="800" baseline="0">
              <a:solidFill>
                <a:srgbClr val="FF0000"/>
              </a:solidFill>
            </a:rPr>
            <a:t>2. When rolling, make sure graphs are updated and averages are rolled corretly </a:t>
          </a:r>
        </a:p>
        <a:p>
          <a:endParaRPr lang="en-US" sz="800" baseline="0">
            <a:solidFill>
              <a:srgbClr val="FF0000"/>
            </a:solidFill>
          </a:endParaRPr>
        </a:p>
      </xdr:txBody>
    </xdr:sp>
    <xdr:clientData/>
  </xdr:twoCellAnchor>
</xdr:wsDr>
</file>

<file path=xl/drawings/drawing7.xml><?xml version="1.0" encoding="utf-8"?>
<c:userShapes xmlns:c="http://schemas.openxmlformats.org/drawingml/2006/chart">
  <cdr:relSizeAnchor xmlns:cdr="http://schemas.openxmlformats.org/drawingml/2006/chartDrawing">
    <cdr:from>
      <cdr:x>0.01111</cdr:x>
      <cdr:y>0.01852</cdr:y>
    </cdr:from>
    <cdr:to>
      <cdr:x>0.01111</cdr:x>
      <cdr:y>0.01852</cdr:y>
    </cdr:to>
    <cdr:sp macro="" textlink="">
      <cdr:nvSpPr>
        <cdr:cNvPr id="2" name="#UpSlide#ChartHasBeenCopiedWithUpSlideActive#" hidden="1">
          <a:extLst xmlns:a="http://schemas.openxmlformats.org/drawingml/2006/main">
            <a:ext uri="{FF2B5EF4-FFF2-40B4-BE49-F238E27FC236}">
              <a16:creationId xmlns:a16="http://schemas.microsoft.com/office/drawing/2014/main" id="{9B51AD05-943D-30F8-455F-5D0D447B2CCC}"/>
            </a:ext>
          </a:extLst>
        </cdr:cNvPr>
        <cdr:cNvSpPr/>
      </cdr:nvSpPr>
      <cdr:spPr>
        <a:xfrm xmlns:a="http://schemas.openxmlformats.org/drawingml/2006/main">
          <a:off x="50800" y="50800"/>
          <a:ext cx="0" cy="0"/>
        </a:xfrm>
        <a:prstGeom xmlns:a="http://schemas.openxmlformats.org/drawingml/2006/main" prst="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0.01111</cdr:x>
      <cdr:y>0.01852</cdr:y>
    </cdr:from>
    <cdr:to>
      <cdr:x>0.01111</cdr:x>
      <cdr:y>0.01852</cdr:y>
    </cdr:to>
    <cdr:sp macro="" textlink="">
      <cdr:nvSpPr>
        <cdr:cNvPr id="3" name="UpSlideExportSave" hidden="1">
          <a:extLst xmlns:a="http://schemas.openxmlformats.org/drawingml/2006/main">
            <a:ext uri="{FF2B5EF4-FFF2-40B4-BE49-F238E27FC236}">
              <a16:creationId xmlns:a16="http://schemas.microsoft.com/office/drawing/2014/main" id="{DDE154A5-5308-6CD2-B54A-849CC3F6EC06}"/>
            </a:ext>
          </a:extLst>
        </cdr:cNvPr>
        <cdr:cNvSpPr/>
      </cdr:nvSpPr>
      <cdr:spPr>
        <a:xfrm xmlns:a="http://schemas.openxmlformats.org/drawingml/2006/main">
          <a:off x="50800" y="50800"/>
          <a:ext cx="0" cy="0"/>
        </a:xfrm>
        <a:prstGeom xmlns:a="http://schemas.openxmlformats.org/drawingml/2006/main" prst="rect">
          <a:avLst/>
        </a:prstGeom>
        <a:noFill xmlns:a="http://schemas.openxmlformats.org/drawingml/2006/main"/>
        <a:ln xmlns:a="http://schemas.openxmlformats.org/drawingml/2006/main" w="12700" cap="flat" cmpd="sng" algn="ctr">
          <a:noFill/>
          <a:prstDash val="solid"/>
          <a:miter lim="800000"/>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12700" cap="flat" cmpd="sng" algn="ctr">
              <a:solidFill>
                <a:schemeClr val="accent1">
                  <a:shade val="15000"/>
                </a:schemeClr>
              </a:solidFill>
              <a:prstDash val="solid"/>
              <a:miter lim="800000"/>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8.xml><?xml version="1.0" encoding="utf-8"?>
<c:userShapes xmlns:c="http://schemas.openxmlformats.org/drawingml/2006/chart">
  <cdr:relSizeAnchor xmlns:cdr="http://schemas.openxmlformats.org/drawingml/2006/chartDrawing">
    <cdr:from>
      <cdr:x>0.01111</cdr:x>
      <cdr:y>0.01852</cdr:y>
    </cdr:from>
    <cdr:to>
      <cdr:x>0.01111</cdr:x>
      <cdr:y>0.01852</cdr:y>
    </cdr:to>
    <cdr:sp macro="" textlink="">
      <cdr:nvSpPr>
        <cdr:cNvPr id="2" name="#UpSlide#ChartHasBeenCopiedWithUpSlideActive#" hidden="1">
          <a:extLst xmlns:a="http://schemas.openxmlformats.org/drawingml/2006/main">
            <a:ext uri="{FF2B5EF4-FFF2-40B4-BE49-F238E27FC236}">
              <a16:creationId xmlns:a16="http://schemas.microsoft.com/office/drawing/2014/main" id="{9B51AD05-943D-30F8-455F-5D0D447B2CCC}"/>
            </a:ext>
          </a:extLst>
        </cdr:cNvPr>
        <cdr:cNvSpPr/>
      </cdr:nvSpPr>
      <cdr:spPr>
        <a:xfrm xmlns:a="http://schemas.openxmlformats.org/drawingml/2006/main">
          <a:off x="50800" y="50800"/>
          <a:ext cx="0" cy="0"/>
        </a:xfrm>
        <a:prstGeom xmlns:a="http://schemas.openxmlformats.org/drawingml/2006/main" prst="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0.01111</cdr:x>
      <cdr:y>0.01852</cdr:y>
    </cdr:from>
    <cdr:to>
      <cdr:x>0.01111</cdr:x>
      <cdr:y>0.01852</cdr:y>
    </cdr:to>
    <cdr:sp macro="" textlink="">
      <cdr:nvSpPr>
        <cdr:cNvPr id="3" name="UpSlideExportSave" hidden="1">
          <a:extLst xmlns:a="http://schemas.openxmlformats.org/drawingml/2006/main">
            <a:ext uri="{FF2B5EF4-FFF2-40B4-BE49-F238E27FC236}">
              <a16:creationId xmlns:a16="http://schemas.microsoft.com/office/drawing/2014/main" id="{567EA4DF-D056-0AE0-796D-0B11DB99F7BD}"/>
            </a:ext>
          </a:extLst>
        </cdr:cNvPr>
        <cdr:cNvSpPr/>
      </cdr:nvSpPr>
      <cdr:spPr>
        <a:xfrm xmlns:a="http://schemas.openxmlformats.org/drawingml/2006/main">
          <a:off x="50800" y="50800"/>
          <a:ext cx="0" cy="0"/>
        </a:xfrm>
        <a:prstGeom xmlns:a="http://schemas.openxmlformats.org/drawingml/2006/main" prst="rect">
          <a:avLst/>
        </a:prstGeom>
        <a:noFill xmlns:a="http://schemas.openxmlformats.org/drawingml/2006/main"/>
        <a:ln xmlns:a="http://schemas.openxmlformats.org/drawingml/2006/main" w="12700" cap="flat" cmpd="sng" algn="ctr">
          <a:noFill/>
          <a:prstDash val="solid"/>
          <a:miter lim="800000"/>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12700" cap="flat" cmpd="sng" algn="ctr">
              <a:solidFill>
                <a:schemeClr val="accent1">
                  <a:shade val="15000"/>
                </a:schemeClr>
              </a:solidFill>
              <a:prstDash val="solid"/>
              <a:miter lim="800000"/>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9.xml><?xml version="1.0" encoding="utf-8"?>
<c:userShapes xmlns:c="http://schemas.openxmlformats.org/drawingml/2006/chart">
  <cdr:relSizeAnchor xmlns:cdr="http://schemas.openxmlformats.org/drawingml/2006/chartDrawing">
    <cdr:from>
      <cdr:x>0.01111</cdr:x>
      <cdr:y>0.01852</cdr:y>
    </cdr:from>
    <cdr:to>
      <cdr:x>0.01111</cdr:x>
      <cdr:y>0.01852</cdr:y>
    </cdr:to>
    <cdr:sp macro="" textlink="">
      <cdr:nvSpPr>
        <cdr:cNvPr id="2" name="#UpSlide#ChartHasBeenCopiedWithUpSlideActive#" hidden="1">
          <a:extLst xmlns:a="http://schemas.openxmlformats.org/drawingml/2006/main">
            <a:ext uri="{FF2B5EF4-FFF2-40B4-BE49-F238E27FC236}">
              <a16:creationId xmlns:a16="http://schemas.microsoft.com/office/drawing/2014/main" id="{4D46E584-F3BC-483F-C540-1E6AD3B8394D}"/>
            </a:ext>
          </a:extLst>
        </cdr:cNvPr>
        <cdr:cNvSpPr/>
      </cdr:nvSpPr>
      <cdr:spPr>
        <a:xfrm xmlns:a="http://schemas.openxmlformats.org/drawingml/2006/main">
          <a:off x="50800" y="50800"/>
          <a:ext cx="0" cy="0"/>
        </a:xfrm>
        <a:prstGeom xmlns:a="http://schemas.openxmlformats.org/drawingml/2006/main" prst="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0.01111</cdr:x>
      <cdr:y>0.01852</cdr:y>
    </cdr:from>
    <cdr:to>
      <cdr:x>0.01111</cdr:x>
      <cdr:y>0.01852</cdr:y>
    </cdr:to>
    <cdr:sp macro="" textlink="">
      <cdr:nvSpPr>
        <cdr:cNvPr id="3" name="UpSlideExportSave" hidden="1">
          <a:extLst xmlns:a="http://schemas.openxmlformats.org/drawingml/2006/main">
            <a:ext uri="{FF2B5EF4-FFF2-40B4-BE49-F238E27FC236}">
              <a16:creationId xmlns:a16="http://schemas.microsoft.com/office/drawing/2014/main" id="{FDEB8519-8304-1138-A8C6-3784DBD525DA}"/>
            </a:ext>
          </a:extLst>
        </cdr:cNvPr>
        <cdr:cNvSpPr/>
      </cdr:nvSpPr>
      <cdr:spPr>
        <a:xfrm xmlns:a="http://schemas.openxmlformats.org/drawingml/2006/main">
          <a:off x="50800" y="50800"/>
          <a:ext cx="0" cy="0"/>
        </a:xfrm>
        <a:prstGeom xmlns:a="http://schemas.openxmlformats.org/drawingml/2006/main" prst="rect">
          <a:avLst/>
        </a:prstGeom>
        <a:noFill xmlns:a="http://schemas.openxmlformats.org/drawingml/2006/main"/>
        <a:ln xmlns:a="http://schemas.openxmlformats.org/drawingml/2006/main" w="12700" cap="flat" cmpd="sng" algn="ctr">
          <a:noFill/>
          <a:prstDash val="solid"/>
          <a:miter lim="800000"/>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12700" cap="flat" cmpd="sng" algn="ctr">
              <a:solidFill>
                <a:schemeClr val="accent1">
                  <a:shade val="15000"/>
                </a:schemeClr>
              </a:solidFill>
              <a:prstDash val="solid"/>
              <a:miter lim="800000"/>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10.xml><?xml version="1.0" encoding="utf-8"?>
<c:userShapes xmlns:c="http://schemas.openxmlformats.org/drawingml/2006/chart">
  <cdr:relSizeAnchor xmlns:cdr="http://schemas.openxmlformats.org/drawingml/2006/chartDrawing">
    <cdr:from>
      <cdr:x>0.01111</cdr:x>
      <cdr:y>0.01852</cdr:y>
    </cdr:from>
    <cdr:to>
      <cdr:x>0.01111</cdr:x>
      <cdr:y>0.01852</cdr:y>
    </cdr:to>
    <cdr:sp macro="" textlink="">
      <cdr:nvSpPr>
        <cdr:cNvPr id="2" name="#UpSlide#ChartHasBeenCopiedWithUpSlideActive#" hidden="1">
          <a:extLst xmlns:a="http://schemas.openxmlformats.org/drawingml/2006/main">
            <a:ext uri="{FF2B5EF4-FFF2-40B4-BE49-F238E27FC236}">
              <a16:creationId xmlns:a16="http://schemas.microsoft.com/office/drawing/2014/main" id="{9B51AD05-943D-30F8-455F-5D0D447B2CCC}"/>
            </a:ext>
          </a:extLst>
        </cdr:cNvPr>
        <cdr:cNvSpPr/>
      </cdr:nvSpPr>
      <cdr:spPr>
        <a:xfrm xmlns:a="http://schemas.openxmlformats.org/drawingml/2006/main">
          <a:off x="50800" y="50800"/>
          <a:ext cx="0" cy="0"/>
        </a:xfrm>
        <a:prstGeom xmlns:a="http://schemas.openxmlformats.org/drawingml/2006/main" prst="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0.01111</cdr:x>
      <cdr:y>0.01852</cdr:y>
    </cdr:from>
    <cdr:to>
      <cdr:x>0.01111</cdr:x>
      <cdr:y>0.01852</cdr:y>
    </cdr:to>
    <cdr:sp macro="" textlink="">
      <cdr:nvSpPr>
        <cdr:cNvPr id="3" name="UpSlideExportSave" hidden="1">
          <a:extLst xmlns:a="http://schemas.openxmlformats.org/drawingml/2006/main">
            <a:ext uri="{FF2B5EF4-FFF2-40B4-BE49-F238E27FC236}">
              <a16:creationId xmlns:a16="http://schemas.microsoft.com/office/drawing/2014/main" id="{77F68E57-28BC-62A0-939A-27DF573622A8}"/>
            </a:ext>
          </a:extLst>
        </cdr:cNvPr>
        <cdr:cNvSpPr/>
      </cdr:nvSpPr>
      <cdr:spPr>
        <a:xfrm xmlns:a="http://schemas.openxmlformats.org/drawingml/2006/main">
          <a:off x="50800" y="50800"/>
          <a:ext cx="0" cy="0"/>
        </a:xfrm>
        <a:prstGeom xmlns:a="http://schemas.openxmlformats.org/drawingml/2006/main" prst="rect">
          <a:avLst/>
        </a:prstGeom>
        <a:noFill xmlns:a="http://schemas.openxmlformats.org/drawingml/2006/main"/>
        <a:ln xmlns:a="http://schemas.openxmlformats.org/drawingml/2006/main" w="12700" cap="flat" cmpd="sng" algn="ctr">
          <a:noFill/>
          <a:prstDash val="solid"/>
          <a:miter lim="800000"/>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12700" cap="flat" cmpd="sng" algn="ctr">
              <a:solidFill>
                <a:schemeClr val="accent1">
                  <a:shade val="15000"/>
                </a:schemeClr>
              </a:solidFill>
              <a:prstDash val="solid"/>
              <a:miter lim="800000"/>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11.xml><?xml version="1.0" encoding="utf-8"?>
<c:userShapes xmlns:c="http://schemas.openxmlformats.org/drawingml/2006/chart">
  <cdr:relSizeAnchor xmlns:cdr="http://schemas.openxmlformats.org/drawingml/2006/chartDrawing">
    <cdr:from>
      <cdr:x>0.01111</cdr:x>
      <cdr:y>0.01852</cdr:y>
    </cdr:from>
    <cdr:to>
      <cdr:x>0.01111</cdr:x>
      <cdr:y>0.01852</cdr:y>
    </cdr:to>
    <cdr:sp macro="" textlink="">
      <cdr:nvSpPr>
        <cdr:cNvPr id="2" name="#UpSlide#ChartHasBeenCopiedWithUpSlideActive#" hidden="1">
          <a:extLst xmlns:a="http://schemas.openxmlformats.org/drawingml/2006/main">
            <a:ext uri="{FF2B5EF4-FFF2-40B4-BE49-F238E27FC236}">
              <a16:creationId xmlns:a16="http://schemas.microsoft.com/office/drawing/2014/main" id="{6374A158-DC70-C536-09A4-7164E0986AEE}"/>
            </a:ext>
          </a:extLst>
        </cdr:cNvPr>
        <cdr:cNvSpPr/>
      </cdr:nvSpPr>
      <cdr:spPr>
        <a:xfrm xmlns:a="http://schemas.openxmlformats.org/drawingml/2006/main">
          <a:off x="50800" y="50800"/>
          <a:ext cx="0" cy="0"/>
        </a:xfrm>
        <a:prstGeom xmlns:a="http://schemas.openxmlformats.org/drawingml/2006/main" prst="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0.00979</cdr:x>
      <cdr:y>0.01875</cdr:y>
    </cdr:from>
    <cdr:to>
      <cdr:x>0.00979</cdr:x>
      <cdr:y>0.01875</cdr:y>
    </cdr:to>
    <cdr:sp macro="" textlink="">
      <cdr:nvSpPr>
        <cdr:cNvPr id="3" name="UpSlideExportSave" hidden="1">
          <a:extLst xmlns:a="http://schemas.openxmlformats.org/drawingml/2006/main">
            <a:ext uri="{FF2B5EF4-FFF2-40B4-BE49-F238E27FC236}">
              <a16:creationId xmlns:a16="http://schemas.microsoft.com/office/drawing/2014/main" id="{7B07F417-4A6E-3DC7-E4FA-0A758AE42A73}"/>
            </a:ext>
          </a:extLst>
        </cdr:cNvPr>
        <cdr:cNvSpPr/>
      </cdr:nvSpPr>
      <cdr:spPr>
        <a:xfrm xmlns:a="http://schemas.openxmlformats.org/drawingml/2006/main">
          <a:off x="50800" y="50800"/>
          <a:ext cx="0" cy="0"/>
        </a:xfrm>
        <a:prstGeom xmlns:a="http://schemas.openxmlformats.org/drawingml/2006/main" prst="rect">
          <a:avLst/>
        </a:prstGeom>
        <a:noFill xmlns:a="http://schemas.openxmlformats.org/drawingml/2006/main"/>
        <a:ln xmlns:a="http://schemas.openxmlformats.org/drawingml/2006/main" w="12700" cap="flat" cmpd="sng" algn="ctr">
          <a:noFill/>
          <a:prstDash val="solid"/>
          <a:miter lim="800000"/>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12700" cap="flat" cmpd="sng" algn="ctr">
              <a:solidFill>
                <a:schemeClr val="accent1">
                  <a:shade val="15000"/>
                </a:schemeClr>
              </a:solidFill>
              <a:prstDash val="solid"/>
              <a:miter lim="800000"/>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12.xml><?xml version="1.0" encoding="utf-8"?>
<c:userShapes xmlns:c="http://schemas.openxmlformats.org/drawingml/2006/chart">
  <cdr:relSizeAnchor xmlns:cdr="http://schemas.openxmlformats.org/drawingml/2006/chartDrawing">
    <cdr:from>
      <cdr:x>0.01111</cdr:x>
      <cdr:y>0.01852</cdr:y>
    </cdr:from>
    <cdr:to>
      <cdr:x>0.01111</cdr:x>
      <cdr:y>0.01852</cdr:y>
    </cdr:to>
    <cdr:sp macro="" textlink="">
      <cdr:nvSpPr>
        <cdr:cNvPr id="2" name="#UpSlide#ChartHasBeenCopiedWithUpSlideActive#" hidden="1">
          <a:extLst xmlns:a="http://schemas.openxmlformats.org/drawingml/2006/main">
            <a:ext uri="{FF2B5EF4-FFF2-40B4-BE49-F238E27FC236}">
              <a16:creationId xmlns:a16="http://schemas.microsoft.com/office/drawing/2014/main" id="{6374A158-DC70-C536-09A4-7164E0986AEE}"/>
            </a:ext>
          </a:extLst>
        </cdr:cNvPr>
        <cdr:cNvSpPr/>
      </cdr:nvSpPr>
      <cdr:spPr>
        <a:xfrm xmlns:a="http://schemas.openxmlformats.org/drawingml/2006/main">
          <a:off x="50800" y="50800"/>
          <a:ext cx="0" cy="0"/>
        </a:xfrm>
        <a:prstGeom xmlns:a="http://schemas.openxmlformats.org/drawingml/2006/main" prst="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0.01026</cdr:x>
      <cdr:y>0.01922</cdr:y>
    </cdr:from>
    <cdr:to>
      <cdr:x>0.01026</cdr:x>
      <cdr:y>0.01922</cdr:y>
    </cdr:to>
    <cdr:sp macro="" textlink="">
      <cdr:nvSpPr>
        <cdr:cNvPr id="3" name="UpSlideExportSave" hidden="1">
          <a:extLst xmlns:a="http://schemas.openxmlformats.org/drawingml/2006/main">
            <a:ext uri="{FF2B5EF4-FFF2-40B4-BE49-F238E27FC236}">
              <a16:creationId xmlns:a16="http://schemas.microsoft.com/office/drawing/2014/main" id="{6F1560BF-6CF6-BDA1-0BB0-74B009E02106}"/>
            </a:ext>
          </a:extLst>
        </cdr:cNvPr>
        <cdr:cNvSpPr/>
      </cdr:nvSpPr>
      <cdr:spPr>
        <a:xfrm xmlns:a="http://schemas.openxmlformats.org/drawingml/2006/main">
          <a:off x="50800" y="50800"/>
          <a:ext cx="0" cy="0"/>
        </a:xfrm>
        <a:prstGeom xmlns:a="http://schemas.openxmlformats.org/drawingml/2006/main" prst="rect">
          <a:avLst/>
        </a:prstGeom>
        <a:noFill xmlns:a="http://schemas.openxmlformats.org/drawingml/2006/main"/>
        <a:ln xmlns:a="http://schemas.openxmlformats.org/drawingml/2006/main" w="12700" cap="flat" cmpd="sng" algn="ctr">
          <a:noFill/>
          <a:prstDash val="solid"/>
          <a:miter lim="800000"/>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12700" cap="flat" cmpd="sng" algn="ctr">
              <a:solidFill>
                <a:schemeClr val="accent1">
                  <a:shade val="15000"/>
                </a:schemeClr>
              </a:solidFill>
              <a:prstDash val="solid"/>
              <a:miter lim="800000"/>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13.xml><?xml version="1.0" encoding="utf-8"?>
<xdr:wsDr xmlns:xdr="http://schemas.openxmlformats.org/drawingml/2006/spreadsheetDrawing" xmlns:a="http://schemas.openxmlformats.org/drawingml/2006/main">
  <xdr:twoCellAnchor>
    <xdr:from>
      <xdr:col>41</xdr:col>
      <xdr:colOff>0</xdr:colOff>
      <xdr:row>1</xdr:row>
      <xdr:rowOff>19050</xdr:rowOff>
    </xdr:from>
    <xdr:to>
      <xdr:col>46</xdr:col>
      <xdr:colOff>419100</xdr:colOff>
      <xdr:row>4</xdr:row>
      <xdr:rowOff>66675</xdr:rowOff>
    </xdr:to>
    <xdr:sp macro="" textlink="">
      <xdr:nvSpPr>
        <xdr:cNvPr id="2" name="TextBox 1">
          <a:extLst>
            <a:ext uri="{FF2B5EF4-FFF2-40B4-BE49-F238E27FC236}">
              <a16:creationId xmlns:a16="http://schemas.microsoft.com/office/drawing/2014/main" id="{E2ECBEC8-C866-4266-89CF-78FB7CBF4952}"/>
            </a:ext>
          </a:extLst>
        </xdr:cNvPr>
        <xdr:cNvSpPr txBox="1"/>
      </xdr:nvSpPr>
      <xdr:spPr>
        <a:xfrm>
          <a:off x="20828000" y="146050"/>
          <a:ext cx="2959100" cy="428625"/>
        </a:xfrm>
        <a:prstGeom prst="rect">
          <a:avLst/>
        </a:prstGeom>
        <a:solidFill>
          <a:schemeClr val="bg1">
            <a:lumMod val="85000"/>
          </a:schemeClr>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a:solidFill>
                <a:srgbClr val="FF0000"/>
              </a:solidFill>
            </a:rPr>
            <a:t>1. Link</a:t>
          </a:r>
          <a:r>
            <a:rPr lang="en-US" sz="800" baseline="0">
              <a:solidFill>
                <a:srgbClr val="FF0000"/>
              </a:solidFill>
            </a:rPr>
            <a:t> directly to the PL1 for net income</a:t>
          </a:r>
        </a:p>
        <a:p>
          <a:r>
            <a:rPr lang="en-US" sz="800" baseline="0">
              <a:solidFill>
                <a:srgbClr val="FF0000"/>
              </a:solidFill>
            </a:rPr>
            <a:t>2. Use the GL detail to fill out distributions/contributions.</a:t>
          </a:r>
        </a:p>
      </xdr:txBody>
    </xdr:sp>
    <xdr:clientData/>
  </xdr:twoCellAnchor>
</xdr:wsDr>
</file>

<file path=xl/theme/theme1.xml><?xml version="1.0" encoding="utf-8"?>
<a:theme xmlns:a="http://schemas.openxmlformats.org/drawingml/2006/main" name="Default Theme">
  <a:themeElements>
    <a:clrScheme name="KSM Brand Colors">
      <a:dk1>
        <a:sysClr val="windowText" lastClr="000000"/>
      </a:dk1>
      <a:lt1>
        <a:srgbClr val="FFFFFF"/>
      </a:lt1>
      <a:dk2>
        <a:srgbClr val="0A2463"/>
      </a:dk2>
      <a:lt2>
        <a:srgbClr val="FFFFFF"/>
      </a:lt2>
      <a:accent1>
        <a:srgbClr val="2C78C9"/>
      </a:accent1>
      <a:accent2>
        <a:srgbClr val="E26E17"/>
      </a:accent2>
      <a:accent3>
        <a:srgbClr val="F0C617"/>
      </a:accent3>
      <a:accent4>
        <a:srgbClr val="4EA700"/>
      </a:accent4>
      <a:accent5>
        <a:srgbClr val="96BCE4"/>
      </a:accent5>
      <a:accent6>
        <a:srgbClr val="EC433D"/>
      </a:accent6>
      <a:hlink>
        <a:srgbClr val="E26E17"/>
      </a:hlink>
      <a:folHlink>
        <a:srgbClr val="E26E17"/>
      </a:folHlink>
    </a:clrScheme>
    <a:fontScheme name="KSM Brand Fonts">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Default Theme" id="{C56E04B1-8CEB-4778-B552-6DC1F4EDF0AC}" vid="{DBEE4A33-E04C-46FB-B022-C425D36280F1}"/>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customProperty" Target="../customProperty5.bin"/><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customProperty" Target="../customProperty6.bin"/><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customProperty" Target="../customProperty7.bin"/><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customProperty" Target="../customProperty8.bin"/><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customProperty" Target="../customProperty9.bin"/><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customProperty" Target="../customProperty10.bin"/><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customProperty" Target="../customProperty11.bin"/><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customProperty" Target="../customProperty12.bin"/><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customProperty" Target="../customProperty13.bin"/><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customProperty" Target="../customProperty14.bin"/><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customProperty" Target="../customProperty15.bin"/><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customProperty" Target="../customProperty16.bin"/><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customProperty" Target="../customProperty17.bin"/><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customProperty" Target="../customProperty18.bin"/><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CDC02-5337-42A4-BD00-06F5D2DB4B07}">
  <sheetPr>
    <tabColor rgb="FF0A2463"/>
  </sheetPr>
  <dimension ref="D8:D10"/>
  <sheetViews>
    <sheetView showGridLines="0" tabSelected="1" view="pageBreakPreview" zoomScaleNormal="100" zoomScaleSheetLayoutView="100" workbookViewId="0">
      <selection activeCell="D9" sqref="D9"/>
    </sheetView>
  </sheetViews>
  <sheetFormatPr defaultRowHeight="10" x14ac:dyDescent="0.2"/>
  <sheetData>
    <row r="8" spans="4:4" ht="13" x14ac:dyDescent="0.3">
      <c r="D8" s="1" t="s">
        <v>451</v>
      </c>
    </row>
    <row r="9" spans="4:4" x14ac:dyDescent="0.2">
      <c r="D9" t="s">
        <v>450</v>
      </c>
    </row>
    <row r="10" spans="4:4" x14ac:dyDescent="0.2">
      <c r="D10" t="s">
        <v>0</v>
      </c>
    </row>
  </sheetData>
  <pageMargins left="0.7" right="0.7" top="0.75" bottom="0.75" header="0.3" footer="0.3"/>
  <pageSetup orientation="landscape" r:id="rId1"/>
  <customProperties>
    <customPr name="OrphanNamesChecked"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48347-92C4-46BB-A9C7-49ED408AB861}">
  <sheetPr>
    <tabColor rgb="FFFFFF00"/>
    <pageSetUpPr fitToPage="1"/>
  </sheetPr>
  <dimension ref="A1:AQ49"/>
  <sheetViews>
    <sheetView showGridLines="0" view="pageBreakPreview" zoomScaleNormal="100" zoomScaleSheetLayoutView="100" workbookViewId="0">
      <pane xSplit="4" ySplit="8" topLeftCell="AK9" activePane="bottomRight" state="frozen"/>
      <selection pane="topRight"/>
      <selection pane="bottomLeft"/>
      <selection pane="bottomRight" activeCell="C2" sqref="C2"/>
    </sheetView>
  </sheetViews>
  <sheetFormatPr defaultRowHeight="10" outlineLevelRow="1" outlineLevelCol="1" x14ac:dyDescent="0.2"/>
  <cols>
    <col min="1" max="1" width="9.33203125" customWidth="1" outlineLevel="1"/>
    <col min="2" max="2" width="1.77734375" customWidth="1"/>
    <col min="3" max="3" width="32.77734375" customWidth="1"/>
    <col min="4" max="4" width="6.5546875" bestFit="1" customWidth="1"/>
    <col min="5" max="35" width="7.77734375" hidden="1" customWidth="1" outlineLevel="1"/>
    <col min="36" max="36" width="1.77734375" hidden="1" customWidth="1" outlineLevel="1"/>
    <col min="37" max="37" width="8.77734375" customWidth="1" collapsed="1"/>
    <col min="38" max="39" width="8.77734375" customWidth="1"/>
    <col min="40" max="40" width="1.77734375" customWidth="1"/>
    <col min="41" max="43" width="7.77734375" customWidth="1"/>
    <col min="44" max="44" width="1.77734375" customWidth="1"/>
  </cols>
  <sheetData>
    <row r="1" spans="1:43" ht="10.5" x14ac:dyDescent="0.25">
      <c r="A1" s="38" t="str">
        <f>IF(ROUND(SUM(E37:AR37),1)&lt;&gt;0,"NO","Yes")</f>
        <v>Yes</v>
      </c>
      <c r="C1" t="s">
        <v>451</v>
      </c>
    </row>
    <row r="2" spans="1:43" ht="10.5" x14ac:dyDescent="0.25">
      <c r="A2" s="38" t="str">
        <f>IF(COUNTIF(E37:AR37,"&gt;0.5")+COUNTIF(E37:AR37,"&lt;-0.5")&lt;1,"Yes","No")</f>
        <v>Yes</v>
      </c>
      <c r="C2" t="s">
        <v>450</v>
      </c>
    </row>
    <row r="3" spans="1:43" x14ac:dyDescent="0.2">
      <c r="A3">
        <f>2-COUNTIF(A1:A2,"Yes")</f>
        <v>0</v>
      </c>
      <c r="C3" t="s">
        <v>36</v>
      </c>
    </row>
    <row r="4" spans="1:43" x14ac:dyDescent="0.2">
      <c r="C4" t="s">
        <v>0</v>
      </c>
    </row>
    <row r="5" spans="1:43" x14ac:dyDescent="0.2">
      <c r="C5" s="37"/>
    </row>
    <row r="7" spans="1:43" ht="13.5" customHeight="1" x14ac:dyDescent="0.55000000000000004">
      <c r="C7" s="34" t="str">
        <f>C4</f>
        <v>Recast Statement of Operations</v>
      </c>
      <c r="D7" s="31"/>
      <c r="E7" s="36" t="s">
        <v>32</v>
      </c>
      <c r="F7" s="36"/>
      <c r="G7" s="36"/>
      <c r="H7" s="36"/>
      <c r="I7" s="36"/>
      <c r="J7" s="36"/>
      <c r="K7" s="36"/>
      <c r="L7" s="36"/>
      <c r="M7" s="36"/>
      <c r="N7" s="36"/>
      <c r="O7" s="36"/>
      <c r="P7" s="36"/>
      <c r="Q7" s="36" t="s">
        <v>31</v>
      </c>
      <c r="R7" s="36"/>
      <c r="S7" s="36"/>
      <c r="T7" s="36"/>
      <c r="U7" s="36"/>
      <c r="V7" s="36"/>
      <c r="W7" s="36"/>
      <c r="X7" s="36"/>
      <c r="Y7" s="36"/>
      <c r="Z7" s="36"/>
      <c r="AA7" s="36"/>
      <c r="AB7" s="36"/>
      <c r="AC7" s="36" t="s">
        <v>35</v>
      </c>
      <c r="AD7" s="36"/>
      <c r="AE7" s="36"/>
      <c r="AF7" s="36"/>
      <c r="AG7" s="36"/>
      <c r="AH7" s="36"/>
      <c r="AI7" s="36"/>
      <c r="AJ7" s="31"/>
      <c r="AK7" s="31"/>
      <c r="AL7" s="32"/>
      <c r="AM7" s="32">
        <f>AI8</f>
        <v>45961</v>
      </c>
      <c r="AN7" s="31"/>
      <c r="AO7" s="35" t="s">
        <v>34</v>
      </c>
      <c r="AP7" s="35"/>
      <c r="AQ7" s="35"/>
    </row>
    <row r="8" spans="1:43" ht="10.5" x14ac:dyDescent="0.25">
      <c r="C8" s="34" t="str">
        <f>C3</f>
        <v>($ in 000s)</v>
      </c>
      <c r="D8" s="33" t="s">
        <v>33</v>
      </c>
      <c r="E8" s="32">
        <v>45046</v>
      </c>
      <c r="F8" s="32">
        <v>45077</v>
      </c>
      <c r="G8" s="32">
        <v>45107</v>
      </c>
      <c r="H8" s="32">
        <v>45138</v>
      </c>
      <c r="I8" s="32">
        <v>45169</v>
      </c>
      <c r="J8" s="32">
        <v>45199</v>
      </c>
      <c r="K8" s="32">
        <v>45230</v>
      </c>
      <c r="L8" s="32">
        <v>45260</v>
      </c>
      <c r="M8" s="32">
        <v>45291</v>
      </c>
      <c r="N8" s="32">
        <v>45322</v>
      </c>
      <c r="O8" s="32">
        <v>45351</v>
      </c>
      <c r="P8" s="32">
        <v>45382</v>
      </c>
      <c r="Q8" s="32">
        <v>45412</v>
      </c>
      <c r="R8" s="32">
        <v>45443</v>
      </c>
      <c r="S8" s="32">
        <v>45473</v>
      </c>
      <c r="T8" s="32">
        <v>45504</v>
      </c>
      <c r="U8" s="32">
        <v>45535</v>
      </c>
      <c r="V8" s="32">
        <v>45565</v>
      </c>
      <c r="W8" s="32">
        <v>45596</v>
      </c>
      <c r="X8" s="32">
        <v>45626</v>
      </c>
      <c r="Y8" s="32">
        <v>45657</v>
      </c>
      <c r="Z8" s="32">
        <v>45688</v>
      </c>
      <c r="AA8" s="32">
        <v>45716</v>
      </c>
      <c r="AB8" s="32">
        <v>45747</v>
      </c>
      <c r="AC8" s="32">
        <v>45777</v>
      </c>
      <c r="AD8" s="32">
        <v>45808</v>
      </c>
      <c r="AE8" s="32">
        <v>45838</v>
      </c>
      <c r="AF8" s="32">
        <v>45869</v>
      </c>
      <c r="AG8" s="32">
        <v>45900</v>
      </c>
      <c r="AH8" s="32">
        <v>45930</v>
      </c>
      <c r="AI8" s="32">
        <v>45961</v>
      </c>
      <c r="AJ8" s="31"/>
      <c r="AK8" s="32" t="s">
        <v>32</v>
      </c>
      <c r="AL8" s="32" t="s">
        <v>31</v>
      </c>
      <c r="AM8" s="32" t="s">
        <v>30</v>
      </c>
      <c r="AN8" s="31"/>
      <c r="AO8" s="30" t="str">
        <f>+AK8</f>
        <v>FY24</v>
      </c>
      <c r="AP8" s="30" t="str">
        <f>+AL8</f>
        <v>FY25</v>
      </c>
      <c r="AQ8" s="30" t="str">
        <f>+AM8</f>
        <v>TTM26</v>
      </c>
    </row>
    <row r="9" spans="1:43" ht="11.25" customHeight="1" x14ac:dyDescent="0.2">
      <c r="C9" t="s">
        <v>29</v>
      </c>
      <c r="D9" s="4"/>
      <c r="E9" s="29">
        <f>_xlfn.XLOOKUP($C9,'PL1'!$C:$C,'PL1'!E:E)+SUMIFS(ADJ!G:G,ADJ!$E:$E,'RPL1'!$C9)</f>
        <v>193.12699999999998</v>
      </c>
      <c r="F9" s="29">
        <f>_xlfn.XLOOKUP($C9,'PL1'!$C:$C,'PL1'!F:F)+SUMIFS(ADJ!H:H,ADJ!$E:$E,'RPL1'!$C9)</f>
        <v>429.44349999999997</v>
      </c>
      <c r="G9" s="29">
        <f>_xlfn.XLOOKUP($C9,'PL1'!$C:$C,'PL1'!G:G)+SUMIFS(ADJ!I:I,ADJ!$E:$E,'RPL1'!$C9)</f>
        <v>731.81500000000005</v>
      </c>
      <c r="H9" s="29">
        <f>_xlfn.XLOOKUP($C9,'PL1'!$C:$C,'PL1'!H:H)+SUMIFS(ADJ!J:J,ADJ!$E:$E,'RPL1'!$C9)</f>
        <v>430.35500000000002</v>
      </c>
      <c r="I9" s="29">
        <f>_xlfn.XLOOKUP($C9,'PL1'!$C:$C,'PL1'!I:I)+SUMIFS(ADJ!K:K,ADJ!$E:$E,'RPL1'!$C9)</f>
        <v>623.42899999999997</v>
      </c>
      <c r="J9" s="29">
        <f>_xlfn.XLOOKUP($C9,'PL1'!$C:$C,'PL1'!J:J)+SUMIFS(ADJ!L:L,ADJ!$E:$E,'RPL1'!$C9)</f>
        <v>480.83100000000002</v>
      </c>
      <c r="K9" s="29">
        <f>_xlfn.XLOOKUP($C9,'PL1'!$C:$C,'PL1'!K:K)+SUMIFS(ADJ!M:M,ADJ!$E:$E,'RPL1'!$C9)</f>
        <v>688.46799999999996</v>
      </c>
      <c r="L9" s="29">
        <f>_xlfn.XLOOKUP($C9,'PL1'!$C:$C,'PL1'!L:L)+SUMIFS(ADJ!N:N,ADJ!$E:$E,'RPL1'!$C9)</f>
        <v>1267.3995</v>
      </c>
      <c r="M9" s="29">
        <f>_xlfn.XLOOKUP($C9,'PL1'!$C:$C,'PL1'!M:M)+SUMIFS(ADJ!O:O,ADJ!$E:$E,'RPL1'!$C9)</f>
        <v>1276.1760000000002</v>
      </c>
      <c r="N9" s="29">
        <f>_xlfn.XLOOKUP($C9,'PL1'!$C:$C,'PL1'!N:N)+SUMIFS(ADJ!P:P,ADJ!$E:$E,'RPL1'!$C9)</f>
        <v>238.70149999999998</v>
      </c>
      <c r="O9" s="29">
        <f>_xlfn.XLOOKUP($C9,'PL1'!$C:$C,'PL1'!O:O)+SUMIFS(ADJ!Q:Q,ADJ!$E:$E,'RPL1'!$C9)</f>
        <v>550.8931</v>
      </c>
      <c r="P9" s="29">
        <f>_xlfn.XLOOKUP($C9,'PL1'!$C:$C,'PL1'!P:P)+SUMIFS(ADJ!R:R,ADJ!$E:$E,'RPL1'!$C9)</f>
        <v>736.78299999999979</v>
      </c>
      <c r="Q9" s="29">
        <f>_xlfn.XLOOKUP($C9,'PL1'!$C:$C,'PL1'!Q:Q)+SUMIFS(ADJ!S:S,ADJ!$E:$E,'RPL1'!$C9)</f>
        <v>422.04399999999998</v>
      </c>
      <c r="R9" s="29">
        <f>_xlfn.XLOOKUP($C9,'PL1'!$C:$C,'PL1'!R:R)+SUMIFS(ADJ!T:T,ADJ!$E:$E,'RPL1'!$C9)</f>
        <v>525.65</v>
      </c>
      <c r="S9" s="29">
        <f>_xlfn.XLOOKUP($C9,'PL1'!$C:$C,'PL1'!S:S)+SUMIFS(ADJ!U:U,ADJ!$E:$E,'RPL1'!$C9)</f>
        <v>371.34799999999996</v>
      </c>
      <c r="T9" s="29">
        <f>_xlfn.XLOOKUP($C9,'PL1'!$C:$C,'PL1'!T:T)+SUMIFS(ADJ!V:V,ADJ!$E:$E,'RPL1'!$C9)</f>
        <v>381.63400000000001</v>
      </c>
      <c r="U9" s="29">
        <f>_xlfn.XLOOKUP($C9,'PL1'!$C:$C,'PL1'!U:U)+SUMIFS(ADJ!W:W,ADJ!$E:$E,'RPL1'!$C9)</f>
        <v>537.17899999999997</v>
      </c>
      <c r="V9" s="29">
        <f>_xlfn.XLOOKUP($C9,'PL1'!$C:$C,'PL1'!V:V)+SUMIFS(ADJ!X:X,ADJ!$E:$E,'RPL1'!$C9)</f>
        <v>356.904</v>
      </c>
      <c r="W9" s="29">
        <f>_xlfn.XLOOKUP($C9,'PL1'!$C:$C,'PL1'!W:W)+SUMIFS(ADJ!Y:Y,ADJ!$E:$E,'RPL1'!$C9)</f>
        <v>365.61400000000003</v>
      </c>
      <c r="X9" s="29">
        <f>_xlfn.XLOOKUP($C9,'PL1'!$C:$C,'PL1'!X:X)+SUMIFS(ADJ!Z:Z,ADJ!$E:$E,'RPL1'!$C9)</f>
        <v>1132.4019999999998</v>
      </c>
      <c r="Y9" s="29">
        <f>_xlfn.XLOOKUP($C9,'PL1'!$C:$C,'PL1'!Y:Y)+SUMIFS(ADJ!AA:AA,ADJ!$E:$E,'RPL1'!$C9)</f>
        <v>1135.1701400000002</v>
      </c>
      <c r="Z9" s="29">
        <f>_xlfn.XLOOKUP($C9,'PL1'!$C:$C,'PL1'!Z:Z)+SUMIFS(ADJ!AB:AB,ADJ!$E:$E,'RPL1'!$C9)</f>
        <v>329.65100999999999</v>
      </c>
      <c r="AA9" s="29">
        <f>_xlfn.XLOOKUP($C9,'PL1'!$C:$C,'PL1'!AA:AA)+SUMIFS(ADJ!AC:AC,ADJ!$E:$E,'RPL1'!$C9)</f>
        <v>807.92899999999997</v>
      </c>
      <c r="AB9" s="29">
        <f>_xlfn.XLOOKUP($C9,'PL1'!$C:$C,'PL1'!AB:AB)+SUMIFS(ADJ!AD:AD,ADJ!$E:$E,'RPL1'!$C9)</f>
        <v>413.2260099999998</v>
      </c>
      <c r="AC9" s="29">
        <f>_xlfn.XLOOKUP($C9,'PL1'!$C:$C,'PL1'!AC:AC)+SUMIFS(ADJ!AE:AE,ADJ!$E:$E,'RPL1'!$C9)</f>
        <v>351.47300000000001</v>
      </c>
      <c r="AD9" s="29">
        <f>_xlfn.XLOOKUP($C9,'PL1'!$C:$C,'PL1'!AD:AD)+SUMIFS(ADJ!AF:AF,ADJ!$E:$E,'RPL1'!$C9)</f>
        <v>543.60699999999997</v>
      </c>
      <c r="AE9" s="29">
        <f>_xlfn.XLOOKUP($C9,'PL1'!$C:$C,'PL1'!AE:AE)+SUMIFS(ADJ!AG:AG,ADJ!$E:$E,'RPL1'!$C9)</f>
        <v>736.56510000000014</v>
      </c>
      <c r="AF9" s="29">
        <f>_xlfn.XLOOKUP($C9,'PL1'!$C:$C,'PL1'!AF:AF)+SUMIFS(ADJ!AH:AH,ADJ!$E:$E,'RPL1'!$C9)</f>
        <v>425.64699999999999</v>
      </c>
      <c r="AG9" s="29">
        <f>_xlfn.XLOOKUP($C9,'PL1'!$C:$C,'PL1'!AG:AG)+SUMIFS(ADJ!AI:AI,ADJ!$E:$E,'RPL1'!$C9)</f>
        <v>284.19</v>
      </c>
      <c r="AH9" s="29">
        <f>_xlfn.XLOOKUP($C9,'PL1'!$C:$C,'PL1'!AH:AH)+SUMIFS(ADJ!AJ:AJ,ADJ!$E:$E,'RPL1'!$C9)</f>
        <v>760.36599999999999</v>
      </c>
      <c r="AI9" s="29">
        <f>_xlfn.XLOOKUP($C9,'PL1'!$C:$C,'PL1'!AI:AI)+SUMIFS(ADJ!AK:AK,ADJ!$E:$E,'RPL1'!$C9)</f>
        <v>423.18799999999999</v>
      </c>
      <c r="AJ9" s="29"/>
      <c r="AK9" s="29">
        <f>SUM(E9:P9)</f>
        <v>7647.4216000000006</v>
      </c>
      <c r="AL9" s="29">
        <f>SUM(Q9:AB9)</f>
        <v>6778.7511599999989</v>
      </c>
      <c r="AM9" s="29">
        <f>SUM(X9:AI9)</f>
        <v>7343.4142599999996</v>
      </c>
      <c r="AN9" s="2"/>
      <c r="AO9" s="5">
        <f>IFERROR(AK9/AK$10%,0)</f>
        <v>99.999999999999986</v>
      </c>
      <c r="AP9" s="5">
        <f>IFERROR(AL9/AL$10%,0)</f>
        <v>100</v>
      </c>
      <c r="AQ9" s="5">
        <f>IFERROR(AM9/AM$10%,0)</f>
        <v>99.999999999999986</v>
      </c>
    </row>
    <row r="10" spans="1:43" ht="11.25" customHeight="1" x14ac:dyDescent="0.2">
      <c r="C10" s="28" t="s">
        <v>28</v>
      </c>
      <c r="D10" s="27"/>
      <c r="E10" s="26">
        <f>SUM(E9:E9)</f>
        <v>193.12699999999998</v>
      </c>
      <c r="F10" s="26">
        <f>SUM(F9:F9)</f>
        <v>429.44349999999997</v>
      </c>
      <c r="G10" s="26">
        <f>SUM(G9:G9)</f>
        <v>731.81500000000005</v>
      </c>
      <c r="H10" s="26">
        <f>SUM(H9:H9)</f>
        <v>430.35500000000002</v>
      </c>
      <c r="I10" s="26">
        <f>SUM(I9:I9)</f>
        <v>623.42899999999997</v>
      </c>
      <c r="J10" s="26">
        <f>SUM(J9:J9)</f>
        <v>480.83100000000002</v>
      </c>
      <c r="K10" s="26">
        <f>SUM(K9:K9)</f>
        <v>688.46799999999996</v>
      </c>
      <c r="L10" s="26">
        <f>SUM(L9:L9)</f>
        <v>1267.3995</v>
      </c>
      <c r="M10" s="26">
        <f>SUM(M9:M9)</f>
        <v>1276.1760000000002</v>
      </c>
      <c r="N10" s="26">
        <f>SUM(N9:N9)</f>
        <v>238.70149999999998</v>
      </c>
      <c r="O10" s="26">
        <f>SUM(O9:O9)</f>
        <v>550.8931</v>
      </c>
      <c r="P10" s="26">
        <f>SUM(P9:P9)</f>
        <v>736.78299999999979</v>
      </c>
      <c r="Q10" s="26">
        <f>SUM(Q9:Q9)</f>
        <v>422.04399999999998</v>
      </c>
      <c r="R10" s="26">
        <f>SUM(R9:R9)</f>
        <v>525.65</v>
      </c>
      <c r="S10" s="26">
        <f>SUM(S9:S9)</f>
        <v>371.34799999999996</v>
      </c>
      <c r="T10" s="26">
        <f>SUM(T9:T9)</f>
        <v>381.63400000000001</v>
      </c>
      <c r="U10" s="26">
        <f>SUM(U9:U9)</f>
        <v>537.17899999999997</v>
      </c>
      <c r="V10" s="26">
        <f>SUM(V9:V9)</f>
        <v>356.904</v>
      </c>
      <c r="W10" s="26">
        <f>SUM(W9:W9)</f>
        <v>365.61400000000003</v>
      </c>
      <c r="X10" s="26">
        <f>SUM(X9:X9)</f>
        <v>1132.4019999999998</v>
      </c>
      <c r="Y10" s="26">
        <f>SUM(Y9:Y9)</f>
        <v>1135.1701400000002</v>
      </c>
      <c r="Z10" s="26">
        <f>SUM(Z9:Z9)</f>
        <v>329.65100999999999</v>
      </c>
      <c r="AA10" s="26">
        <f>SUM(AA9:AA9)</f>
        <v>807.92899999999997</v>
      </c>
      <c r="AB10" s="26">
        <f>SUM(AB9:AB9)</f>
        <v>413.2260099999998</v>
      </c>
      <c r="AC10" s="26">
        <f>SUM(AC9:AC9)</f>
        <v>351.47300000000001</v>
      </c>
      <c r="AD10" s="26">
        <f>SUM(AD9:AD9)</f>
        <v>543.60699999999997</v>
      </c>
      <c r="AE10" s="26">
        <f>SUM(AE9:AE9)</f>
        <v>736.56510000000014</v>
      </c>
      <c r="AF10" s="26">
        <f>SUM(AF9:AF9)</f>
        <v>425.64699999999999</v>
      </c>
      <c r="AG10" s="26">
        <f>SUM(AG9:AG9)</f>
        <v>284.19</v>
      </c>
      <c r="AH10" s="26">
        <f>SUM(AH9:AH9)</f>
        <v>760.36599999999999</v>
      </c>
      <c r="AI10" s="26">
        <f>SUM(AI9:AI9)</f>
        <v>423.18799999999999</v>
      </c>
      <c r="AJ10" s="26"/>
      <c r="AK10" s="26">
        <f>SUM(AK9:AK9)</f>
        <v>7647.4216000000006</v>
      </c>
      <c r="AL10" s="26">
        <f>SUM(AL9:AL9)</f>
        <v>6778.7511599999989</v>
      </c>
      <c r="AM10" s="26">
        <f>SUM(AM9:AM9)</f>
        <v>7343.4142599999996</v>
      </c>
      <c r="AN10" s="25"/>
      <c r="AO10" s="24">
        <f>IFERROR(AK10/AK$10%,0)</f>
        <v>99.999999999999986</v>
      </c>
      <c r="AP10" s="24">
        <f>IFERROR(AL10/AL$10%,0)</f>
        <v>100</v>
      </c>
      <c r="AQ10" s="24">
        <f>IFERROR(AM10/AM$10%,0)</f>
        <v>99.999999999999986</v>
      </c>
    </row>
    <row r="11" spans="1:43" ht="6" customHeight="1" x14ac:dyDescent="0.2">
      <c r="D11" s="4"/>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3"/>
      <c r="AP11" s="23"/>
      <c r="AQ11" s="23"/>
    </row>
    <row r="12" spans="1:43" ht="11.25" customHeight="1" x14ac:dyDescent="0.2">
      <c r="C12" s="7" t="s">
        <v>27</v>
      </c>
      <c r="D12" s="4"/>
      <c r="E12" s="22" t="s">
        <v>26</v>
      </c>
      <c r="F12" s="22" t="s">
        <v>26</v>
      </c>
      <c r="G12" s="22" t="s">
        <v>26</v>
      </c>
      <c r="H12" s="22" t="s">
        <v>26</v>
      </c>
      <c r="I12" s="22" t="s">
        <v>26</v>
      </c>
      <c r="J12" s="22" t="s">
        <v>26</v>
      </c>
      <c r="K12" s="22" t="s">
        <v>26</v>
      </c>
      <c r="L12" s="22" t="s">
        <v>26</v>
      </c>
      <c r="M12" s="22" t="s">
        <v>26</v>
      </c>
      <c r="N12" s="22" t="s">
        <v>26</v>
      </c>
      <c r="O12" s="22" t="s">
        <v>26</v>
      </c>
      <c r="P12" s="22" t="s">
        <v>26</v>
      </c>
      <c r="Q12" s="5">
        <f>IFERROR(Q10/E10%-100,0)</f>
        <v>118.53184691938466</v>
      </c>
      <c r="R12" s="5">
        <f>IFERROR(R10/F10%-100,0)</f>
        <v>22.402597780616077</v>
      </c>
      <c r="S12" s="5">
        <f>IFERROR(S10/G10%-100,0)</f>
        <v>-49.256574407466374</v>
      </c>
      <c r="T12" s="5">
        <f>IFERROR(T10/H10%-100,0)</f>
        <v>-11.321118611378978</v>
      </c>
      <c r="U12" s="5">
        <f>IFERROR(U10/I10%-100,0)</f>
        <v>-13.834775090667904</v>
      </c>
      <c r="V12" s="5">
        <f>IFERROR(V10/J10%-100,0)</f>
        <v>-25.773504620126417</v>
      </c>
      <c r="W12" s="5">
        <f>IFERROR(W10/K10%-100,0)</f>
        <v>-46.894554285747475</v>
      </c>
      <c r="X12" s="5">
        <f>IFERROR(X10/L10%-100,0)</f>
        <v>-10.651534894877273</v>
      </c>
      <c r="Y12" s="5">
        <f>IFERROR(Y10/M10%-100,0)</f>
        <v>-11.04909197477464</v>
      </c>
      <c r="Z12" s="5">
        <f>IFERROR(Z10/N10%-100,0)</f>
        <v>38.101775648665807</v>
      </c>
      <c r="AA12" s="5">
        <f>IFERROR(AA10/O10%-100,0)</f>
        <v>46.658035833086302</v>
      </c>
      <c r="AB12" s="5">
        <f>IFERROR(AB10/P10%-100,0)</f>
        <v>-43.914828382305245</v>
      </c>
      <c r="AC12" s="5">
        <f>IFERROR(AC10/Q10%-100,0)</f>
        <v>-16.721242334922422</v>
      </c>
      <c r="AD12" s="5">
        <f>IFERROR(AD10/R10%-100,0)</f>
        <v>3.4161514315609196</v>
      </c>
      <c r="AE12" s="5">
        <f>IFERROR(AE10/S10%-100,0)</f>
        <v>98.349014940164011</v>
      </c>
      <c r="AF12" s="5">
        <f>IFERROR(AF10/T10%-100,0)</f>
        <v>11.532777477897667</v>
      </c>
      <c r="AG12" s="5">
        <f>IFERROR(AG10/U10%-100,0)</f>
        <v>-47.095847008166736</v>
      </c>
      <c r="AH12" s="5">
        <f>IFERROR(AH10/V10%-100,0)</f>
        <v>113.04496447223903</v>
      </c>
      <c r="AI12" s="5">
        <f>IFERROR(AI10/W10%-100,0)</f>
        <v>15.747208804914465</v>
      </c>
      <c r="AJ12" s="2"/>
      <c r="AK12" s="22" t="s">
        <v>26</v>
      </c>
      <c r="AL12" s="5">
        <f>IFERROR(AL10/AK10%-100,0)</f>
        <v>-11.358997652228325</v>
      </c>
      <c r="AM12" s="5">
        <f>IFERROR(AM10/SUM(L10:W10)%-100,0)</f>
        <v>4.4533945587531036</v>
      </c>
      <c r="AN12" s="2"/>
      <c r="AO12" s="5"/>
      <c r="AP12" s="5"/>
      <c r="AQ12" s="5"/>
    </row>
    <row r="13" spans="1:43" ht="6" customHeight="1" x14ac:dyDescent="0.2">
      <c r="C13" s="7"/>
      <c r="D13" s="4"/>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2"/>
      <c r="AK13" s="5"/>
      <c r="AL13" s="5"/>
      <c r="AM13" s="5"/>
      <c r="AN13" s="2"/>
      <c r="AO13" s="5"/>
      <c r="AP13" s="5"/>
      <c r="AQ13" s="5"/>
    </row>
    <row r="14" spans="1:43" ht="11.25" customHeight="1" x14ac:dyDescent="0.2">
      <c r="C14" s="17" t="s">
        <v>25</v>
      </c>
      <c r="D14" s="15"/>
      <c r="E14" s="14">
        <v>0</v>
      </c>
      <c r="F14" s="14">
        <v>0</v>
      </c>
      <c r="G14" s="14">
        <v>0</v>
      </c>
      <c r="H14" s="14">
        <v>0</v>
      </c>
      <c r="I14" s="14">
        <v>0</v>
      </c>
      <c r="J14" s="14">
        <v>0</v>
      </c>
      <c r="K14" s="14">
        <v>0</v>
      </c>
      <c r="L14" s="14">
        <v>0</v>
      </c>
      <c r="M14" s="14">
        <v>0</v>
      </c>
      <c r="N14" s="14">
        <v>0</v>
      </c>
      <c r="O14" s="14">
        <v>0</v>
      </c>
      <c r="P14" s="14">
        <v>0</v>
      </c>
      <c r="Q14" s="14">
        <v>0</v>
      </c>
      <c r="R14" s="14">
        <v>0</v>
      </c>
      <c r="S14" s="14">
        <v>0</v>
      </c>
      <c r="T14" s="14">
        <v>0</v>
      </c>
      <c r="U14" s="14">
        <v>0</v>
      </c>
      <c r="V14" s="14">
        <v>0</v>
      </c>
      <c r="W14" s="14">
        <v>0</v>
      </c>
      <c r="X14" s="14">
        <v>0</v>
      </c>
      <c r="Y14" s="14">
        <v>0</v>
      </c>
      <c r="Z14" s="14">
        <v>0</v>
      </c>
      <c r="AA14" s="14">
        <v>0</v>
      </c>
      <c r="AB14" s="14">
        <v>0</v>
      </c>
      <c r="AC14" s="14">
        <v>0</v>
      </c>
      <c r="AD14" s="14">
        <v>0</v>
      </c>
      <c r="AE14" s="14">
        <v>0</v>
      </c>
      <c r="AF14" s="14">
        <v>0</v>
      </c>
      <c r="AG14" s="14">
        <v>0</v>
      </c>
      <c r="AH14" s="14">
        <v>0</v>
      </c>
      <c r="AI14" s="14">
        <v>0</v>
      </c>
      <c r="AJ14" s="14"/>
      <c r="AK14" s="14">
        <f>SUM(E14:P14)</f>
        <v>0</v>
      </c>
      <c r="AL14" s="14">
        <f>SUM(Q14:AB14)</f>
        <v>0</v>
      </c>
      <c r="AM14" s="14">
        <f>SUM(X14:AI14)</f>
        <v>0</v>
      </c>
      <c r="AN14" s="14"/>
      <c r="AO14" s="13">
        <f>IFERROR(AK14/AK$10%,0)</f>
        <v>0</v>
      </c>
      <c r="AP14" s="13">
        <f>IFERROR(AL14/AL$10%,0)</f>
        <v>0</v>
      </c>
      <c r="AQ14" s="13">
        <f>IFERROR(AM14/AM$10%,0)</f>
        <v>0</v>
      </c>
    </row>
    <row r="15" spans="1:43" ht="11.25" customHeight="1" x14ac:dyDescent="0.25">
      <c r="C15" s="21" t="s">
        <v>4</v>
      </c>
      <c r="D15" s="20"/>
      <c r="E15" s="19">
        <f>E10-E14</f>
        <v>193.12699999999998</v>
      </c>
      <c r="F15" s="19">
        <f>F10-F14</f>
        <v>429.44349999999997</v>
      </c>
      <c r="G15" s="19">
        <f>G10-G14</f>
        <v>731.81500000000005</v>
      </c>
      <c r="H15" s="19">
        <f>H10-H14</f>
        <v>430.35500000000002</v>
      </c>
      <c r="I15" s="19">
        <f>I10-I14</f>
        <v>623.42899999999997</v>
      </c>
      <c r="J15" s="19">
        <f>J10-J14</f>
        <v>480.83100000000002</v>
      </c>
      <c r="K15" s="19">
        <f>K10-K14</f>
        <v>688.46799999999996</v>
      </c>
      <c r="L15" s="19">
        <f>L10-L14</f>
        <v>1267.3995</v>
      </c>
      <c r="M15" s="19">
        <f>M10-M14</f>
        <v>1276.1760000000002</v>
      </c>
      <c r="N15" s="19">
        <f>N10-N14</f>
        <v>238.70149999999998</v>
      </c>
      <c r="O15" s="19">
        <f>O10-O14</f>
        <v>550.8931</v>
      </c>
      <c r="P15" s="19">
        <f>P10-P14</f>
        <v>736.78299999999979</v>
      </c>
      <c r="Q15" s="19">
        <f>Q10-Q14</f>
        <v>422.04399999999998</v>
      </c>
      <c r="R15" s="19">
        <f>R10-R14</f>
        <v>525.65</v>
      </c>
      <c r="S15" s="19">
        <f>S10-S14</f>
        <v>371.34799999999996</v>
      </c>
      <c r="T15" s="19">
        <f>T10-T14</f>
        <v>381.63400000000001</v>
      </c>
      <c r="U15" s="19">
        <f>U10-U14</f>
        <v>537.17899999999997</v>
      </c>
      <c r="V15" s="19">
        <f>V10-V14</f>
        <v>356.904</v>
      </c>
      <c r="W15" s="19">
        <f>W10-W14</f>
        <v>365.61400000000003</v>
      </c>
      <c r="X15" s="19">
        <f>X10-X14</f>
        <v>1132.4019999999998</v>
      </c>
      <c r="Y15" s="19">
        <f>Y10-Y14</f>
        <v>1135.1701400000002</v>
      </c>
      <c r="Z15" s="19">
        <f>Z10-Z14</f>
        <v>329.65100999999999</v>
      </c>
      <c r="AA15" s="19">
        <f>AA10-AA14</f>
        <v>807.92899999999997</v>
      </c>
      <c r="AB15" s="19">
        <f>AB10-AB14</f>
        <v>413.2260099999998</v>
      </c>
      <c r="AC15" s="19">
        <f>AC10-AC14</f>
        <v>351.47300000000001</v>
      </c>
      <c r="AD15" s="19">
        <f>AD10-AD14</f>
        <v>543.60699999999997</v>
      </c>
      <c r="AE15" s="19">
        <f>AE10-AE14</f>
        <v>736.56510000000014</v>
      </c>
      <c r="AF15" s="19">
        <f>AF10-AF14</f>
        <v>425.64699999999999</v>
      </c>
      <c r="AG15" s="19">
        <f>AG10-AG14</f>
        <v>284.19</v>
      </c>
      <c r="AH15" s="19">
        <f>AH10-AH14</f>
        <v>760.36599999999999</v>
      </c>
      <c r="AI15" s="19">
        <f>AI10-AI14</f>
        <v>423.18799999999999</v>
      </c>
      <c r="AJ15" s="19"/>
      <c r="AK15" s="19">
        <f>AK10-AK14</f>
        <v>7647.4216000000006</v>
      </c>
      <c r="AL15" s="19">
        <f>AL10-AL14</f>
        <v>6778.7511599999989</v>
      </c>
      <c r="AM15" s="19">
        <f>AM10-AM14</f>
        <v>7343.4142599999996</v>
      </c>
      <c r="AN15" s="19"/>
      <c r="AO15" s="18">
        <f>IFERROR(AK15/AK$10%,0)</f>
        <v>99.999999999999986</v>
      </c>
      <c r="AP15" s="18">
        <f>IFERROR(AL15/AL$10%,0)</f>
        <v>100</v>
      </c>
      <c r="AQ15" s="18">
        <f>IFERROR(AM15/AM$10%,0)</f>
        <v>99.999999999999986</v>
      </c>
    </row>
    <row r="16" spans="1:43" ht="6" customHeight="1" x14ac:dyDescent="0.2">
      <c r="D16" s="4"/>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5"/>
      <c r="AP16" s="5"/>
      <c r="AQ16" s="5"/>
    </row>
    <row r="17" spans="3:43" ht="11.25" customHeight="1" x14ac:dyDescent="0.2">
      <c r="C17" t="s">
        <v>24</v>
      </c>
      <c r="D17" s="4"/>
      <c r="E17" s="2">
        <f>_xlfn.XLOOKUP($C17,'PL1'!$C:$C,'PL1'!E:E)-SUMIFS(ADJ!G:G,ADJ!$E:$E,'RPL1'!$C17)</f>
        <v>298.69046000000003</v>
      </c>
      <c r="F17" s="2">
        <f>_xlfn.XLOOKUP($C17,'PL1'!$C:$C,'PL1'!F:F)-SUMIFS(ADJ!H:H,ADJ!$E:$E,'RPL1'!$C17)</f>
        <v>298.48343999999997</v>
      </c>
      <c r="G17" s="2">
        <f>_xlfn.XLOOKUP($C17,'PL1'!$C:$C,'PL1'!G:G)-SUMIFS(ADJ!I:I,ADJ!$E:$E,'RPL1'!$C17)</f>
        <v>284.31466999999998</v>
      </c>
      <c r="H17" s="2">
        <f>_xlfn.XLOOKUP($C17,'PL1'!$C:$C,'PL1'!H:H)-SUMIFS(ADJ!J:J,ADJ!$E:$E,'RPL1'!$C17)</f>
        <v>276.68905999999998</v>
      </c>
      <c r="I17" s="2">
        <f>_xlfn.XLOOKUP($C17,'PL1'!$C:$C,'PL1'!I:I)-SUMIFS(ADJ!K:K,ADJ!$E:$E,'RPL1'!$C17)</f>
        <v>268.97222999999997</v>
      </c>
      <c r="J17" s="2">
        <f>_xlfn.XLOOKUP($C17,'PL1'!$C:$C,'PL1'!J:J)-SUMIFS(ADJ!L:L,ADJ!$E:$E,'RPL1'!$C17)</f>
        <v>266.65804000000009</v>
      </c>
      <c r="K17" s="2">
        <f>_xlfn.XLOOKUP($C17,'PL1'!$C:$C,'PL1'!K:K)-SUMIFS(ADJ!M:M,ADJ!$E:$E,'RPL1'!$C17)</f>
        <v>268.30101000000002</v>
      </c>
      <c r="L17" s="2">
        <f>_xlfn.XLOOKUP($C17,'PL1'!$C:$C,'PL1'!L:L)-SUMIFS(ADJ!N:N,ADJ!$E:$E,'RPL1'!$C17)</f>
        <v>266.7358799999999</v>
      </c>
      <c r="M17" s="2">
        <f>_xlfn.XLOOKUP($C17,'PL1'!$C:$C,'PL1'!M:M)-SUMIFS(ADJ!O:O,ADJ!$E:$E,'RPL1'!$C17)</f>
        <v>265.08172000000002</v>
      </c>
      <c r="N17" s="2">
        <f>_xlfn.XLOOKUP($C17,'PL1'!$C:$C,'PL1'!N:N)-SUMIFS(ADJ!P:P,ADJ!$E:$E,'RPL1'!$C17)</f>
        <v>281.37695000000008</v>
      </c>
      <c r="O17" s="2">
        <f>_xlfn.XLOOKUP($C17,'PL1'!$C:$C,'PL1'!O:O)-SUMIFS(ADJ!Q:Q,ADJ!$E:$E,'RPL1'!$C17)</f>
        <v>275.32041000000009</v>
      </c>
      <c r="P17" s="2">
        <f>_xlfn.XLOOKUP($C17,'PL1'!$C:$C,'PL1'!P:P)-SUMIFS(ADJ!R:R,ADJ!$E:$E,'RPL1'!$C17)</f>
        <v>375.49239</v>
      </c>
      <c r="Q17" s="2">
        <f>_xlfn.XLOOKUP($C17,'PL1'!$C:$C,'PL1'!Q:Q)-SUMIFS(ADJ!S:S,ADJ!$E:$E,'RPL1'!$C17)</f>
        <v>271.91109</v>
      </c>
      <c r="R17" s="2">
        <f>_xlfn.XLOOKUP($C17,'PL1'!$C:$C,'PL1'!R:R)-SUMIFS(ADJ!T:T,ADJ!$E:$E,'RPL1'!$C17)</f>
        <v>271.61953</v>
      </c>
      <c r="S17" s="2">
        <f>_xlfn.XLOOKUP($C17,'PL1'!$C:$C,'PL1'!S:S)-SUMIFS(ADJ!U:U,ADJ!$E:$E,'RPL1'!$C17)</f>
        <v>293.90775000000008</v>
      </c>
      <c r="T17" s="2">
        <f>_xlfn.XLOOKUP($C17,'PL1'!$C:$C,'PL1'!T:T)-SUMIFS(ADJ!V:V,ADJ!$E:$E,'RPL1'!$C17)</f>
        <v>301.94596999999999</v>
      </c>
      <c r="U17" s="2">
        <f>_xlfn.XLOOKUP($C17,'PL1'!$C:$C,'PL1'!U:U)-SUMIFS(ADJ!W:W,ADJ!$E:$E,'RPL1'!$C17)</f>
        <v>296.50784999999996</v>
      </c>
      <c r="V17" s="2">
        <f>_xlfn.XLOOKUP($C17,'PL1'!$C:$C,'PL1'!V:V)-SUMIFS(ADJ!X:X,ADJ!$E:$E,'RPL1'!$C17)</f>
        <v>292.17041</v>
      </c>
      <c r="W17" s="2">
        <f>_xlfn.XLOOKUP($C17,'PL1'!$C:$C,'PL1'!W:W)-SUMIFS(ADJ!Y:Y,ADJ!$E:$E,'RPL1'!$C17)</f>
        <v>290.47590000000002</v>
      </c>
      <c r="X17" s="2">
        <f>_xlfn.XLOOKUP($C17,'PL1'!$C:$C,'PL1'!X:X)-SUMIFS(ADJ!Z:Z,ADJ!$E:$E,'RPL1'!$C17)</f>
        <v>291.34559999999999</v>
      </c>
      <c r="Y17" s="2">
        <f>_xlfn.XLOOKUP($C17,'PL1'!$C:$C,'PL1'!Y:Y)-SUMIFS(ADJ!AA:AA,ADJ!$E:$E,'RPL1'!$C17)</f>
        <v>287.43832999999995</v>
      </c>
      <c r="Z17" s="2">
        <f>_xlfn.XLOOKUP($C17,'PL1'!$C:$C,'PL1'!Z:Z)-SUMIFS(ADJ!AB:AB,ADJ!$E:$E,'RPL1'!$C17)</f>
        <v>-219.37219999999979</v>
      </c>
      <c r="AA17" s="2">
        <f>_xlfn.XLOOKUP($C17,'PL1'!$C:$C,'PL1'!AA:AA)-SUMIFS(ADJ!AC:AC,ADJ!$E:$E,'RPL1'!$C17)</f>
        <v>244.77621999999982</v>
      </c>
      <c r="AB17" s="2">
        <f>_xlfn.XLOOKUP($C17,'PL1'!$C:$C,'PL1'!AB:AB)-SUMIFS(ADJ!AD:AD,ADJ!$E:$E,'RPL1'!$C17)</f>
        <v>152.51136000000071</v>
      </c>
      <c r="AC17" s="2">
        <f>_xlfn.XLOOKUP($C17,'PL1'!$C:$C,'PL1'!AC:AC)-SUMIFS(ADJ!AE:AE,ADJ!$E:$E,'RPL1'!$C17)</f>
        <v>232.13679999999997</v>
      </c>
      <c r="AD17" s="2">
        <f>_xlfn.XLOOKUP($C17,'PL1'!$C:$C,'PL1'!AD:AD)-SUMIFS(ADJ!AF:AF,ADJ!$E:$E,'RPL1'!$C17)</f>
        <v>333.07218999999998</v>
      </c>
      <c r="AE17" s="2">
        <f>_xlfn.XLOOKUP($C17,'PL1'!$C:$C,'PL1'!AE:AE)-SUMIFS(ADJ!AG:AG,ADJ!$E:$E,'RPL1'!$C17)</f>
        <v>281.43372999999997</v>
      </c>
      <c r="AF17" s="2">
        <f>_xlfn.XLOOKUP($C17,'PL1'!$C:$C,'PL1'!AF:AF)-SUMIFS(ADJ!AH:AH,ADJ!$E:$E,'RPL1'!$C17)</f>
        <v>281.47454999999991</v>
      </c>
      <c r="AG17" s="2">
        <f>_xlfn.XLOOKUP($C17,'PL1'!$C:$C,'PL1'!AG:AG)-SUMIFS(ADJ!AI:AI,ADJ!$E:$E,'RPL1'!$C17)</f>
        <v>281.31165999999996</v>
      </c>
      <c r="AH17" s="2">
        <f>_xlfn.XLOOKUP($C17,'PL1'!$C:$C,'PL1'!AH:AH)-SUMIFS(ADJ!AJ:AJ,ADJ!$E:$E,'RPL1'!$C17)</f>
        <v>280.26423</v>
      </c>
      <c r="AI17" s="2">
        <f>_xlfn.XLOOKUP($C17,'PL1'!$C:$C,'PL1'!AI:AI)-SUMIFS(ADJ!AK:AK,ADJ!$E:$E,'RPL1'!$C17)</f>
        <v>287.17412999999988</v>
      </c>
      <c r="AJ17" s="2"/>
      <c r="AK17" s="2">
        <f>SUM(E17:P17)</f>
        <v>3426.1162600000002</v>
      </c>
      <c r="AL17" s="2">
        <f>SUM(Q17:AB17)</f>
        <v>2775.237810000001</v>
      </c>
      <c r="AM17" s="2">
        <f>SUM(X17:AI17)</f>
        <v>2733.5666000000006</v>
      </c>
      <c r="AN17" s="2"/>
      <c r="AO17" s="5">
        <f>IFERROR(AK17/AK$10%,0)</f>
        <v>44.800933428333543</v>
      </c>
      <c r="AP17" s="5">
        <f>IFERROR(AL17/AL$10%,0)</f>
        <v>40.940252038990636</v>
      </c>
      <c r="AQ17" s="5">
        <f>IFERROR(AM17/AM$10%,0)</f>
        <v>37.224736385769425</v>
      </c>
    </row>
    <row r="18" spans="3:43" ht="11.25" customHeight="1" x14ac:dyDescent="0.2">
      <c r="C18" t="s">
        <v>23</v>
      </c>
      <c r="D18" s="4"/>
      <c r="E18" s="2">
        <f>_xlfn.XLOOKUP($C18,'PL1'!$C:$C,'PL1'!E:E)-SUMIFS(ADJ!G:G,ADJ!$E:$E,'RPL1'!$C18)</f>
        <v>137.43364000000003</v>
      </c>
      <c r="F18" s="2">
        <f>_xlfn.XLOOKUP($C18,'PL1'!$C:$C,'PL1'!F:F)-SUMIFS(ADJ!H:H,ADJ!$E:$E,'RPL1'!$C18)</f>
        <v>193.54791</v>
      </c>
      <c r="G18" s="2">
        <f>_xlfn.XLOOKUP($C18,'PL1'!$C:$C,'PL1'!G:G)-SUMIFS(ADJ!I:I,ADJ!$E:$E,'RPL1'!$C18)</f>
        <v>224.92212999999998</v>
      </c>
      <c r="H18" s="2">
        <f>_xlfn.XLOOKUP($C18,'PL1'!$C:$C,'PL1'!H:H)-SUMIFS(ADJ!J:J,ADJ!$E:$E,'RPL1'!$C18)</f>
        <v>125.26819</v>
      </c>
      <c r="I18" s="2">
        <f>_xlfn.XLOOKUP($C18,'PL1'!$C:$C,'PL1'!I:I)-SUMIFS(ADJ!K:K,ADJ!$E:$E,'RPL1'!$C18)</f>
        <v>176.70462000000001</v>
      </c>
      <c r="J18" s="2">
        <f>_xlfn.XLOOKUP($C18,'PL1'!$C:$C,'PL1'!J:J)-SUMIFS(ADJ!L:L,ADJ!$E:$E,'RPL1'!$C18)</f>
        <v>178.79570999999996</v>
      </c>
      <c r="K18" s="2">
        <f>_xlfn.XLOOKUP($C18,'PL1'!$C:$C,'PL1'!K:K)-SUMIFS(ADJ!M:M,ADJ!$E:$E,'RPL1'!$C18)</f>
        <v>270.18698000000001</v>
      </c>
      <c r="L18" s="2">
        <f>_xlfn.XLOOKUP($C18,'PL1'!$C:$C,'PL1'!L:L)-SUMIFS(ADJ!N:N,ADJ!$E:$E,'RPL1'!$C18)</f>
        <v>287.13070999999997</v>
      </c>
      <c r="M18" s="2">
        <f>_xlfn.XLOOKUP($C18,'PL1'!$C:$C,'PL1'!M:M)-SUMIFS(ADJ!O:O,ADJ!$E:$E,'RPL1'!$C18)</f>
        <v>147.99318000000005</v>
      </c>
      <c r="N18" s="2">
        <f>_xlfn.XLOOKUP($C18,'PL1'!$C:$C,'PL1'!N:N)-SUMIFS(ADJ!P:P,ADJ!$E:$E,'RPL1'!$C18)</f>
        <v>165.18796999999998</v>
      </c>
      <c r="O18" s="2">
        <f>_xlfn.XLOOKUP($C18,'PL1'!$C:$C,'PL1'!O:O)-SUMIFS(ADJ!Q:Q,ADJ!$E:$E,'RPL1'!$C18)</f>
        <v>337.44583</v>
      </c>
      <c r="P18" s="2">
        <f>_xlfn.XLOOKUP($C18,'PL1'!$C:$C,'PL1'!P:P)-SUMIFS(ADJ!R:R,ADJ!$E:$E,'RPL1'!$C18)</f>
        <v>319.66356000000007</v>
      </c>
      <c r="Q18" s="2">
        <f>_xlfn.XLOOKUP($C18,'PL1'!$C:$C,'PL1'!Q:Q)-SUMIFS(ADJ!S:S,ADJ!$E:$E,'RPL1'!$C18)</f>
        <v>168.82724999999999</v>
      </c>
      <c r="R18" s="2">
        <f>_xlfn.XLOOKUP($C18,'PL1'!$C:$C,'PL1'!R:R)-SUMIFS(ADJ!T:T,ADJ!$E:$E,'RPL1'!$C18)</f>
        <v>120.04549999999999</v>
      </c>
      <c r="S18" s="2">
        <f>_xlfn.XLOOKUP($C18,'PL1'!$C:$C,'PL1'!S:S)-SUMIFS(ADJ!U:U,ADJ!$E:$E,'RPL1'!$C18)</f>
        <v>172.70988</v>
      </c>
      <c r="T18" s="2">
        <f>_xlfn.XLOOKUP($C18,'PL1'!$C:$C,'PL1'!T:T)-SUMIFS(ADJ!V:V,ADJ!$E:$E,'RPL1'!$C18)</f>
        <v>148.45572000000004</v>
      </c>
      <c r="U18" s="2">
        <f>_xlfn.XLOOKUP($C18,'PL1'!$C:$C,'PL1'!U:U)-SUMIFS(ADJ!W:W,ADJ!$E:$E,'RPL1'!$C18)</f>
        <v>179.57611</v>
      </c>
      <c r="V18" s="2">
        <f>_xlfn.XLOOKUP($C18,'PL1'!$C:$C,'PL1'!V:V)-SUMIFS(ADJ!X:X,ADJ!$E:$E,'RPL1'!$C18)</f>
        <v>152.01988000000003</v>
      </c>
      <c r="W18" s="2">
        <f>_xlfn.XLOOKUP($C18,'PL1'!$C:$C,'PL1'!W:W)-SUMIFS(ADJ!Y:Y,ADJ!$E:$E,'RPL1'!$C18)</f>
        <v>223.98868999999993</v>
      </c>
      <c r="X18" s="2">
        <f>_xlfn.XLOOKUP($C18,'PL1'!$C:$C,'PL1'!X:X)-SUMIFS(ADJ!Z:Z,ADJ!$E:$E,'RPL1'!$C18)</f>
        <v>213.07865000000001</v>
      </c>
      <c r="Y18" s="2">
        <f>_xlfn.XLOOKUP($C18,'PL1'!$C:$C,'PL1'!Y:Y)-SUMIFS(ADJ!AA:AA,ADJ!$E:$E,'RPL1'!$C18)</f>
        <v>202.70499000000001</v>
      </c>
      <c r="Z18" s="2">
        <f>_xlfn.XLOOKUP($C18,'PL1'!$C:$C,'PL1'!Z:Z)-SUMIFS(ADJ!AB:AB,ADJ!$E:$E,'RPL1'!$C18)</f>
        <v>285.08553000000006</v>
      </c>
      <c r="AA18" s="2">
        <f>_xlfn.XLOOKUP($C18,'PL1'!$C:$C,'PL1'!AA:AA)-SUMIFS(ADJ!AC:AC,ADJ!$E:$E,'RPL1'!$C18)</f>
        <v>114.44835</v>
      </c>
      <c r="AB18" s="2">
        <f>_xlfn.XLOOKUP($C18,'PL1'!$C:$C,'PL1'!AB:AB)-SUMIFS(ADJ!AD:AD,ADJ!$E:$E,'RPL1'!$C18)</f>
        <v>188.95704000000003</v>
      </c>
      <c r="AC18" s="2">
        <f>_xlfn.XLOOKUP($C18,'PL1'!$C:$C,'PL1'!AC:AC)-SUMIFS(ADJ!AE:AE,ADJ!$E:$E,'RPL1'!$C18)</f>
        <v>199.86529000000002</v>
      </c>
      <c r="AD18" s="2">
        <f>_xlfn.XLOOKUP($C18,'PL1'!$C:$C,'PL1'!AD:AD)-SUMIFS(ADJ!AF:AF,ADJ!$E:$E,'RPL1'!$C18)</f>
        <v>178.72288</v>
      </c>
      <c r="AE18" s="2">
        <f>_xlfn.XLOOKUP($C18,'PL1'!$C:$C,'PL1'!AE:AE)-SUMIFS(ADJ!AG:AG,ADJ!$E:$E,'RPL1'!$C18)</f>
        <v>266.13392999999996</v>
      </c>
      <c r="AF18" s="2">
        <f>_xlfn.XLOOKUP($C18,'PL1'!$C:$C,'PL1'!AF:AF)-SUMIFS(ADJ!AH:AH,ADJ!$E:$E,'RPL1'!$C18)</f>
        <v>115.13460000000001</v>
      </c>
      <c r="AG18" s="2">
        <f>_xlfn.XLOOKUP($C18,'PL1'!$C:$C,'PL1'!AG:AG)-SUMIFS(ADJ!AI:AI,ADJ!$E:$E,'RPL1'!$C18)</f>
        <v>207.44050999999999</v>
      </c>
      <c r="AH18" s="2">
        <f>_xlfn.XLOOKUP($C18,'PL1'!$C:$C,'PL1'!AH:AH)-SUMIFS(ADJ!AJ:AJ,ADJ!$E:$E,'RPL1'!$C18)</f>
        <v>184.72747000000001</v>
      </c>
      <c r="AI18" s="2">
        <f>_xlfn.XLOOKUP($C18,'PL1'!$C:$C,'PL1'!AI:AI)-SUMIFS(ADJ!AK:AK,ADJ!$E:$E,'RPL1'!$C18)</f>
        <v>191.75563000000002</v>
      </c>
      <c r="AJ18" s="2"/>
      <c r="AK18" s="2">
        <f>SUM(E18:P18)</f>
        <v>2564.2804299999998</v>
      </c>
      <c r="AL18" s="2">
        <f>SUM(Q18:AB18)</f>
        <v>2169.89759</v>
      </c>
      <c r="AM18" s="2">
        <f>SUM(X18:AI18)</f>
        <v>2348.0548699999999</v>
      </c>
      <c r="AN18" s="2"/>
      <c r="AO18" s="5">
        <f>IFERROR(AK18/AK$10%,0)</f>
        <v>33.531307205555393</v>
      </c>
      <c r="AP18" s="5">
        <f>IFERROR(AL18/AL$10%,0)</f>
        <v>32.010285357635112</v>
      </c>
      <c r="AQ18" s="5">
        <f>IFERROR(AM18/AM$10%,0)</f>
        <v>31.974974948505764</v>
      </c>
    </row>
    <row r="19" spans="3:43" ht="11.25" customHeight="1" x14ac:dyDescent="0.2">
      <c r="C19" t="s">
        <v>22</v>
      </c>
      <c r="D19" s="4"/>
      <c r="E19" s="2">
        <f>_xlfn.XLOOKUP($C19,'PL1'!$C:$C,'PL1'!E:E)-SUMIFS(ADJ!G:G,ADJ!$E:$E,'RPL1'!$C19)</f>
        <v>38.037930000000003</v>
      </c>
      <c r="F19" s="2">
        <f>_xlfn.XLOOKUP($C19,'PL1'!$C:$C,'PL1'!F:F)-SUMIFS(ADJ!H:H,ADJ!$E:$E,'RPL1'!$C19)</f>
        <v>29.356660000000002</v>
      </c>
      <c r="G19" s="2">
        <f>_xlfn.XLOOKUP($C19,'PL1'!$C:$C,'PL1'!G:G)-SUMIFS(ADJ!I:I,ADJ!$E:$E,'RPL1'!$C19)</f>
        <v>34.113220000000005</v>
      </c>
      <c r="H19" s="2">
        <f>_xlfn.XLOOKUP($C19,'PL1'!$C:$C,'PL1'!H:H)-SUMIFS(ADJ!J:J,ADJ!$E:$E,'RPL1'!$C19)</f>
        <v>41.282789999999984</v>
      </c>
      <c r="I19" s="2">
        <f>_xlfn.XLOOKUP($C19,'PL1'!$C:$C,'PL1'!I:I)-SUMIFS(ADJ!K:K,ADJ!$E:$E,'RPL1'!$C19)</f>
        <v>58.567520000000009</v>
      </c>
      <c r="J19" s="2">
        <f>_xlfn.XLOOKUP($C19,'PL1'!$C:$C,'PL1'!J:J)-SUMIFS(ADJ!L:L,ADJ!$E:$E,'RPL1'!$C19)</f>
        <v>39.983860000000014</v>
      </c>
      <c r="K19" s="2">
        <f>_xlfn.XLOOKUP($C19,'PL1'!$C:$C,'PL1'!K:K)-SUMIFS(ADJ!M:M,ADJ!$E:$E,'RPL1'!$C19)</f>
        <v>22.859439999999985</v>
      </c>
      <c r="L19" s="2">
        <f>_xlfn.XLOOKUP($C19,'PL1'!$C:$C,'PL1'!L:L)-SUMIFS(ADJ!N:N,ADJ!$E:$E,'RPL1'!$C19)</f>
        <v>25.829879999999999</v>
      </c>
      <c r="M19" s="2">
        <f>_xlfn.XLOOKUP($C19,'PL1'!$C:$C,'PL1'!M:M)-SUMIFS(ADJ!O:O,ADJ!$E:$E,'RPL1'!$C19)</f>
        <v>29.66964000000003</v>
      </c>
      <c r="N19" s="2">
        <f>_xlfn.XLOOKUP($C19,'PL1'!$C:$C,'PL1'!N:N)-SUMIFS(ADJ!P:P,ADJ!$E:$E,'RPL1'!$C19)</f>
        <v>23.20153999999998</v>
      </c>
      <c r="O19" s="2">
        <f>_xlfn.XLOOKUP($C19,'PL1'!$C:$C,'PL1'!O:O)-SUMIFS(ADJ!Q:Q,ADJ!$E:$E,'RPL1'!$C19)</f>
        <v>29.623840000000023</v>
      </c>
      <c r="P19" s="2">
        <f>_xlfn.XLOOKUP($C19,'PL1'!$C:$C,'PL1'!P:P)-SUMIFS(ADJ!R:R,ADJ!$E:$E,'RPL1'!$C19)</f>
        <v>-98.054350000000014</v>
      </c>
      <c r="Q19" s="2">
        <f>_xlfn.XLOOKUP($C19,'PL1'!$C:$C,'PL1'!Q:Q)-SUMIFS(ADJ!S:S,ADJ!$E:$E,'RPL1'!$C19)</f>
        <v>30.082070000000002</v>
      </c>
      <c r="R19" s="2">
        <f>_xlfn.XLOOKUP($C19,'PL1'!$C:$C,'PL1'!R:R)-SUMIFS(ADJ!T:T,ADJ!$E:$E,'RPL1'!$C19)</f>
        <v>28.762040000000002</v>
      </c>
      <c r="S19" s="2">
        <f>_xlfn.XLOOKUP($C19,'PL1'!$C:$C,'PL1'!S:S)-SUMIFS(ADJ!U:U,ADJ!$E:$E,'RPL1'!$C19)</f>
        <v>29.715679999999995</v>
      </c>
      <c r="T19" s="2">
        <f>_xlfn.XLOOKUP($C19,'PL1'!$C:$C,'PL1'!T:T)-SUMIFS(ADJ!V:V,ADJ!$E:$E,'RPL1'!$C19)</f>
        <v>21.525080000000003</v>
      </c>
      <c r="U19" s="2">
        <f>_xlfn.XLOOKUP($C19,'PL1'!$C:$C,'PL1'!U:U)-SUMIFS(ADJ!W:W,ADJ!$E:$E,'RPL1'!$C19)</f>
        <v>35.728309999999993</v>
      </c>
      <c r="V19" s="2">
        <f>_xlfn.XLOOKUP($C19,'PL1'!$C:$C,'PL1'!V:V)-SUMIFS(ADJ!X:X,ADJ!$E:$E,'RPL1'!$C19)</f>
        <v>2.2702100000000009</v>
      </c>
      <c r="W19" s="2">
        <f>_xlfn.XLOOKUP($C19,'PL1'!$C:$C,'PL1'!W:W)-SUMIFS(ADJ!Y:Y,ADJ!$E:$E,'RPL1'!$C19)</f>
        <v>1.379459999999999</v>
      </c>
      <c r="X19" s="2">
        <f>_xlfn.XLOOKUP($C19,'PL1'!$C:$C,'PL1'!X:X)-SUMIFS(ADJ!Z:Z,ADJ!$E:$E,'RPL1'!$C19)</f>
        <v>1.3794599999999999</v>
      </c>
      <c r="Y19" s="2">
        <f>_xlfn.XLOOKUP($C19,'PL1'!$C:$C,'PL1'!Y:Y)-SUMIFS(ADJ!AA:AA,ADJ!$E:$E,'RPL1'!$C19)</f>
        <v>2.2702100000000001</v>
      </c>
      <c r="Z19" s="2">
        <f>_xlfn.XLOOKUP($C19,'PL1'!$C:$C,'PL1'!Z:Z)-SUMIFS(ADJ!AB:AB,ADJ!$E:$E,'RPL1'!$C19)</f>
        <v>5.1294599999999999</v>
      </c>
      <c r="AA19" s="2">
        <f>_xlfn.XLOOKUP($C19,'PL1'!$C:$C,'PL1'!AA:AA)-SUMIFS(ADJ!AC:AC,ADJ!$E:$E,'RPL1'!$C19)</f>
        <v>3.8794599999999999</v>
      </c>
      <c r="AB19" s="2">
        <f>_xlfn.XLOOKUP($C19,'PL1'!$C:$C,'PL1'!AB:AB)-SUMIFS(ADJ!AD:AD,ADJ!$E:$E,'RPL1'!$C19)</f>
        <v>161.87644999999998</v>
      </c>
      <c r="AC19" s="2">
        <f>_xlfn.XLOOKUP($C19,'PL1'!$C:$C,'PL1'!AC:AC)-SUMIFS(ADJ!AE:AE,ADJ!$E:$E,'RPL1'!$C19)</f>
        <v>1.3794599999999999</v>
      </c>
      <c r="AD19" s="2">
        <f>_xlfn.XLOOKUP($C19,'PL1'!$C:$C,'PL1'!AD:AD)-SUMIFS(ADJ!AF:AF,ADJ!$E:$E,'RPL1'!$C19)</f>
        <v>1.3794599999999999</v>
      </c>
      <c r="AE19" s="2">
        <f>_xlfn.XLOOKUP($C19,'PL1'!$C:$C,'PL1'!AE:AE)-SUMIFS(ADJ!AG:AG,ADJ!$E:$E,'RPL1'!$C19)</f>
        <v>1.3794599999999999</v>
      </c>
      <c r="AF19" s="2">
        <f>_xlfn.XLOOKUP($C19,'PL1'!$C:$C,'PL1'!AF:AF)-SUMIFS(ADJ!AH:AH,ADJ!$E:$E,'RPL1'!$C19)</f>
        <v>19.417460000000002</v>
      </c>
      <c r="AG19" s="2">
        <f>_xlfn.XLOOKUP($C19,'PL1'!$C:$C,'PL1'!AG:AG)-SUMIFS(ADJ!AI:AI,ADJ!$E:$E,'RPL1'!$C19)</f>
        <v>1.3794599999999995</v>
      </c>
      <c r="AH19" s="2">
        <f>_xlfn.XLOOKUP($C19,'PL1'!$C:$C,'PL1'!AH:AH)-SUMIFS(ADJ!AJ:AJ,ADJ!$E:$E,'RPL1'!$C19)</f>
        <v>32.106020000000001</v>
      </c>
      <c r="AI19" s="2">
        <f>_xlfn.XLOOKUP($C19,'PL1'!$C:$C,'PL1'!AI:AI)-SUMIFS(ADJ!AK:AK,ADJ!$E:$E,'RPL1'!$C19)</f>
        <v>4.7715599999999991</v>
      </c>
      <c r="AJ19" s="2"/>
      <c r="AK19" s="2">
        <f>SUM(E19:P19)</f>
        <v>274.47197</v>
      </c>
      <c r="AL19" s="2">
        <f>SUM(Q19:AB19)</f>
        <v>323.99788999999993</v>
      </c>
      <c r="AM19" s="2">
        <f>SUM(X19:AI19)</f>
        <v>236.34791999999996</v>
      </c>
      <c r="AN19" s="2"/>
      <c r="AO19" s="5">
        <f>IFERROR(AK19/AK$10%,0)</f>
        <v>3.589078572574055</v>
      </c>
      <c r="AP19" s="5">
        <f>IFERROR(AL19/AL$10%,0)</f>
        <v>4.7796103198454034</v>
      </c>
      <c r="AQ19" s="5">
        <f>IFERROR(AM19/AM$10%,0)</f>
        <v>3.2185017980995663</v>
      </c>
    </row>
    <row r="20" spans="3:43" ht="11.25" customHeight="1" x14ac:dyDescent="0.2">
      <c r="C20" t="s">
        <v>21</v>
      </c>
      <c r="D20" s="4"/>
      <c r="E20" s="2">
        <f>_xlfn.XLOOKUP($C20,'PL1'!$C:$C,'PL1'!E:E)-SUMIFS(ADJ!G:G,ADJ!$E:$E,'RPL1'!$C20)</f>
        <v>8.5549999999999997</v>
      </c>
      <c r="F20" s="2">
        <f>_xlfn.XLOOKUP($C20,'PL1'!$C:$C,'PL1'!F:F)-SUMIFS(ADJ!H:H,ADJ!$E:$E,'RPL1'!$C20)</f>
        <v>7.6875</v>
      </c>
      <c r="G20" s="2">
        <f>_xlfn.XLOOKUP($C20,'PL1'!$C:$C,'PL1'!G:G)-SUMIFS(ADJ!I:I,ADJ!$E:$E,'RPL1'!$C20)</f>
        <v>5.6</v>
      </c>
      <c r="H20" s="2">
        <f>_xlfn.XLOOKUP($C20,'PL1'!$C:$C,'PL1'!H:H)-SUMIFS(ADJ!J:J,ADJ!$E:$E,'RPL1'!$C20)</f>
        <v>11.74</v>
      </c>
      <c r="I20" s="2">
        <f>_xlfn.XLOOKUP($C20,'PL1'!$C:$C,'PL1'!I:I)-SUMIFS(ADJ!K:K,ADJ!$E:$E,'RPL1'!$C20)</f>
        <v>0</v>
      </c>
      <c r="J20" s="2">
        <f>_xlfn.XLOOKUP($C20,'PL1'!$C:$C,'PL1'!J:J)-SUMIFS(ADJ!L:L,ADJ!$E:$E,'RPL1'!$C20)</f>
        <v>15.34</v>
      </c>
      <c r="K20" s="2">
        <f>_xlfn.XLOOKUP($C20,'PL1'!$C:$C,'PL1'!K:K)-SUMIFS(ADJ!M:M,ADJ!$E:$E,'RPL1'!$C20)</f>
        <v>9.9474999999999998</v>
      </c>
      <c r="L20" s="2">
        <f>_xlfn.XLOOKUP($C20,'PL1'!$C:$C,'PL1'!L:L)-SUMIFS(ADJ!N:N,ADJ!$E:$E,'RPL1'!$C20)</f>
        <v>8</v>
      </c>
      <c r="M20" s="2">
        <f>_xlfn.XLOOKUP($C20,'PL1'!$C:$C,'PL1'!M:M)-SUMIFS(ADJ!O:O,ADJ!$E:$E,'RPL1'!$C20)</f>
        <v>8.5649999999999995</v>
      </c>
      <c r="N20" s="2">
        <f>_xlfn.XLOOKUP($C20,'PL1'!$C:$C,'PL1'!N:N)-SUMIFS(ADJ!P:P,ADJ!$E:$E,'RPL1'!$C20)</f>
        <v>8</v>
      </c>
      <c r="O20" s="2">
        <f>_xlfn.XLOOKUP($C20,'PL1'!$C:$C,'PL1'!O:O)-SUMIFS(ADJ!Q:Q,ADJ!$E:$E,'RPL1'!$C20)</f>
        <v>11.02</v>
      </c>
      <c r="P20" s="2">
        <f>_xlfn.XLOOKUP($C20,'PL1'!$C:$C,'PL1'!P:P)-SUMIFS(ADJ!R:R,ADJ!$E:$E,'RPL1'!$C20)</f>
        <v>8.8949999999999996</v>
      </c>
      <c r="Q20" s="2">
        <f>_xlfn.XLOOKUP($C20,'PL1'!$C:$C,'PL1'!Q:Q)-SUMIFS(ADJ!S:S,ADJ!$E:$E,'RPL1'!$C20)</f>
        <v>9.63307</v>
      </c>
      <c r="R20" s="2">
        <f>_xlfn.XLOOKUP($C20,'PL1'!$C:$C,'PL1'!R:R)-SUMIFS(ADJ!T:T,ADJ!$E:$E,'RPL1'!$C20)</f>
        <v>8</v>
      </c>
      <c r="S20" s="2">
        <f>_xlfn.XLOOKUP($C20,'PL1'!$C:$C,'PL1'!S:S)-SUMIFS(ADJ!U:U,ADJ!$E:$E,'RPL1'!$C20)</f>
        <v>14.865</v>
      </c>
      <c r="T20" s="2">
        <f>_xlfn.XLOOKUP($C20,'PL1'!$C:$C,'PL1'!T:T)-SUMIFS(ADJ!V:V,ADJ!$E:$E,'RPL1'!$C20)</f>
        <v>18.331500000000002</v>
      </c>
      <c r="U20" s="2">
        <f>_xlfn.XLOOKUP($C20,'PL1'!$C:$C,'PL1'!U:U)-SUMIFS(ADJ!W:W,ADJ!$E:$E,'RPL1'!$C20)</f>
        <v>0</v>
      </c>
      <c r="V20" s="2">
        <f>_xlfn.XLOOKUP($C20,'PL1'!$C:$C,'PL1'!V:V)-SUMIFS(ADJ!X:X,ADJ!$E:$E,'RPL1'!$C20)</f>
        <v>10.4</v>
      </c>
      <c r="W20" s="2">
        <f>_xlfn.XLOOKUP($C20,'PL1'!$C:$C,'PL1'!W:W)-SUMIFS(ADJ!Y:Y,ADJ!$E:$E,'RPL1'!$C20)</f>
        <v>11.395000000000007</v>
      </c>
      <c r="X20" s="2">
        <f>_xlfn.XLOOKUP($C20,'PL1'!$C:$C,'PL1'!X:X)-SUMIFS(ADJ!Z:Z,ADJ!$E:$E,'RPL1'!$C20)</f>
        <v>15.605</v>
      </c>
      <c r="Y20" s="2">
        <f>_xlfn.XLOOKUP($C20,'PL1'!$C:$C,'PL1'!Y:Y)-SUMIFS(ADJ!AA:AA,ADJ!$E:$E,'RPL1'!$C20)</f>
        <v>15.544499999999999</v>
      </c>
      <c r="Z20" s="2">
        <f>_xlfn.XLOOKUP($C20,'PL1'!$C:$C,'PL1'!Z:Z)-SUMIFS(ADJ!AB:AB,ADJ!$E:$E,'RPL1'!$C20)</f>
        <v>8.75</v>
      </c>
      <c r="AA20" s="2">
        <f>_xlfn.XLOOKUP($C20,'PL1'!$C:$C,'PL1'!AA:AA)-SUMIFS(ADJ!AC:AC,ADJ!$E:$E,'RPL1'!$C20)</f>
        <v>30.471999999999998</v>
      </c>
      <c r="AB20" s="2">
        <f>_xlfn.XLOOKUP($C20,'PL1'!$C:$C,'PL1'!AB:AB)-SUMIFS(ADJ!AD:AD,ADJ!$E:$E,'RPL1'!$C20)</f>
        <v>10.548500000000001</v>
      </c>
      <c r="AC20" s="2">
        <f>_xlfn.XLOOKUP($C20,'PL1'!$C:$C,'PL1'!AC:AC)-SUMIFS(ADJ!AE:AE,ADJ!$E:$E,'RPL1'!$C20)</f>
        <v>11.533300000000001</v>
      </c>
      <c r="AD20" s="2">
        <f>_xlfn.XLOOKUP($C20,'PL1'!$C:$C,'PL1'!AD:AD)-SUMIFS(ADJ!AF:AF,ADJ!$E:$E,'RPL1'!$C20)</f>
        <v>11.734999999999999</v>
      </c>
      <c r="AE20" s="2">
        <f>_xlfn.XLOOKUP($C20,'PL1'!$C:$C,'PL1'!AE:AE)-SUMIFS(ADJ!AG:AG,ADJ!$E:$E,'RPL1'!$C20)</f>
        <v>8.1999999999999993</v>
      </c>
      <c r="AF20" s="2">
        <f>_xlfn.XLOOKUP($C20,'PL1'!$C:$C,'PL1'!AF:AF)-SUMIFS(ADJ!AH:AH,ADJ!$E:$E,'RPL1'!$C20)</f>
        <v>18.680000000000003</v>
      </c>
      <c r="AG20" s="2">
        <f>_xlfn.XLOOKUP($C20,'PL1'!$C:$C,'PL1'!AG:AG)-SUMIFS(ADJ!AI:AI,ADJ!$E:$E,'RPL1'!$C20)</f>
        <v>8</v>
      </c>
      <c r="AH20" s="2">
        <f>_xlfn.XLOOKUP($C20,'PL1'!$C:$C,'PL1'!AH:AH)-SUMIFS(ADJ!AJ:AJ,ADJ!$E:$E,'RPL1'!$C20)</f>
        <v>16.975000000000001</v>
      </c>
      <c r="AI20" s="2">
        <f>_xlfn.XLOOKUP($C20,'PL1'!$C:$C,'PL1'!AI:AI)-SUMIFS(ADJ!AK:AK,ADJ!$E:$E,'RPL1'!$C20)</f>
        <v>30.6465</v>
      </c>
      <c r="AJ20" s="2"/>
      <c r="AK20" s="2">
        <f>SUM(E20:P20)</f>
        <v>103.35</v>
      </c>
      <c r="AL20" s="2">
        <f>SUM(Q20:AB20)</f>
        <v>153.54456999999999</v>
      </c>
      <c r="AM20" s="2">
        <f>SUM(X20:AI20)</f>
        <v>186.68979999999999</v>
      </c>
      <c r="AN20" s="2"/>
      <c r="AO20" s="5">
        <f>IFERROR(AK20/AK$10%,0)</f>
        <v>1.3514358878814785</v>
      </c>
      <c r="AP20" s="5">
        <f>IFERROR(AL20/AL$10%,0)</f>
        <v>2.2650863909274999</v>
      </c>
      <c r="AQ20" s="5">
        <f>IFERROR(AM20/AM$10%,0)</f>
        <v>2.5422752059203586</v>
      </c>
    </row>
    <row r="21" spans="3:43" ht="11.25" customHeight="1" x14ac:dyDescent="0.2">
      <c r="C21" t="s">
        <v>20</v>
      </c>
      <c r="D21" s="4"/>
      <c r="E21" s="2">
        <f>_xlfn.XLOOKUP($C21,'PL1'!$C:$C,'PL1'!E:E)-SUMIFS(ADJ!G:G,ADJ!$E:$E,'RPL1'!$C21)</f>
        <v>17.178849999999997</v>
      </c>
      <c r="F21" s="2">
        <f>_xlfn.XLOOKUP($C21,'PL1'!$C:$C,'PL1'!F:F)-SUMIFS(ADJ!H:H,ADJ!$E:$E,'RPL1'!$C21)</f>
        <v>3.8480600000000003</v>
      </c>
      <c r="G21" s="2">
        <f>_xlfn.XLOOKUP($C21,'PL1'!$C:$C,'PL1'!G:G)-SUMIFS(ADJ!I:I,ADJ!$E:$E,'RPL1'!$C21)</f>
        <v>14.082360000000003</v>
      </c>
      <c r="H21" s="2">
        <f>_xlfn.XLOOKUP($C21,'PL1'!$C:$C,'PL1'!H:H)-SUMIFS(ADJ!J:J,ADJ!$E:$E,'RPL1'!$C21)</f>
        <v>9.3941499999999998</v>
      </c>
      <c r="I21" s="2">
        <f>_xlfn.XLOOKUP($C21,'PL1'!$C:$C,'PL1'!I:I)-SUMIFS(ADJ!K:K,ADJ!$E:$E,'RPL1'!$C21)</f>
        <v>8.2432800000000004</v>
      </c>
      <c r="J21" s="2">
        <f>_xlfn.XLOOKUP($C21,'PL1'!$C:$C,'PL1'!J:J)-SUMIFS(ADJ!L:L,ADJ!$E:$E,'RPL1'!$C21)</f>
        <v>15.338909999999998</v>
      </c>
      <c r="K21" s="2">
        <f>_xlfn.XLOOKUP($C21,'PL1'!$C:$C,'PL1'!K:K)-SUMIFS(ADJ!M:M,ADJ!$E:$E,'RPL1'!$C21)</f>
        <v>8.8147200000000012</v>
      </c>
      <c r="L21" s="2">
        <f>_xlfn.XLOOKUP($C21,'PL1'!$C:$C,'PL1'!L:L)-SUMIFS(ADJ!N:N,ADJ!$E:$E,'RPL1'!$C21)</f>
        <v>4.3398599999999981</v>
      </c>
      <c r="M21" s="2">
        <f>_xlfn.XLOOKUP($C21,'PL1'!$C:$C,'PL1'!M:M)-SUMIFS(ADJ!O:O,ADJ!$E:$E,'RPL1'!$C21)</f>
        <v>8.5679100000000048</v>
      </c>
      <c r="N21" s="2">
        <f>_xlfn.XLOOKUP($C21,'PL1'!$C:$C,'PL1'!N:N)-SUMIFS(ADJ!P:P,ADJ!$E:$E,'RPL1'!$C21)</f>
        <v>6.5075599999999945</v>
      </c>
      <c r="O21" s="2">
        <f>_xlfn.XLOOKUP($C21,'PL1'!$C:$C,'PL1'!O:O)-SUMIFS(ADJ!Q:Q,ADJ!$E:$E,'RPL1'!$C21)</f>
        <v>5.8444100000000043</v>
      </c>
      <c r="P21" s="2">
        <f>_xlfn.XLOOKUP($C21,'PL1'!$C:$C,'PL1'!P:P)-SUMIFS(ADJ!R:R,ADJ!$E:$E,'RPL1'!$C21)</f>
        <v>11.801329999999997</v>
      </c>
      <c r="Q21" s="2">
        <f>_xlfn.XLOOKUP($C21,'PL1'!$C:$C,'PL1'!Q:Q)-SUMIFS(ADJ!S:S,ADJ!$E:$E,'RPL1'!$C21)</f>
        <v>14.060119999999998</v>
      </c>
      <c r="R21" s="2">
        <f>_xlfn.XLOOKUP($C21,'PL1'!$C:$C,'PL1'!R:R)-SUMIFS(ADJ!T:T,ADJ!$E:$E,'RPL1'!$C21)</f>
        <v>9.0672699999999988</v>
      </c>
      <c r="S21" s="2">
        <f>_xlfn.XLOOKUP($C21,'PL1'!$C:$C,'PL1'!S:S)-SUMIFS(ADJ!U:U,ADJ!$E:$E,'RPL1'!$C21)</f>
        <v>7.7858900000000002</v>
      </c>
      <c r="T21" s="2">
        <f>_xlfn.XLOOKUP($C21,'PL1'!$C:$C,'PL1'!T:T)-SUMIFS(ADJ!V:V,ADJ!$E:$E,'RPL1'!$C21)</f>
        <v>4.2955500000000004</v>
      </c>
      <c r="U21" s="2">
        <f>_xlfn.XLOOKUP($C21,'PL1'!$C:$C,'PL1'!U:U)-SUMIFS(ADJ!W:W,ADJ!$E:$E,'RPL1'!$C21)</f>
        <v>8.93703</v>
      </c>
      <c r="V21" s="2">
        <f>_xlfn.XLOOKUP($C21,'PL1'!$C:$C,'PL1'!V:V)-SUMIFS(ADJ!X:X,ADJ!$E:$E,'RPL1'!$C21)</f>
        <v>11.021109999999998</v>
      </c>
      <c r="W21" s="2">
        <f>_xlfn.XLOOKUP($C21,'PL1'!$C:$C,'PL1'!W:W)-SUMIFS(ADJ!Y:Y,ADJ!$E:$E,'RPL1'!$C21)</f>
        <v>6.6969800000000017</v>
      </c>
      <c r="X21" s="2">
        <f>_xlfn.XLOOKUP($C21,'PL1'!$C:$C,'PL1'!X:X)-SUMIFS(ADJ!Z:Z,ADJ!$E:$E,'RPL1'!$C21)</f>
        <v>4.2696299999999994</v>
      </c>
      <c r="Y21" s="2">
        <f>_xlfn.XLOOKUP($C21,'PL1'!$C:$C,'PL1'!Y:Y)-SUMIFS(ADJ!AA:AA,ADJ!$E:$E,'RPL1'!$C21)</f>
        <v>9.7357000000000014</v>
      </c>
      <c r="Z21" s="2">
        <f>_xlfn.XLOOKUP($C21,'PL1'!$C:$C,'PL1'!Z:Z)-SUMIFS(ADJ!AB:AB,ADJ!$E:$E,'RPL1'!$C21)</f>
        <v>7.3067799999999998</v>
      </c>
      <c r="AA21" s="2">
        <f>_xlfn.XLOOKUP($C21,'PL1'!$C:$C,'PL1'!AA:AA)-SUMIFS(ADJ!AC:AC,ADJ!$E:$E,'RPL1'!$C21)</f>
        <v>8.4905899999999992</v>
      </c>
      <c r="AB21" s="2">
        <f>_xlfn.XLOOKUP($C21,'PL1'!$C:$C,'PL1'!AB:AB)-SUMIFS(ADJ!AD:AD,ADJ!$E:$E,'RPL1'!$C21)</f>
        <v>11.915010000000001</v>
      </c>
      <c r="AC21" s="2">
        <f>_xlfn.XLOOKUP($C21,'PL1'!$C:$C,'PL1'!AC:AC)-SUMIFS(ADJ!AE:AE,ADJ!$E:$E,'RPL1'!$C21)</f>
        <v>6.7009000000000007</v>
      </c>
      <c r="AD21" s="2">
        <f>_xlfn.XLOOKUP($C21,'PL1'!$C:$C,'PL1'!AD:AD)-SUMIFS(ADJ!AF:AF,ADJ!$E:$E,'RPL1'!$C21)</f>
        <v>12.543049999999999</v>
      </c>
      <c r="AE21" s="2">
        <f>_xlfn.XLOOKUP($C21,'PL1'!$C:$C,'PL1'!AE:AE)-SUMIFS(ADJ!AG:AG,ADJ!$E:$E,'RPL1'!$C21)</f>
        <v>8.959950000000001</v>
      </c>
      <c r="AF21" s="2">
        <f>_xlfn.XLOOKUP($C21,'PL1'!$C:$C,'PL1'!AF:AF)-SUMIFS(ADJ!AH:AH,ADJ!$E:$E,'RPL1'!$C21)</f>
        <v>10.282899999999996</v>
      </c>
      <c r="AG21" s="2">
        <f>_xlfn.XLOOKUP($C21,'PL1'!$C:$C,'PL1'!AG:AG)-SUMIFS(ADJ!AI:AI,ADJ!$E:$E,'RPL1'!$C21)</f>
        <v>9.9920500000000008</v>
      </c>
      <c r="AH21" s="2">
        <f>_xlfn.XLOOKUP($C21,'PL1'!$C:$C,'PL1'!AH:AH)-SUMIFS(ADJ!AJ:AJ,ADJ!$E:$E,'RPL1'!$C21)</f>
        <v>10.187609999999999</v>
      </c>
      <c r="AI21" s="2">
        <f>_xlfn.XLOOKUP($C21,'PL1'!$C:$C,'PL1'!AI:AI)-SUMIFS(ADJ!AK:AK,ADJ!$E:$E,'RPL1'!$C21)</f>
        <v>10.796149999999995</v>
      </c>
      <c r="AJ21" s="2"/>
      <c r="AK21" s="2">
        <f>SUM(E21:P21)</f>
        <v>113.9614</v>
      </c>
      <c r="AL21" s="2">
        <f>SUM(Q21:AB21)</f>
        <v>103.58166</v>
      </c>
      <c r="AM21" s="2">
        <f>SUM(X21:AI21)</f>
        <v>111.18032000000001</v>
      </c>
      <c r="AN21" s="2"/>
      <c r="AO21" s="5">
        <f>IFERROR(AK21/AK$10%,0)</f>
        <v>1.4901937667461669</v>
      </c>
      <c r="AP21" s="5">
        <f>IFERROR(AL21/AL$10%,0)</f>
        <v>1.5280345531963739</v>
      </c>
      <c r="AQ21" s="5">
        <f>IFERROR(AM21/AM$10%,0)</f>
        <v>1.5140140003486608</v>
      </c>
    </row>
    <row r="22" spans="3:43" ht="11.25" customHeight="1" x14ac:dyDescent="0.2">
      <c r="C22" s="17" t="s">
        <v>19</v>
      </c>
      <c r="D22" s="15"/>
      <c r="E22" s="14">
        <f>_xlfn.XLOOKUP($C22,'PL1'!$C:$C,'PL1'!E:E)-SUMIFS(ADJ!G:G,ADJ!$E:$E,'RPL1'!$C22)</f>
        <v>1.7243999999999999</v>
      </c>
      <c r="F22" s="14">
        <f>_xlfn.XLOOKUP($C22,'PL1'!$C:$C,'PL1'!F:F)-SUMIFS(ADJ!H:H,ADJ!$E:$E,'RPL1'!$C22)</f>
        <v>3.1080400000000004</v>
      </c>
      <c r="G22" s="14">
        <f>_xlfn.XLOOKUP($C22,'PL1'!$C:$C,'PL1'!G:G)-SUMIFS(ADJ!I:I,ADJ!$E:$E,'RPL1'!$C22)</f>
        <v>4.4508700000000001</v>
      </c>
      <c r="H22" s="14">
        <f>_xlfn.XLOOKUP($C22,'PL1'!$C:$C,'PL1'!H:H)-SUMIFS(ADJ!J:J,ADJ!$E:$E,'RPL1'!$C22)</f>
        <v>2.6212599999999995</v>
      </c>
      <c r="I22" s="14">
        <f>_xlfn.XLOOKUP($C22,'PL1'!$C:$C,'PL1'!I:I)-SUMIFS(ADJ!K:K,ADJ!$E:$E,'RPL1'!$C22)</f>
        <v>2.0853800000000002</v>
      </c>
      <c r="J22" s="14">
        <f>_xlfn.XLOOKUP($C22,'PL1'!$C:$C,'PL1'!J:J)-SUMIFS(ADJ!L:L,ADJ!$E:$E,'RPL1'!$C22)</f>
        <v>2.6648800000000001</v>
      </c>
      <c r="K22" s="14">
        <f>_xlfn.XLOOKUP($C22,'PL1'!$C:$C,'PL1'!K:K)-SUMIFS(ADJ!M:M,ADJ!$E:$E,'RPL1'!$C22)</f>
        <v>0.81089000000000033</v>
      </c>
      <c r="L22" s="14">
        <f>_xlfn.XLOOKUP($C22,'PL1'!$C:$C,'PL1'!L:L)-SUMIFS(ADJ!N:N,ADJ!$E:$E,'RPL1'!$C22)</f>
        <v>0.89428000000000019</v>
      </c>
      <c r="M22" s="14">
        <f>_xlfn.XLOOKUP($C22,'PL1'!$C:$C,'PL1'!M:M)-SUMIFS(ADJ!O:O,ADJ!$E:$E,'RPL1'!$C22)</f>
        <v>0.16400000000000001</v>
      </c>
      <c r="N22" s="14">
        <f>_xlfn.XLOOKUP($C22,'PL1'!$C:$C,'PL1'!N:N)-SUMIFS(ADJ!P:P,ADJ!$E:$E,'RPL1'!$C22)</f>
        <v>0.12366000000000008</v>
      </c>
      <c r="O22" s="14">
        <f>_xlfn.XLOOKUP($C22,'PL1'!$C:$C,'PL1'!O:O)-SUMIFS(ADJ!Q:Q,ADJ!$E:$E,'RPL1'!$C22)</f>
        <v>0.56169999999999987</v>
      </c>
      <c r="P22" s="14">
        <f>_xlfn.XLOOKUP($C22,'PL1'!$C:$C,'PL1'!P:P)-SUMIFS(ADJ!R:R,ADJ!$E:$E,'RPL1'!$C22)</f>
        <v>4.1585099999999988</v>
      </c>
      <c r="Q22" s="14">
        <f>_xlfn.XLOOKUP($C22,'PL1'!$C:$C,'PL1'!Q:Q)-SUMIFS(ADJ!S:S,ADJ!$E:$E,'RPL1'!$C22)</f>
        <v>4.1870099999999999</v>
      </c>
      <c r="R22" s="14">
        <f>_xlfn.XLOOKUP($C22,'PL1'!$C:$C,'PL1'!R:R)-SUMIFS(ADJ!T:T,ADJ!$E:$E,'RPL1'!$C22)</f>
        <v>3.82491</v>
      </c>
      <c r="S22" s="14">
        <f>_xlfn.XLOOKUP($C22,'PL1'!$C:$C,'PL1'!S:S)-SUMIFS(ADJ!U:U,ADJ!$E:$E,'RPL1'!$C22)</f>
        <v>1.3913500000000003</v>
      </c>
      <c r="T22" s="14">
        <f>_xlfn.XLOOKUP($C22,'PL1'!$C:$C,'PL1'!T:T)-SUMIFS(ADJ!V:V,ADJ!$E:$E,'RPL1'!$C22)</f>
        <v>0.9982099999999996</v>
      </c>
      <c r="U22" s="14">
        <f>_xlfn.XLOOKUP($C22,'PL1'!$C:$C,'PL1'!U:U)-SUMIFS(ADJ!W:W,ADJ!$E:$E,'RPL1'!$C22)</f>
        <v>1.3451599999999999</v>
      </c>
      <c r="V22" s="14">
        <f>_xlfn.XLOOKUP($C22,'PL1'!$C:$C,'PL1'!V:V)-SUMIFS(ADJ!X:X,ADJ!$E:$E,'RPL1'!$C22)</f>
        <v>1.8914000000000011</v>
      </c>
      <c r="W22" s="14">
        <f>_xlfn.XLOOKUP($C22,'PL1'!$C:$C,'PL1'!W:W)-SUMIFS(ADJ!Y:Y,ADJ!$E:$E,'RPL1'!$C22)</f>
        <v>0.36011999999999944</v>
      </c>
      <c r="X22" s="14">
        <f>_xlfn.XLOOKUP($C22,'PL1'!$C:$C,'PL1'!X:X)-SUMIFS(ADJ!Z:Z,ADJ!$E:$E,'RPL1'!$C22)</f>
        <v>0</v>
      </c>
      <c r="Y22" s="14">
        <f>_xlfn.XLOOKUP($C22,'PL1'!$C:$C,'PL1'!Y:Y)-SUMIFS(ADJ!AA:AA,ADJ!$E:$E,'RPL1'!$C22)</f>
        <v>4.2730000000000476E-2</v>
      </c>
      <c r="Z22" s="14">
        <f>_xlfn.XLOOKUP($C22,'PL1'!$C:$C,'PL1'!Z:Z)-SUMIFS(ADJ!AB:AB,ADJ!$E:$E,'RPL1'!$C22)</f>
        <v>1.0935899999999983</v>
      </c>
      <c r="AA22" s="14">
        <f>_xlfn.XLOOKUP($C22,'PL1'!$C:$C,'PL1'!AA:AA)-SUMIFS(ADJ!AC:AC,ADJ!$E:$E,'RPL1'!$C22)</f>
        <v>4.1866800000000008</v>
      </c>
      <c r="AB22" s="14">
        <f>_xlfn.XLOOKUP($C22,'PL1'!$C:$C,'PL1'!AB:AB)-SUMIFS(ADJ!AD:AD,ADJ!$E:$E,'RPL1'!$C22)</f>
        <v>1.1231699999999998</v>
      </c>
      <c r="AC22" s="14">
        <f>_xlfn.XLOOKUP($C22,'PL1'!$C:$C,'PL1'!AC:AC)-SUMIFS(ADJ!AE:AE,ADJ!$E:$E,'RPL1'!$C22)</f>
        <v>4.8429699999999993</v>
      </c>
      <c r="AD22" s="14">
        <f>_xlfn.XLOOKUP($C22,'PL1'!$C:$C,'PL1'!AD:AD)-SUMIFS(ADJ!AF:AF,ADJ!$E:$E,'RPL1'!$C22)</f>
        <v>2.3346100000000001</v>
      </c>
      <c r="AE22" s="14">
        <f>_xlfn.XLOOKUP($C22,'PL1'!$C:$C,'PL1'!AE:AE)-SUMIFS(ADJ!AG:AG,ADJ!$E:$E,'RPL1'!$C22)</f>
        <v>4.28287</v>
      </c>
      <c r="AF22" s="14">
        <f>_xlfn.XLOOKUP($C22,'PL1'!$C:$C,'PL1'!AF:AF)-SUMIFS(ADJ!AH:AH,ADJ!$E:$E,'RPL1'!$C22)</f>
        <v>3.1315200000000005</v>
      </c>
      <c r="AG22" s="14">
        <f>_xlfn.XLOOKUP($C22,'PL1'!$C:$C,'PL1'!AG:AG)-SUMIFS(ADJ!AI:AI,ADJ!$E:$E,'RPL1'!$C22)</f>
        <v>8.8593800000000016</v>
      </c>
      <c r="AH22" s="14">
        <f>_xlfn.XLOOKUP($C22,'PL1'!$C:$C,'PL1'!AH:AH)-SUMIFS(ADJ!AJ:AJ,ADJ!$E:$E,'RPL1'!$C22)</f>
        <v>0.91451999999999678</v>
      </c>
      <c r="AI22" s="14">
        <f>_xlfn.XLOOKUP($C22,'PL1'!$C:$C,'PL1'!AI:AI)-SUMIFS(ADJ!AK:AK,ADJ!$E:$E,'RPL1'!$C22)</f>
        <v>0.25565000000000143</v>
      </c>
      <c r="AJ22" s="14"/>
      <c r="AK22" s="14">
        <f>SUM(E22:P22)</f>
        <v>23.36787</v>
      </c>
      <c r="AL22" s="14">
        <f>SUM(Q22:AB22)</f>
        <v>20.444330000000001</v>
      </c>
      <c r="AM22" s="14">
        <f>SUM(X22:AI22)</f>
        <v>31.067690000000002</v>
      </c>
      <c r="AN22" s="14"/>
      <c r="AO22" s="13">
        <f>IFERROR(AK22/AK$10%,0)</f>
        <v>0.30556534244169298</v>
      </c>
      <c r="AP22" s="13">
        <f>IFERROR(AL22/AL$10%,0)</f>
        <v>0.30159434263699991</v>
      </c>
      <c r="AQ22" s="13">
        <f>IFERROR(AM22/AM$10%,0)</f>
        <v>0.42306873751120777</v>
      </c>
    </row>
    <row r="23" spans="3:43" ht="11.25" customHeight="1" x14ac:dyDescent="0.2">
      <c r="C23" s="17" t="s">
        <v>18</v>
      </c>
      <c r="D23" s="15"/>
      <c r="E23" s="14">
        <f>SUM(E17:E22)</f>
        <v>501.62028000000009</v>
      </c>
      <c r="F23" s="14">
        <f>SUM(F17:F22)</f>
        <v>536.03161</v>
      </c>
      <c r="G23" s="14">
        <f>SUM(G17:G22)</f>
        <v>567.48325</v>
      </c>
      <c r="H23" s="14">
        <f>SUM(H17:H22)</f>
        <v>466.99545000000001</v>
      </c>
      <c r="I23" s="14">
        <f>SUM(I17:I22)</f>
        <v>514.5730299999999</v>
      </c>
      <c r="J23" s="14">
        <f>SUM(J17:J22)</f>
        <v>518.78140000000008</v>
      </c>
      <c r="K23" s="14">
        <f>SUM(K17:K22)</f>
        <v>580.92053999999996</v>
      </c>
      <c r="L23" s="14">
        <f>SUM(L17:L22)</f>
        <v>592.93060999999989</v>
      </c>
      <c r="M23" s="14">
        <f>SUM(M17:M22)</f>
        <v>460.04145000000005</v>
      </c>
      <c r="N23" s="14">
        <f>SUM(N17:N22)</f>
        <v>484.39767999999998</v>
      </c>
      <c r="O23" s="14">
        <f>SUM(O17:O22)</f>
        <v>659.81619000000012</v>
      </c>
      <c r="P23" s="14">
        <f>SUM(P17:P22)</f>
        <v>621.95644000000004</v>
      </c>
      <c r="Q23" s="14">
        <f>SUM(Q17:Q22)</f>
        <v>498.70060999999993</v>
      </c>
      <c r="R23" s="14">
        <f>SUM(R17:R22)</f>
        <v>441.31925000000001</v>
      </c>
      <c r="S23" s="14">
        <f>SUM(S17:S22)</f>
        <v>520.37555000000009</v>
      </c>
      <c r="T23" s="14">
        <f>SUM(T17:T22)</f>
        <v>495.55203</v>
      </c>
      <c r="U23" s="14">
        <f>SUM(U17:U22)</f>
        <v>522.09445999999991</v>
      </c>
      <c r="V23" s="14">
        <f>SUM(V17:V22)</f>
        <v>469.77301</v>
      </c>
      <c r="W23" s="14">
        <f>SUM(W17:W22)</f>
        <v>534.29615000000001</v>
      </c>
      <c r="X23" s="14">
        <f>SUM(X17:X22)</f>
        <v>525.67834000000005</v>
      </c>
      <c r="Y23" s="14">
        <f>SUM(Y17:Y22)</f>
        <v>517.73645999999997</v>
      </c>
      <c r="Z23" s="14">
        <f>SUM(Z17:Z22)</f>
        <v>87.993160000000259</v>
      </c>
      <c r="AA23" s="14">
        <f>SUM(AA17:AA22)</f>
        <v>406.25329999999985</v>
      </c>
      <c r="AB23" s="14">
        <f>SUM(AB17:AB22)</f>
        <v>526.93153000000075</v>
      </c>
      <c r="AC23" s="14">
        <f>SUM(AC17:AC22)</f>
        <v>456.45871999999991</v>
      </c>
      <c r="AD23" s="14">
        <f>SUM(AD17:AD22)</f>
        <v>539.78719000000001</v>
      </c>
      <c r="AE23" s="14">
        <f>SUM(AE17:AE22)</f>
        <v>570.38994000000002</v>
      </c>
      <c r="AF23" s="14">
        <f>SUM(AF17:AF22)</f>
        <v>448.12102999999991</v>
      </c>
      <c r="AG23" s="14">
        <f>SUM(AG17:AG22)</f>
        <v>516.98306000000002</v>
      </c>
      <c r="AH23" s="14">
        <f>SUM(AH17:AH22)</f>
        <v>525.17484999999999</v>
      </c>
      <c r="AI23" s="14">
        <f>SUM(AI17:AI22)</f>
        <v>525.3996199999998</v>
      </c>
      <c r="AJ23" s="14"/>
      <c r="AK23" s="14">
        <f>SUM(AK17:AK22)</f>
        <v>6505.5479299999997</v>
      </c>
      <c r="AL23" s="14">
        <f>SUM(AL17:AL22)</f>
        <v>5546.7038500000008</v>
      </c>
      <c r="AM23" s="14">
        <f>SUM(AM17:AM22)</f>
        <v>5646.9072000000006</v>
      </c>
      <c r="AN23" s="14"/>
      <c r="AO23" s="13">
        <f>IFERROR(AK23/AK$10%,0)</f>
        <v>85.068514203532317</v>
      </c>
      <c r="AP23" s="13">
        <f>IFERROR(AL23/AL$10%,0)</f>
        <v>81.824863003232025</v>
      </c>
      <c r="AQ23" s="13">
        <f>IFERROR(AM23/AM$10%,0)</f>
        <v>76.897571076154989</v>
      </c>
    </row>
    <row r="24" spans="3:43" ht="11.25" customHeight="1" x14ac:dyDescent="0.25">
      <c r="C24" s="21" t="s">
        <v>17</v>
      </c>
      <c r="D24" s="20"/>
      <c r="E24" s="19">
        <f>E15-E23</f>
        <v>-308.49328000000014</v>
      </c>
      <c r="F24" s="19">
        <f>F15-F23</f>
        <v>-106.58811000000003</v>
      </c>
      <c r="G24" s="19">
        <f>G15-G23</f>
        <v>164.33175000000006</v>
      </c>
      <c r="H24" s="19">
        <f>H15-H23</f>
        <v>-36.640449999999987</v>
      </c>
      <c r="I24" s="19">
        <f>I15-I23</f>
        <v>108.85597000000007</v>
      </c>
      <c r="J24" s="19">
        <f>J15-J23</f>
        <v>-37.950400000000059</v>
      </c>
      <c r="K24" s="19">
        <f>K15-K23</f>
        <v>107.54746</v>
      </c>
      <c r="L24" s="19">
        <f>L15-L23</f>
        <v>674.4688900000001</v>
      </c>
      <c r="M24" s="19">
        <f>M15-M23</f>
        <v>816.1345500000001</v>
      </c>
      <c r="N24" s="19">
        <f>N15-N23</f>
        <v>-245.69618</v>
      </c>
      <c r="O24" s="19">
        <f>O15-O23</f>
        <v>-108.92309000000012</v>
      </c>
      <c r="P24" s="19">
        <f>P15-P23</f>
        <v>114.82655999999974</v>
      </c>
      <c r="Q24" s="19">
        <f>Q15-Q23</f>
        <v>-76.656609999999944</v>
      </c>
      <c r="R24" s="19">
        <f>R15-R23</f>
        <v>84.330749999999966</v>
      </c>
      <c r="S24" s="19">
        <f>S15-S23</f>
        <v>-149.02755000000013</v>
      </c>
      <c r="T24" s="19">
        <f>T15-T23</f>
        <v>-113.91802999999999</v>
      </c>
      <c r="U24" s="19">
        <f>U15-U23</f>
        <v>15.084540000000061</v>
      </c>
      <c r="V24" s="19">
        <f>V15-V23</f>
        <v>-112.86901</v>
      </c>
      <c r="W24" s="19">
        <f>W15-W23</f>
        <v>-168.68214999999998</v>
      </c>
      <c r="X24" s="19">
        <f>X15-X23</f>
        <v>606.72365999999977</v>
      </c>
      <c r="Y24" s="19">
        <f>Y15-Y23</f>
        <v>617.43368000000021</v>
      </c>
      <c r="Z24" s="19">
        <f>Z15-Z23</f>
        <v>241.65784999999971</v>
      </c>
      <c r="AA24" s="19">
        <f>AA15-AA23</f>
        <v>401.67570000000012</v>
      </c>
      <c r="AB24" s="19">
        <f>AB15-AB23</f>
        <v>-113.70552000000094</v>
      </c>
      <c r="AC24" s="19">
        <f>AC15-AC23</f>
        <v>-104.9857199999999</v>
      </c>
      <c r="AD24" s="19">
        <f>AD15-AD23</f>
        <v>3.8198099999999613</v>
      </c>
      <c r="AE24" s="19">
        <f>AE15-AE23</f>
        <v>166.17516000000012</v>
      </c>
      <c r="AF24" s="19">
        <f>AF15-AF23</f>
        <v>-22.474029999999914</v>
      </c>
      <c r="AG24" s="19">
        <f>AG15-AG23</f>
        <v>-232.79306000000003</v>
      </c>
      <c r="AH24" s="19">
        <f>AH15-AH23</f>
        <v>235.19114999999999</v>
      </c>
      <c r="AI24" s="19">
        <f>AI15-AI23</f>
        <v>-102.21161999999981</v>
      </c>
      <c r="AJ24" s="19"/>
      <c r="AK24" s="19">
        <f>AK15-AK23</f>
        <v>1141.8736700000009</v>
      </c>
      <c r="AL24" s="19">
        <f>AL15-AL23</f>
        <v>1232.0473099999981</v>
      </c>
      <c r="AM24" s="19">
        <f>AM15-AM23</f>
        <v>1696.507059999999</v>
      </c>
      <c r="AN24" s="19"/>
      <c r="AO24" s="18">
        <f>IFERROR(AK24/AK$10%,0)</f>
        <v>14.931485796467671</v>
      </c>
      <c r="AP24" s="18">
        <f>IFERROR(AL24/AL$10%,0)</f>
        <v>18.175136996767975</v>
      </c>
      <c r="AQ24" s="18">
        <f>IFERROR(AM24/AM$10%,0)</f>
        <v>23.102428923845011</v>
      </c>
    </row>
    <row r="25" spans="3:43" ht="6" customHeight="1" x14ac:dyDescent="0.2">
      <c r="C25" s="7"/>
      <c r="D25" s="4"/>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2"/>
      <c r="AK25" s="5"/>
      <c r="AL25" s="5"/>
      <c r="AM25" s="5"/>
      <c r="AN25" s="2"/>
      <c r="AO25" s="5"/>
      <c r="AP25" s="5"/>
      <c r="AQ25" s="5"/>
    </row>
    <row r="26" spans="3:43" ht="11.25" customHeight="1" x14ac:dyDescent="0.2">
      <c r="C26" t="s">
        <v>16</v>
      </c>
      <c r="D26" s="4"/>
      <c r="E26" s="2">
        <f>_xlfn.XLOOKUP($C26,'PL1'!$C:$C,'PL1'!E:E)-SUMIFS(ADJ!G:G,ADJ!$E:$E,'RPL1'!$C26)</f>
        <v>0</v>
      </c>
      <c r="F26" s="2">
        <f>_xlfn.XLOOKUP($C26,'PL1'!$C:$C,'PL1'!F:F)-SUMIFS(ADJ!H:H,ADJ!$E:$E,'RPL1'!$C26)</f>
        <v>0</v>
      </c>
      <c r="G26" s="2">
        <f>_xlfn.XLOOKUP($C26,'PL1'!$C:$C,'PL1'!G:G)-SUMIFS(ADJ!I:I,ADJ!$E:$E,'RPL1'!$C26)</f>
        <v>0</v>
      </c>
      <c r="H26" s="2">
        <f>_xlfn.XLOOKUP($C26,'PL1'!$C:$C,'PL1'!H:H)-SUMIFS(ADJ!J:J,ADJ!$E:$E,'RPL1'!$C26)</f>
        <v>0</v>
      </c>
      <c r="I26" s="2">
        <f>_xlfn.XLOOKUP($C26,'PL1'!$C:$C,'PL1'!I:I)-SUMIFS(ADJ!K:K,ADJ!$E:$E,'RPL1'!$C26)</f>
        <v>0</v>
      </c>
      <c r="J26" s="2">
        <f>_xlfn.XLOOKUP($C26,'PL1'!$C:$C,'PL1'!J:J)-SUMIFS(ADJ!L:L,ADJ!$E:$E,'RPL1'!$C26)</f>
        <v>0</v>
      </c>
      <c r="K26" s="2">
        <f>_xlfn.XLOOKUP($C26,'PL1'!$C:$C,'PL1'!K:K)-SUMIFS(ADJ!M:M,ADJ!$E:$E,'RPL1'!$C26)</f>
        <v>0</v>
      </c>
      <c r="L26" s="2">
        <f>_xlfn.XLOOKUP($C26,'PL1'!$C:$C,'PL1'!L:L)-SUMIFS(ADJ!N:N,ADJ!$E:$E,'RPL1'!$C26)</f>
        <v>0</v>
      </c>
      <c r="M26" s="2">
        <f>_xlfn.XLOOKUP($C26,'PL1'!$C:$C,'PL1'!M:M)-SUMIFS(ADJ!O:O,ADJ!$E:$E,'RPL1'!$C26)</f>
        <v>0</v>
      </c>
      <c r="N26" s="2">
        <f>_xlfn.XLOOKUP($C26,'PL1'!$C:$C,'PL1'!N:N)-SUMIFS(ADJ!P:P,ADJ!$E:$E,'RPL1'!$C26)</f>
        <v>0</v>
      </c>
      <c r="O26" s="2">
        <f>_xlfn.XLOOKUP($C26,'PL1'!$C:$C,'PL1'!O:O)-SUMIFS(ADJ!Q:Q,ADJ!$E:$E,'RPL1'!$C26)</f>
        <v>0</v>
      </c>
      <c r="P26" s="2">
        <f>_xlfn.XLOOKUP($C26,'PL1'!$C:$C,'PL1'!P:P)-SUMIFS(ADJ!R:R,ADJ!$E:$E,'RPL1'!$C26)</f>
        <v>0</v>
      </c>
      <c r="Q26" s="2">
        <f>_xlfn.XLOOKUP($C26,'PL1'!$C:$C,'PL1'!Q:Q)-SUMIFS(ADJ!S:S,ADJ!$E:$E,'RPL1'!$C26)</f>
        <v>0</v>
      </c>
      <c r="R26" s="2">
        <f>_xlfn.XLOOKUP($C26,'PL1'!$C:$C,'PL1'!R:R)-SUMIFS(ADJ!T:T,ADJ!$E:$E,'RPL1'!$C26)</f>
        <v>0</v>
      </c>
      <c r="S26" s="2">
        <f>_xlfn.XLOOKUP($C26,'PL1'!$C:$C,'PL1'!S:S)-SUMIFS(ADJ!U:U,ADJ!$E:$E,'RPL1'!$C26)</f>
        <v>0</v>
      </c>
      <c r="T26" s="2">
        <f>_xlfn.XLOOKUP($C26,'PL1'!$C:$C,'PL1'!T:T)-SUMIFS(ADJ!V:V,ADJ!$E:$E,'RPL1'!$C26)</f>
        <v>0</v>
      </c>
      <c r="U26" s="2">
        <f>_xlfn.XLOOKUP($C26,'PL1'!$C:$C,'PL1'!U:U)-SUMIFS(ADJ!W:W,ADJ!$E:$E,'RPL1'!$C26)</f>
        <v>0</v>
      </c>
      <c r="V26" s="2">
        <f>_xlfn.XLOOKUP($C26,'PL1'!$C:$C,'PL1'!V:V)-SUMIFS(ADJ!X:X,ADJ!$E:$E,'RPL1'!$C26)</f>
        <v>0</v>
      </c>
      <c r="W26" s="2">
        <f>_xlfn.XLOOKUP($C26,'PL1'!$C:$C,'PL1'!W:W)-SUMIFS(ADJ!Y:Y,ADJ!$E:$E,'RPL1'!$C26)</f>
        <v>0</v>
      </c>
      <c r="X26" s="2">
        <f>_xlfn.XLOOKUP($C26,'PL1'!$C:$C,'PL1'!X:X)-SUMIFS(ADJ!Z:Z,ADJ!$E:$E,'RPL1'!$C26)</f>
        <v>0</v>
      </c>
      <c r="Y26" s="2">
        <f>_xlfn.XLOOKUP($C26,'PL1'!$C:$C,'PL1'!Y:Y)-SUMIFS(ADJ!AA:AA,ADJ!$E:$E,'RPL1'!$C26)</f>
        <v>0</v>
      </c>
      <c r="Z26" s="2">
        <f>_xlfn.XLOOKUP($C26,'PL1'!$C:$C,'PL1'!Z:Z)-SUMIFS(ADJ!AB:AB,ADJ!$E:$E,'RPL1'!$C26)</f>
        <v>0</v>
      </c>
      <c r="AA26" s="2">
        <f>_xlfn.XLOOKUP($C26,'PL1'!$C:$C,'PL1'!AA:AA)-SUMIFS(ADJ!AC:AC,ADJ!$E:$E,'RPL1'!$C26)</f>
        <v>0</v>
      </c>
      <c r="AB26" s="2">
        <f>_xlfn.XLOOKUP($C26,'PL1'!$C:$C,'PL1'!AB:AB)-SUMIFS(ADJ!AD:AD,ADJ!$E:$E,'RPL1'!$C26)</f>
        <v>0</v>
      </c>
      <c r="AC26" s="2">
        <f>_xlfn.XLOOKUP($C26,'PL1'!$C:$C,'PL1'!AC:AC)-SUMIFS(ADJ!AE:AE,ADJ!$E:$E,'RPL1'!$C26)</f>
        <v>0</v>
      </c>
      <c r="AD26" s="2">
        <f>_xlfn.XLOOKUP($C26,'PL1'!$C:$C,'PL1'!AD:AD)-SUMIFS(ADJ!AF:AF,ADJ!$E:$E,'RPL1'!$C26)</f>
        <v>0</v>
      </c>
      <c r="AE26" s="2">
        <f>_xlfn.XLOOKUP($C26,'PL1'!$C:$C,'PL1'!AE:AE)-SUMIFS(ADJ!AG:AG,ADJ!$E:$E,'RPL1'!$C26)</f>
        <v>0</v>
      </c>
      <c r="AF26" s="2">
        <f>_xlfn.XLOOKUP($C26,'PL1'!$C:$C,'PL1'!AF:AF)-SUMIFS(ADJ!AH:AH,ADJ!$E:$E,'RPL1'!$C26)</f>
        <v>0</v>
      </c>
      <c r="AG26" s="2">
        <f>_xlfn.XLOOKUP($C26,'PL1'!$C:$C,'PL1'!AG:AG)-SUMIFS(ADJ!AI:AI,ADJ!$E:$E,'RPL1'!$C26)</f>
        <v>0</v>
      </c>
      <c r="AH26" s="2">
        <f>_xlfn.XLOOKUP($C26,'PL1'!$C:$C,'PL1'!AH:AH)-SUMIFS(ADJ!AJ:AJ,ADJ!$E:$E,'RPL1'!$C26)</f>
        <v>0</v>
      </c>
      <c r="AI26" s="2">
        <f>_xlfn.XLOOKUP($C26,'PL1'!$C:$C,'PL1'!AI:AI)-SUMIFS(ADJ!AK:AK,ADJ!$E:$E,'RPL1'!$C26)</f>
        <v>0</v>
      </c>
      <c r="AJ26" s="2"/>
      <c r="AK26" s="2">
        <f>SUM(E26:P26)</f>
        <v>0</v>
      </c>
      <c r="AL26" s="2">
        <f>SUM(Q26:AB26)</f>
        <v>0</v>
      </c>
      <c r="AM26" s="2">
        <f>SUM(X26:AI26)</f>
        <v>0</v>
      </c>
      <c r="AN26" s="2"/>
      <c r="AO26" s="5">
        <f>IFERROR(AK26/AK$10%,0)</f>
        <v>0</v>
      </c>
      <c r="AP26" s="5">
        <f>IFERROR(AL26/AL$10%,0)</f>
        <v>0</v>
      </c>
      <c r="AQ26" s="5">
        <f>IFERROR(AM26/AM$10%,0)</f>
        <v>0</v>
      </c>
    </row>
    <row r="27" spans="3:43" ht="11.25" customHeight="1" x14ac:dyDescent="0.2">
      <c r="C27" t="s">
        <v>15</v>
      </c>
      <c r="D27" s="4"/>
      <c r="E27" s="2">
        <f>_xlfn.XLOOKUP($C27,'PL1'!$C:$C,'PL1'!E:E)-SUMIFS(ADJ!G:G,ADJ!$E:$E,'RPL1'!$C27)</f>
        <v>0</v>
      </c>
      <c r="F27" s="2">
        <f>_xlfn.XLOOKUP($C27,'PL1'!$C:$C,'PL1'!F:F)-SUMIFS(ADJ!H:H,ADJ!$E:$E,'RPL1'!$C27)</f>
        <v>0</v>
      </c>
      <c r="G27" s="2">
        <f>_xlfn.XLOOKUP($C27,'PL1'!$C:$C,'PL1'!G:G)-SUMIFS(ADJ!I:I,ADJ!$E:$E,'RPL1'!$C27)</f>
        <v>0</v>
      </c>
      <c r="H27" s="2">
        <f>_xlfn.XLOOKUP($C27,'PL1'!$C:$C,'PL1'!H:H)-SUMIFS(ADJ!J:J,ADJ!$E:$E,'RPL1'!$C27)</f>
        <v>0</v>
      </c>
      <c r="I27" s="2">
        <f>_xlfn.XLOOKUP($C27,'PL1'!$C:$C,'PL1'!I:I)-SUMIFS(ADJ!K:K,ADJ!$E:$E,'RPL1'!$C27)</f>
        <v>0</v>
      </c>
      <c r="J27" s="2">
        <f>_xlfn.XLOOKUP($C27,'PL1'!$C:$C,'PL1'!J:J)-SUMIFS(ADJ!L:L,ADJ!$E:$E,'RPL1'!$C27)</f>
        <v>0</v>
      </c>
      <c r="K27" s="2">
        <f>_xlfn.XLOOKUP($C27,'PL1'!$C:$C,'PL1'!K:K)-SUMIFS(ADJ!M:M,ADJ!$E:$E,'RPL1'!$C27)</f>
        <v>0</v>
      </c>
      <c r="L27" s="2">
        <f>_xlfn.XLOOKUP($C27,'PL1'!$C:$C,'PL1'!L:L)-SUMIFS(ADJ!N:N,ADJ!$E:$E,'RPL1'!$C27)</f>
        <v>0</v>
      </c>
      <c r="M27" s="2">
        <f>_xlfn.XLOOKUP($C27,'PL1'!$C:$C,'PL1'!M:M)-SUMIFS(ADJ!O:O,ADJ!$E:$E,'RPL1'!$C27)</f>
        <v>0</v>
      </c>
      <c r="N27" s="2">
        <f>_xlfn.XLOOKUP($C27,'PL1'!$C:$C,'PL1'!N:N)-SUMIFS(ADJ!P:P,ADJ!$E:$E,'RPL1'!$C27)</f>
        <v>0</v>
      </c>
      <c r="O27" s="2">
        <f>_xlfn.XLOOKUP($C27,'PL1'!$C:$C,'PL1'!O:O)-SUMIFS(ADJ!Q:Q,ADJ!$E:$E,'RPL1'!$C27)</f>
        <v>0</v>
      </c>
      <c r="P27" s="2">
        <f>_xlfn.XLOOKUP($C27,'PL1'!$C:$C,'PL1'!P:P)-SUMIFS(ADJ!R:R,ADJ!$E:$E,'RPL1'!$C27)</f>
        <v>0</v>
      </c>
      <c r="Q27" s="2">
        <f>_xlfn.XLOOKUP($C27,'PL1'!$C:$C,'PL1'!Q:Q)-SUMIFS(ADJ!S:S,ADJ!$E:$E,'RPL1'!$C27)</f>
        <v>0</v>
      </c>
      <c r="R27" s="2">
        <f>_xlfn.XLOOKUP($C27,'PL1'!$C:$C,'PL1'!R:R)-SUMIFS(ADJ!T:T,ADJ!$E:$E,'RPL1'!$C27)</f>
        <v>0</v>
      </c>
      <c r="S27" s="2">
        <f>_xlfn.XLOOKUP($C27,'PL1'!$C:$C,'PL1'!S:S)-SUMIFS(ADJ!U:U,ADJ!$E:$E,'RPL1'!$C27)</f>
        <v>0</v>
      </c>
      <c r="T27" s="2">
        <f>_xlfn.XLOOKUP($C27,'PL1'!$C:$C,'PL1'!T:T)-SUMIFS(ADJ!V:V,ADJ!$E:$E,'RPL1'!$C27)</f>
        <v>0</v>
      </c>
      <c r="U27" s="2">
        <f>_xlfn.XLOOKUP($C27,'PL1'!$C:$C,'PL1'!U:U)-SUMIFS(ADJ!W:W,ADJ!$E:$E,'RPL1'!$C27)</f>
        <v>0</v>
      </c>
      <c r="V27" s="2">
        <f>_xlfn.XLOOKUP($C27,'PL1'!$C:$C,'PL1'!V:V)-SUMIFS(ADJ!X:X,ADJ!$E:$E,'RPL1'!$C27)</f>
        <v>0</v>
      </c>
      <c r="W27" s="2">
        <f>_xlfn.XLOOKUP($C27,'PL1'!$C:$C,'PL1'!W:W)-SUMIFS(ADJ!Y:Y,ADJ!$E:$E,'RPL1'!$C27)</f>
        <v>0</v>
      </c>
      <c r="X27" s="2">
        <f>_xlfn.XLOOKUP($C27,'PL1'!$C:$C,'PL1'!X:X)-SUMIFS(ADJ!Z:Z,ADJ!$E:$E,'RPL1'!$C27)</f>
        <v>0</v>
      </c>
      <c r="Y27" s="2">
        <f>_xlfn.XLOOKUP($C27,'PL1'!$C:$C,'PL1'!Y:Y)-SUMIFS(ADJ!AA:AA,ADJ!$E:$E,'RPL1'!$C27)</f>
        <v>0</v>
      </c>
      <c r="Z27" s="2">
        <f>_xlfn.XLOOKUP($C27,'PL1'!$C:$C,'PL1'!Z:Z)-SUMIFS(ADJ!AB:AB,ADJ!$E:$E,'RPL1'!$C27)</f>
        <v>0</v>
      </c>
      <c r="AA27" s="2">
        <f>_xlfn.XLOOKUP($C27,'PL1'!$C:$C,'PL1'!AA:AA)-SUMIFS(ADJ!AC:AC,ADJ!$E:$E,'RPL1'!$C27)</f>
        <v>0</v>
      </c>
      <c r="AB27" s="2">
        <f>_xlfn.XLOOKUP($C27,'PL1'!$C:$C,'PL1'!AB:AB)-SUMIFS(ADJ!AD:AD,ADJ!$E:$E,'RPL1'!$C27)</f>
        <v>0</v>
      </c>
      <c r="AC27" s="2">
        <f>_xlfn.XLOOKUP($C27,'PL1'!$C:$C,'PL1'!AC:AC)-SUMIFS(ADJ!AE:AE,ADJ!$E:$E,'RPL1'!$C27)</f>
        <v>0</v>
      </c>
      <c r="AD27" s="2">
        <f>_xlfn.XLOOKUP($C27,'PL1'!$C:$C,'PL1'!AD:AD)-SUMIFS(ADJ!AF:AF,ADJ!$E:$E,'RPL1'!$C27)</f>
        <v>0</v>
      </c>
      <c r="AE27" s="2">
        <f>_xlfn.XLOOKUP($C27,'PL1'!$C:$C,'PL1'!AE:AE)-SUMIFS(ADJ!AG:AG,ADJ!$E:$E,'RPL1'!$C27)</f>
        <v>0</v>
      </c>
      <c r="AF27" s="2">
        <f>_xlfn.XLOOKUP($C27,'PL1'!$C:$C,'PL1'!AF:AF)-SUMIFS(ADJ!AH:AH,ADJ!$E:$E,'RPL1'!$C27)</f>
        <v>0</v>
      </c>
      <c r="AG27" s="2">
        <f>_xlfn.XLOOKUP($C27,'PL1'!$C:$C,'PL1'!AG:AG)-SUMIFS(ADJ!AI:AI,ADJ!$E:$E,'RPL1'!$C27)</f>
        <v>0</v>
      </c>
      <c r="AH27" s="2">
        <f>_xlfn.XLOOKUP($C27,'PL1'!$C:$C,'PL1'!AH:AH)-SUMIFS(ADJ!AJ:AJ,ADJ!$E:$E,'RPL1'!$C27)</f>
        <v>0</v>
      </c>
      <c r="AI27" s="2">
        <f>_xlfn.XLOOKUP($C27,'PL1'!$C:$C,'PL1'!AI:AI)-SUMIFS(ADJ!AK:AK,ADJ!$E:$E,'RPL1'!$C27)</f>
        <v>0</v>
      </c>
      <c r="AJ27" s="2"/>
      <c r="AK27" s="2">
        <f>SUM(E27:P27)</f>
        <v>0</v>
      </c>
      <c r="AL27" s="2">
        <f>SUM(Q27:AB27)</f>
        <v>0</v>
      </c>
      <c r="AM27" s="2">
        <f>SUM(X27:AI27)</f>
        <v>0</v>
      </c>
      <c r="AN27" s="2"/>
      <c r="AO27" s="5">
        <f>IFERROR(AK27/AK$10%,0)</f>
        <v>0</v>
      </c>
      <c r="AP27" s="5">
        <f>IFERROR(AL27/AL$10%,0)</f>
        <v>0</v>
      </c>
      <c r="AQ27" s="5">
        <f>IFERROR(AM27/AM$10%,0)</f>
        <v>0</v>
      </c>
    </row>
    <row r="28" spans="3:43" ht="11.25" customHeight="1" x14ac:dyDescent="0.2">
      <c r="C28" s="17" t="s">
        <v>14</v>
      </c>
      <c r="D28" s="15"/>
      <c r="E28" s="14">
        <f>_xlfn.XLOOKUP($C28,'PL1'!$C:$C,'PL1'!E:E)-SUMIFS(ADJ!G:G,ADJ!$E:$E,'RPL1'!$C28)</f>
        <v>0.4</v>
      </c>
      <c r="F28" s="14">
        <f>_xlfn.XLOOKUP($C28,'PL1'!$C:$C,'PL1'!F:F)-SUMIFS(ADJ!H:H,ADJ!$E:$E,'RPL1'!$C28)</f>
        <v>0.4</v>
      </c>
      <c r="G28" s="14">
        <f>_xlfn.XLOOKUP($C28,'PL1'!$C:$C,'PL1'!G:G)-SUMIFS(ADJ!I:I,ADJ!$E:$E,'RPL1'!$C28)</f>
        <v>0.4</v>
      </c>
      <c r="H28" s="14">
        <f>_xlfn.XLOOKUP($C28,'PL1'!$C:$C,'PL1'!H:H)-SUMIFS(ADJ!J:J,ADJ!$E:$E,'RPL1'!$C28)</f>
        <v>-355.14434999999997</v>
      </c>
      <c r="I28" s="14">
        <f>_xlfn.XLOOKUP($C28,'PL1'!$C:$C,'PL1'!I:I)-SUMIFS(ADJ!K:K,ADJ!$E:$E,'RPL1'!$C28)</f>
        <v>0.4</v>
      </c>
      <c r="J28" s="14">
        <f>_xlfn.XLOOKUP($C28,'PL1'!$C:$C,'PL1'!J:J)-SUMIFS(ADJ!L:L,ADJ!$E:$E,'RPL1'!$C28)</f>
        <v>-2</v>
      </c>
      <c r="K28" s="14">
        <f>_xlfn.XLOOKUP($C28,'PL1'!$C:$C,'PL1'!K:K)-SUMIFS(ADJ!M:M,ADJ!$E:$E,'RPL1'!$C28)</f>
        <v>0</v>
      </c>
      <c r="L28" s="14">
        <f>_xlfn.XLOOKUP($C28,'PL1'!$C:$C,'PL1'!L:L)-SUMIFS(ADJ!N:N,ADJ!$E:$E,'RPL1'!$C28)</f>
        <v>0.1</v>
      </c>
      <c r="M28" s="14">
        <f>_xlfn.XLOOKUP($C28,'PL1'!$C:$C,'PL1'!M:M)-SUMIFS(ADJ!O:O,ADJ!$E:$E,'RPL1'!$C28)</f>
        <v>0</v>
      </c>
      <c r="N28" s="14">
        <f>_xlfn.XLOOKUP($C28,'PL1'!$C:$C,'PL1'!N:N)-SUMIFS(ADJ!P:P,ADJ!$E:$E,'RPL1'!$C28)</f>
        <v>0</v>
      </c>
      <c r="O28" s="14">
        <f>_xlfn.XLOOKUP($C28,'PL1'!$C:$C,'PL1'!O:O)-SUMIFS(ADJ!Q:Q,ADJ!$E:$E,'RPL1'!$C28)</f>
        <v>0</v>
      </c>
      <c r="P28" s="14">
        <f>_xlfn.XLOOKUP($C28,'PL1'!$C:$C,'PL1'!P:P)-SUMIFS(ADJ!R:R,ADJ!$E:$E,'RPL1'!$C28)</f>
        <v>-76.400000000000006</v>
      </c>
      <c r="Q28" s="14">
        <f>_xlfn.XLOOKUP($C28,'PL1'!$C:$C,'PL1'!Q:Q)-SUMIFS(ADJ!S:S,ADJ!$E:$E,'RPL1'!$C28)</f>
        <v>0</v>
      </c>
      <c r="R28" s="14">
        <f>_xlfn.XLOOKUP($C28,'PL1'!$C:$C,'PL1'!R:R)-SUMIFS(ADJ!T:T,ADJ!$E:$E,'RPL1'!$C28)</f>
        <v>0</v>
      </c>
      <c r="S28" s="14">
        <f>_xlfn.XLOOKUP($C28,'PL1'!$C:$C,'PL1'!S:S)-SUMIFS(ADJ!U:U,ADJ!$E:$E,'RPL1'!$C28)</f>
        <v>0</v>
      </c>
      <c r="T28" s="14">
        <f>_xlfn.XLOOKUP($C28,'PL1'!$C:$C,'PL1'!T:T)-SUMIFS(ADJ!V:V,ADJ!$E:$E,'RPL1'!$C28)</f>
        <v>0</v>
      </c>
      <c r="U28" s="14">
        <f>_xlfn.XLOOKUP($C28,'PL1'!$C:$C,'PL1'!U:U)-SUMIFS(ADJ!W:W,ADJ!$E:$E,'RPL1'!$C28)</f>
        <v>0</v>
      </c>
      <c r="V28" s="14">
        <f>_xlfn.XLOOKUP($C28,'PL1'!$C:$C,'PL1'!V:V)-SUMIFS(ADJ!X:X,ADJ!$E:$E,'RPL1'!$C28)</f>
        <v>0</v>
      </c>
      <c r="W28" s="14">
        <f>_xlfn.XLOOKUP($C28,'PL1'!$C:$C,'PL1'!W:W)-SUMIFS(ADJ!Y:Y,ADJ!$E:$E,'RPL1'!$C28)</f>
        <v>0</v>
      </c>
      <c r="X28" s="14">
        <f>_xlfn.XLOOKUP($C28,'PL1'!$C:$C,'PL1'!X:X)-SUMIFS(ADJ!Z:Z,ADJ!$E:$E,'RPL1'!$C28)</f>
        <v>-50</v>
      </c>
      <c r="Y28" s="14">
        <f>_xlfn.XLOOKUP($C28,'PL1'!$C:$C,'PL1'!Y:Y)-SUMIFS(ADJ!AA:AA,ADJ!$E:$E,'RPL1'!$C28)</f>
        <v>-2.2640199999999999</v>
      </c>
      <c r="Z28" s="14">
        <f>_xlfn.XLOOKUP($C28,'PL1'!$C:$C,'PL1'!Z:Z)-SUMIFS(ADJ!AB:AB,ADJ!$E:$E,'RPL1'!$C28)</f>
        <v>0</v>
      </c>
      <c r="AA28" s="14">
        <f>_xlfn.XLOOKUP($C28,'PL1'!$C:$C,'PL1'!AA:AA)-SUMIFS(ADJ!AC:AC,ADJ!$E:$E,'RPL1'!$C28)</f>
        <v>0</v>
      </c>
      <c r="AB28" s="14">
        <f>_xlfn.XLOOKUP($C28,'PL1'!$C:$C,'PL1'!AB:AB)-SUMIFS(ADJ!AD:AD,ADJ!$E:$E,'RPL1'!$C28)</f>
        <v>0</v>
      </c>
      <c r="AC28" s="14">
        <f>_xlfn.XLOOKUP($C28,'PL1'!$C:$C,'PL1'!AC:AC)-SUMIFS(ADJ!AE:AE,ADJ!$E:$E,'RPL1'!$C28)</f>
        <v>0</v>
      </c>
      <c r="AD28" s="14">
        <f>_xlfn.XLOOKUP($C28,'PL1'!$C:$C,'PL1'!AD:AD)-SUMIFS(ADJ!AF:AF,ADJ!$E:$E,'RPL1'!$C28)</f>
        <v>0</v>
      </c>
      <c r="AE28" s="14">
        <f>_xlfn.XLOOKUP($C28,'PL1'!$C:$C,'PL1'!AE:AE)-SUMIFS(ADJ!AG:AG,ADJ!$E:$E,'RPL1'!$C28)</f>
        <v>0</v>
      </c>
      <c r="AF28" s="14">
        <f>_xlfn.XLOOKUP($C28,'PL1'!$C:$C,'PL1'!AF:AF)-SUMIFS(ADJ!AH:AH,ADJ!$E:$E,'RPL1'!$C28)</f>
        <v>0</v>
      </c>
      <c r="AG28" s="14">
        <f>_xlfn.XLOOKUP($C28,'PL1'!$C:$C,'PL1'!AG:AG)-SUMIFS(ADJ!AI:AI,ADJ!$E:$E,'RPL1'!$C28)</f>
        <v>0</v>
      </c>
      <c r="AH28" s="14">
        <f>_xlfn.XLOOKUP($C28,'PL1'!$C:$C,'PL1'!AH:AH)-SUMIFS(ADJ!AJ:AJ,ADJ!$E:$E,'RPL1'!$C28)</f>
        <v>0</v>
      </c>
      <c r="AI28" s="14">
        <f>_xlfn.XLOOKUP($C28,'PL1'!$C:$C,'PL1'!AI:AI)-SUMIFS(ADJ!AK:AK,ADJ!$E:$E,'RPL1'!$C28)</f>
        <v>0.10556</v>
      </c>
      <c r="AJ28" s="14"/>
      <c r="AK28" s="14">
        <f>SUM(E28:P28)</f>
        <v>-431.84434999999996</v>
      </c>
      <c r="AL28" s="14">
        <f>SUM(Q28:AB28)</f>
        <v>-52.264020000000002</v>
      </c>
      <c r="AM28" s="14">
        <f>SUM(X28:AI28)</f>
        <v>-52.158460000000005</v>
      </c>
      <c r="AN28" s="14"/>
      <c r="AO28" s="13">
        <f>IFERROR(AK28/AK$10%,0)</f>
        <v>-5.6469274559153364</v>
      </c>
      <c r="AP28" s="13">
        <f>IFERROR(AL28/AL$10%,0)</f>
        <v>-0.77099776590707614</v>
      </c>
      <c r="AQ28" s="13">
        <f>IFERROR(AM28/AM$10%,0)</f>
        <v>-0.71027533179096458</v>
      </c>
    </row>
    <row r="29" spans="3:43" ht="11.25" customHeight="1" x14ac:dyDescent="0.2">
      <c r="C29" s="16" t="s">
        <v>13</v>
      </c>
      <c r="D29" s="15"/>
      <c r="E29" s="14">
        <f>SUM(E26:E28)</f>
        <v>0.4</v>
      </c>
      <c r="F29" s="14">
        <f>SUM(F26:F28)</f>
        <v>0.4</v>
      </c>
      <c r="G29" s="14">
        <f>SUM(G26:G28)</f>
        <v>0.4</v>
      </c>
      <c r="H29" s="14">
        <f>SUM(H26:H28)</f>
        <v>-355.14434999999997</v>
      </c>
      <c r="I29" s="14">
        <f>SUM(I26:I28)</f>
        <v>0.4</v>
      </c>
      <c r="J29" s="14">
        <f>SUM(J26:J28)</f>
        <v>-2</v>
      </c>
      <c r="K29" s="14">
        <f>SUM(K26:K28)</f>
        <v>0</v>
      </c>
      <c r="L29" s="14">
        <f>SUM(L26:L28)</f>
        <v>0.1</v>
      </c>
      <c r="M29" s="14">
        <f>SUM(M26:M28)</f>
        <v>0</v>
      </c>
      <c r="N29" s="14">
        <f>SUM(N26:N28)</f>
        <v>0</v>
      </c>
      <c r="O29" s="14">
        <f>SUM(O26:O28)</f>
        <v>0</v>
      </c>
      <c r="P29" s="14">
        <f>SUM(P26:P28)</f>
        <v>-76.400000000000006</v>
      </c>
      <c r="Q29" s="14">
        <f>SUM(Q26:Q28)</f>
        <v>0</v>
      </c>
      <c r="R29" s="14">
        <f>SUM(R26:R28)</f>
        <v>0</v>
      </c>
      <c r="S29" s="14">
        <f>SUM(S26:S28)</f>
        <v>0</v>
      </c>
      <c r="T29" s="14">
        <f>SUM(T26:T28)</f>
        <v>0</v>
      </c>
      <c r="U29" s="14">
        <f>SUM(U26:U28)</f>
        <v>0</v>
      </c>
      <c r="V29" s="14">
        <f>SUM(V26:V28)</f>
        <v>0</v>
      </c>
      <c r="W29" s="14">
        <f>SUM(W26:W28)</f>
        <v>0</v>
      </c>
      <c r="X29" s="14">
        <f>SUM(X26:X28)</f>
        <v>-50</v>
      </c>
      <c r="Y29" s="14">
        <f>SUM(Y26:Y28)</f>
        <v>-2.2640199999999999</v>
      </c>
      <c r="Z29" s="14">
        <f>SUM(Z26:Z28)</f>
        <v>0</v>
      </c>
      <c r="AA29" s="14">
        <f>SUM(AA26:AA28)</f>
        <v>0</v>
      </c>
      <c r="AB29" s="14">
        <f>SUM(AB26:AB28)</f>
        <v>0</v>
      </c>
      <c r="AC29" s="14">
        <f>SUM(AC26:AC28)</f>
        <v>0</v>
      </c>
      <c r="AD29" s="14">
        <f>SUM(AD26:AD28)</f>
        <v>0</v>
      </c>
      <c r="AE29" s="14">
        <f>SUM(AE26:AE28)</f>
        <v>0</v>
      </c>
      <c r="AF29" s="14">
        <f>SUM(AF26:AF28)</f>
        <v>0</v>
      </c>
      <c r="AG29" s="14">
        <f>SUM(AG26:AG28)</f>
        <v>0</v>
      </c>
      <c r="AH29" s="14">
        <f>SUM(AH26:AH28)</f>
        <v>0</v>
      </c>
      <c r="AI29" s="14">
        <f>SUM(AI26:AI28)</f>
        <v>0.10556</v>
      </c>
      <c r="AJ29" s="14"/>
      <c r="AK29" s="14">
        <f>SUM(AK26:AK28)</f>
        <v>-431.84434999999996</v>
      </c>
      <c r="AL29" s="14">
        <f>SUM(AL26:AL28)</f>
        <v>-52.264020000000002</v>
      </c>
      <c r="AM29" s="14">
        <f>SUM(AM26:AM28)</f>
        <v>-52.158460000000005</v>
      </c>
      <c r="AN29" s="14"/>
      <c r="AO29" s="13">
        <f>IFERROR(AK29/AK$10%,0)</f>
        <v>-5.6469274559153364</v>
      </c>
      <c r="AP29" s="13">
        <f>IFERROR(AL29/AL$10%,0)</f>
        <v>-0.77099776590707614</v>
      </c>
      <c r="AQ29" s="13">
        <f>IFERROR(AM29/AM$10%,0)</f>
        <v>-0.71027533179096458</v>
      </c>
    </row>
    <row r="30" spans="3:43" ht="12" customHeight="1" thickBot="1" x14ac:dyDescent="0.3">
      <c r="C30" s="12" t="s">
        <v>12</v>
      </c>
      <c r="D30" s="11"/>
      <c r="E30" s="10">
        <f>E24-E29</f>
        <v>-308.89328000000012</v>
      </c>
      <c r="F30" s="10">
        <f>F24-F29</f>
        <v>-106.98811000000003</v>
      </c>
      <c r="G30" s="10">
        <f>G24-G29</f>
        <v>163.93175000000005</v>
      </c>
      <c r="H30" s="10">
        <f>H24-H29</f>
        <v>318.50389999999999</v>
      </c>
      <c r="I30" s="10">
        <f>I24-I29</f>
        <v>108.45597000000006</v>
      </c>
      <c r="J30" s="10">
        <f>J24-J29</f>
        <v>-35.950400000000059</v>
      </c>
      <c r="K30" s="10">
        <f>K24-K29</f>
        <v>107.54746</v>
      </c>
      <c r="L30" s="10">
        <f>L24-L29</f>
        <v>674.36889000000008</v>
      </c>
      <c r="M30" s="10">
        <f>M24-M29</f>
        <v>816.1345500000001</v>
      </c>
      <c r="N30" s="10">
        <f>N24-N29</f>
        <v>-245.69618</v>
      </c>
      <c r="O30" s="10">
        <f>O24-O29</f>
        <v>-108.92309000000012</v>
      </c>
      <c r="P30" s="10">
        <f>P24-P29</f>
        <v>191.22655999999975</v>
      </c>
      <c r="Q30" s="10">
        <f>Q24-Q29</f>
        <v>-76.656609999999944</v>
      </c>
      <c r="R30" s="10">
        <f>R24-R29</f>
        <v>84.330749999999966</v>
      </c>
      <c r="S30" s="10">
        <f>S24-S29</f>
        <v>-149.02755000000013</v>
      </c>
      <c r="T30" s="10">
        <f>T24-T29</f>
        <v>-113.91802999999999</v>
      </c>
      <c r="U30" s="10">
        <f>U24-U29</f>
        <v>15.084540000000061</v>
      </c>
      <c r="V30" s="10">
        <f>V24-V29</f>
        <v>-112.86901</v>
      </c>
      <c r="W30" s="10">
        <f>W24-W29</f>
        <v>-168.68214999999998</v>
      </c>
      <c r="X30" s="10">
        <f>X24-X29</f>
        <v>656.72365999999977</v>
      </c>
      <c r="Y30" s="10">
        <f>Y24-Y29</f>
        <v>619.69770000000017</v>
      </c>
      <c r="Z30" s="10">
        <f>Z24-Z29</f>
        <v>241.65784999999971</v>
      </c>
      <c r="AA30" s="10">
        <f>AA24-AA29</f>
        <v>401.67570000000012</v>
      </c>
      <c r="AB30" s="10">
        <f>AB24-AB29</f>
        <v>-113.70552000000094</v>
      </c>
      <c r="AC30" s="10">
        <f>AC24-AC29</f>
        <v>-104.9857199999999</v>
      </c>
      <c r="AD30" s="10">
        <f>AD24-AD29</f>
        <v>3.8198099999999613</v>
      </c>
      <c r="AE30" s="10">
        <f>AE24-AE29</f>
        <v>166.17516000000012</v>
      </c>
      <c r="AF30" s="10">
        <f>AF24-AF29</f>
        <v>-22.474029999999914</v>
      </c>
      <c r="AG30" s="10">
        <f>AG24-AG29</f>
        <v>-232.79306000000003</v>
      </c>
      <c r="AH30" s="10">
        <f>AH24-AH29</f>
        <v>235.19114999999999</v>
      </c>
      <c r="AI30" s="10">
        <f>AI24-AI29</f>
        <v>-102.31717999999981</v>
      </c>
      <c r="AJ30" s="10"/>
      <c r="AK30" s="10">
        <f>AK24-AK29</f>
        <v>1573.7180200000007</v>
      </c>
      <c r="AL30" s="10">
        <f>AL24-AL29</f>
        <v>1284.3113299999982</v>
      </c>
      <c r="AM30" s="10">
        <f>AM24-AM29</f>
        <v>1748.6655199999991</v>
      </c>
      <c r="AN30" s="9"/>
      <c r="AO30" s="8">
        <f>IFERROR(AK30/AK$10%,0)</f>
        <v>20.578413252383005</v>
      </c>
      <c r="AP30" s="8">
        <f>IFERROR(AL30/AL$10%,0)</f>
        <v>18.946134762675054</v>
      </c>
      <c r="AQ30" s="8">
        <f>IFERROR(AM30/AM$10%,0)</f>
        <v>23.812704255635975</v>
      </c>
    </row>
    <row r="31" spans="3:43" ht="6" customHeight="1" x14ac:dyDescent="0.2">
      <c r="D31" s="4"/>
    </row>
    <row r="32" spans="3:43" ht="11.25" customHeight="1" outlineLevel="1" x14ac:dyDescent="0.2">
      <c r="C32" s="7" t="s">
        <v>11</v>
      </c>
      <c r="D32" s="4"/>
      <c r="E32" s="5">
        <f>IFERROR(E15/E$10%,0)</f>
        <v>100</v>
      </c>
      <c r="F32" s="5">
        <f>IFERROR(F15/F$10%,0)</f>
        <v>100</v>
      </c>
      <c r="G32" s="5">
        <f>IFERROR(G15/G$10%,0)</f>
        <v>100</v>
      </c>
      <c r="H32" s="5">
        <f>IFERROR(H15/H$10%,0)</f>
        <v>100</v>
      </c>
      <c r="I32" s="5">
        <f>IFERROR(I15/I$10%,0)</f>
        <v>100</v>
      </c>
      <c r="J32" s="5">
        <f>IFERROR(J15/J$10%,0)</f>
        <v>99.999999999999986</v>
      </c>
      <c r="K32" s="5">
        <f>IFERROR(K15/K$10%,0)</f>
        <v>100</v>
      </c>
      <c r="L32" s="5">
        <f>IFERROR(L15/L$10%,0)</f>
        <v>100</v>
      </c>
      <c r="M32" s="5">
        <f>IFERROR(M15/M$10%,0)</f>
        <v>100</v>
      </c>
      <c r="N32" s="5">
        <f>IFERROR(N15/N$10%,0)</f>
        <v>100</v>
      </c>
      <c r="O32" s="5">
        <f>IFERROR(O15/O$10%,0)</f>
        <v>99.999999999999986</v>
      </c>
      <c r="P32" s="5">
        <f>IFERROR(P15/P$10%,0)</f>
        <v>100</v>
      </c>
      <c r="Q32" s="5">
        <f>IFERROR(Q15/Q$10%,0)</f>
        <v>100</v>
      </c>
      <c r="R32" s="5">
        <f>IFERROR(R15/R$10%,0)</f>
        <v>100</v>
      </c>
      <c r="S32" s="5">
        <f>IFERROR(S15/S$10%,0)</f>
        <v>100</v>
      </c>
      <c r="T32" s="5">
        <f>IFERROR(T15/T$10%,0)</f>
        <v>100</v>
      </c>
      <c r="U32" s="5">
        <f>IFERROR(U15/U$10%,0)</f>
        <v>100</v>
      </c>
      <c r="V32" s="5">
        <f>IFERROR(V15/V$10%,0)</f>
        <v>100</v>
      </c>
      <c r="W32" s="5">
        <f>IFERROR(W15/W$10%,0)</f>
        <v>100</v>
      </c>
      <c r="X32" s="5">
        <f>IFERROR(X15/X$10%,0)</f>
        <v>100.00000000000001</v>
      </c>
      <c r="Y32" s="5">
        <f>IFERROR(Y15/Y$10%,0)</f>
        <v>100</v>
      </c>
      <c r="Z32" s="5">
        <f>IFERROR(Z15/Z$10%,0)</f>
        <v>100</v>
      </c>
      <c r="AA32" s="5">
        <f>IFERROR(AA15/AA$10%,0)</f>
        <v>100</v>
      </c>
      <c r="AB32" s="5">
        <f>IFERROR(AB15/AB$10%,0)</f>
        <v>100</v>
      </c>
      <c r="AC32" s="5">
        <f>IFERROR(AC15/AC$10%,0)</f>
        <v>100</v>
      </c>
      <c r="AD32" s="5">
        <f>IFERROR(AD15/AD$10%,0)</f>
        <v>100</v>
      </c>
      <c r="AE32" s="5">
        <f>IFERROR(AE15/AE$10%,0)</f>
        <v>100</v>
      </c>
      <c r="AF32" s="5">
        <f>IFERROR(AF15/AF$10%,0)</f>
        <v>100</v>
      </c>
      <c r="AG32" s="5">
        <f>IFERROR(AG15/AG$10%,0)</f>
        <v>100</v>
      </c>
      <c r="AH32" s="5">
        <f>IFERROR(AH15/AH$10%,0)</f>
        <v>100</v>
      </c>
      <c r="AI32" s="5">
        <f>IFERROR(AI15/AI$10%,0)</f>
        <v>99.999999999999986</v>
      </c>
      <c r="AJ32" s="2"/>
      <c r="AK32" s="5">
        <f>IFERROR(AK15/AK$10%,0)</f>
        <v>99.999999999999986</v>
      </c>
      <c r="AL32" s="5">
        <f>IFERROR(AL15/AL$10%,0)</f>
        <v>100</v>
      </c>
      <c r="AM32" s="5">
        <f>IFERROR(AM15/AM$10%,0)</f>
        <v>99.999999999999986</v>
      </c>
      <c r="AN32" s="2"/>
      <c r="AO32" s="5"/>
      <c r="AP32" s="5"/>
      <c r="AQ32" s="5"/>
    </row>
    <row r="33" spans="3:43" ht="11.25" customHeight="1" outlineLevel="1" x14ac:dyDescent="0.2">
      <c r="C33" s="7" t="s">
        <v>10</v>
      </c>
      <c r="D33" s="4"/>
      <c r="E33" s="5">
        <f>IFERROR(E24/E$10%,0)</f>
        <v>-159.73596648837304</v>
      </c>
      <c r="F33" s="5">
        <f>IFERROR(F24/F$10%,0)</f>
        <v>-24.820054326122069</v>
      </c>
      <c r="G33" s="5">
        <f>IFERROR(G24/G$10%,0)</f>
        <v>22.455367818369403</v>
      </c>
      <c r="H33" s="5">
        <f>IFERROR(H24/H$10%,0)</f>
        <v>-8.514005878867442</v>
      </c>
      <c r="I33" s="5">
        <f>IFERROR(I24/I$10%,0)</f>
        <v>17.460844779437608</v>
      </c>
      <c r="J33" s="5">
        <f>IFERROR(J24/J$10%,0)</f>
        <v>-7.8926691498676362</v>
      </c>
      <c r="K33" s="5">
        <f>IFERROR(K24/K$10%,0)</f>
        <v>15.621272157892598</v>
      </c>
      <c r="L33" s="5">
        <f>IFERROR(L24/L$10%,0)</f>
        <v>53.21675525357238</v>
      </c>
      <c r="M33" s="5">
        <f>IFERROR(M24/M$10%,0)</f>
        <v>63.951567025237892</v>
      </c>
      <c r="N33" s="5">
        <f>IFERROR(N24/N$10%,0)</f>
        <v>-102.93030416650085</v>
      </c>
      <c r="O33" s="5">
        <f>IFERROR(O24/O$10%,0)</f>
        <v>-19.772091899499216</v>
      </c>
      <c r="P33" s="5">
        <f>IFERROR(P24/P$10%,0)</f>
        <v>15.584854699416216</v>
      </c>
      <c r="Q33" s="5">
        <f>IFERROR(Q24/Q$10%,0)</f>
        <v>-18.163179668470573</v>
      </c>
      <c r="R33" s="5">
        <f>IFERROR(R24/R$10%,0)</f>
        <v>16.043137068391509</v>
      </c>
      <c r="S33" s="5">
        <f>IFERROR(S24/S$10%,0)</f>
        <v>-40.131507373137907</v>
      </c>
      <c r="T33" s="5">
        <f>IFERROR(T24/T$10%,0)</f>
        <v>-29.850073630756164</v>
      </c>
      <c r="U33" s="5">
        <f>IFERROR(U24/U$10%,0)</f>
        <v>2.808103071788</v>
      </c>
      <c r="V33" s="5">
        <f>IFERROR(V24/V$10%,0)</f>
        <v>-31.624473247708071</v>
      </c>
      <c r="W33" s="5">
        <f>IFERROR(W24/W$10%,0)</f>
        <v>-46.136676932502574</v>
      </c>
      <c r="X33" s="5">
        <f>IFERROR(X24/X$10%,0)</f>
        <v>53.578469483451983</v>
      </c>
      <c r="Y33" s="5">
        <f>IFERROR(Y24/Y$10%,0)</f>
        <v>54.39128974974625</v>
      </c>
      <c r="Z33" s="5">
        <f>IFERROR(Z24/Z$10%,0)</f>
        <v>73.307177187171277</v>
      </c>
      <c r="AA33" s="5">
        <f>IFERROR(AA24/AA$10%,0)</f>
        <v>49.716707780015334</v>
      </c>
      <c r="AB33" s="5">
        <f>IFERROR(AB24/AB$10%,0)</f>
        <v>-27.51654475961012</v>
      </c>
      <c r="AC33" s="5">
        <f>IFERROR(AC24/AC$10%,0)</f>
        <v>-29.870209091452232</v>
      </c>
      <c r="AD33" s="5">
        <f>IFERROR(AD24/AD$10%,0)</f>
        <v>0.70267858949571316</v>
      </c>
      <c r="AE33" s="5">
        <f>IFERROR(AE24/AE$10%,0)</f>
        <v>22.560824562553954</v>
      </c>
      <c r="AF33" s="5">
        <f>IFERROR(AF24/AF$10%,0)</f>
        <v>-5.2799690823616547</v>
      </c>
      <c r="AG33" s="5">
        <f>IFERROR(AG24/AG$10%,0)</f>
        <v>-81.914585312642956</v>
      </c>
      <c r="AH33" s="5">
        <f>IFERROR(AH24/AH$10%,0)</f>
        <v>30.931308080582248</v>
      </c>
      <c r="AI33" s="5">
        <f>IFERROR(AI24/AI$10%,0)</f>
        <v>-24.152768982107197</v>
      </c>
      <c r="AJ33" s="2"/>
      <c r="AK33" s="5">
        <f>IFERROR(AK24/AK$10%,0)</f>
        <v>14.931485796467671</v>
      </c>
      <c r="AL33" s="5">
        <f>IFERROR(AL24/AL$10%,0)</f>
        <v>18.175136996767975</v>
      </c>
      <c r="AM33" s="5">
        <f>IFERROR(AM24/AM$10%,0)</f>
        <v>23.102428923845011</v>
      </c>
      <c r="AN33" s="2"/>
      <c r="AO33" s="5"/>
      <c r="AP33" s="5"/>
      <c r="AQ33" s="5"/>
    </row>
    <row r="34" spans="3:43" ht="11.25" customHeight="1" outlineLevel="1" x14ac:dyDescent="0.2">
      <c r="C34" s="7" t="s">
        <v>9</v>
      </c>
      <c r="D34" s="6"/>
      <c r="E34" s="5">
        <f>IFERROR(E30/E$10%,0)</f>
        <v>-159.94308408456618</v>
      </c>
      <c r="F34" s="5">
        <f>IFERROR(F30/F$10%,0)</f>
        <v>-24.913198127343886</v>
      </c>
      <c r="G34" s="5">
        <f>IFERROR(G30/G$10%,0)</f>
        <v>22.40070919563005</v>
      </c>
      <c r="H34" s="5">
        <f>IFERROR(H30/H$10%,0)</f>
        <v>74.009573491652233</v>
      </c>
      <c r="I34" s="5">
        <f>IFERROR(I30/I$10%,0)</f>
        <v>17.396683503654799</v>
      </c>
      <c r="J34" s="5">
        <f>IFERROR(J30/J$10%,0)</f>
        <v>-7.4767225906815602</v>
      </c>
      <c r="K34" s="5">
        <f>IFERROR(K30/K$10%,0)</f>
        <v>15.621272157892598</v>
      </c>
      <c r="L34" s="5">
        <f>IFERROR(L30/L$10%,0)</f>
        <v>53.208865081610028</v>
      </c>
      <c r="M34" s="5">
        <f>IFERROR(M30/M$10%,0)</f>
        <v>63.951567025237892</v>
      </c>
      <c r="N34" s="5">
        <f>IFERROR(N30/N$10%,0)</f>
        <v>-102.93030416650085</v>
      </c>
      <c r="O34" s="5">
        <f>IFERROR(O30/O$10%,0)</f>
        <v>-19.772091899499216</v>
      </c>
      <c r="P34" s="5">
        <f>IFERROR(P30/P$10%,0)</f>
        <v>25.954257902258849</v>
      </c>
      <c r="Q34" s="5">
        <f>IFERROR(Q30/Q$10%,0)</f>
        <v>-18.163179668470573</v>
      </c>
      <c r="R34" s="5">
        <f>IFERROR(R30/R$10%,0)</f>
        <v>16.043137068391509</v>
      </c>
      <c r="S34" s="5">
        <f>IFERROR(S30/S$10%,0)</f>
        <v>-40.131507373137907</v>
      </c>
      <c r="T34" s="5">
        <f>IFERROR(T30/T$10%,0)</f>
        <v>-29.850073630756164</v>
      </c>
      <c r="U34" s="5">
        <f>IFERROR(U30/U$10%,0)</f>
        <v>2.808103071788</v>
      </c>
      <c r="V34" s="5">
        <f>IFERROR(V30/V$10%,0)</f>
        <v>-31.624473247708071</v>
      </c>
      <c r="W34" s="5">
        <f>IFERROR(W30/W$10%,0)</f>
        <v>-46.136676932502574</v>
      </c>
      <c r="X34" s="5">
        <f>IFERROR(X30/X$10%,0)</f>
        <v>57.993862603563038</v>
      </c>
      <c r="Y34" s="5">
        <f>IFERROR(Y30/Y$10%,0)</f>
        <v>54.590732980344256</v>
      </c>
      <c r="Z34" s="5">
        <f>IFERROR(Z30/Z$10%,0)</f>
        <v>73.307177187171277</v>
      </c>
      <c r="AA34" s="5">
        <f>IFERROR(AA30/AA$10%,0)</f>
        <v>49.716707780015334</v>
      </c>
      <c r="AB34" s="5">
        <f>IFERROR(AB30/AB$10%,0)</f>
        <v>-27.51654475961012</v>
      </c>
      <c r="AC34" s="5">
        <f>IFERROR(AC30/AC$10%,0)</f>
        <v>-29.870209091452232</v>
      </c>
      <c r="AD34" s="5">
        <f>IFERROR(AD30/AD$10%,0)</f>
        <v>0.70267858949571316</v>
      </c>
      <c r="AE34" s="5">
        <f>IFERROR(AE30/AE$10%,0)</f>
        <v>22.560824562553954</v>
      </c>
      <c r="AF34" s="5">
        <f>IFERROR(AF30/AF$10%,0)</f>
        <v>-5.2799690823616547</v>
      </c>
      <c r="AG34" s="5">
        <f>IFERROR(AG30/AG$10%,0)</f>
        <v>-81.914585312642956</v>
      </c>
      <c r="AH34" s="5">
        <f>IFERROR(AH30/AH$10%,0)</f>
        <v>30.931308080582248</v>
      </c>
      <c r="AI34" s="5">
        <f>IFERROR(AI30/AI$10%,0)</f>
        <v>-24.177712978628836</v>
      </c>
      <c r="AJ34" s="5"/>
      <c r="AK34" s="5">
        <f>IFERROR(AK30/AK$10%,0)</f>
        <v>20.578413252383005</v>
      </c>
      <c r="AL34" s="5">
        <f>IFERROR(AL30/AL$10%,0)</f>
        <v>18.946134762675054</v>
      </c>
      <c r="AM34" s="5">
        <f>IFERROR(AM30/AM$10%,0)</f>
        <v>23.812704255635975</v>
      </c>
    </row>
    <row r="35" spans="3:43" ht="6" customHeight="1" outlineLevel="1" collapsed="1" x14ac:dyDescent="0.2">
      <c r="D35" s="4"/>
    </row>
    <row r="37" spans="3:43" ht="11.25" customHeight="1" x14ac:dyDescent="0.2">
      <c r="C37" t="s">
        <v>8</v>
      </c>
      <c r="E37" s="2">
        <f>+'QE1'!E51-E30</f>
        <v>0</v>
      </c>
      <c r="F37" s="2">
        <f>+'QE1'!F51-F30</f>
        <v>0</v>
      </c>
      <c r="G37" s="2">
        <f>+'QE1'!G51-G30</f>
        <v>0</v>
      </c>
      <c r="H37" s="2">
        <f>+'QE1'!H51-H30</f>
        <v>0</v>
      </c>
      <c r="I37" s="2">
        <f>+'QE1'!I51-I30</f>
        <v>0</v>
      </c>
      <c r="J37" s="2">
        <f>+'QE1'!J51-J30</f>
        <v>0</v>
      </c>
      <c r="K37" s="2">
        <f>+'QE1'!K51-K30</f>
        <v>0</v>
      </c>
      <c r="L37" s="2">
        <f>+'QE1'!L51-L30</f>
        <v>0</v>
      </c>
      <c r="M37" s="2">
        <f>+'QE1'!M51-M30</f>
        <v>0</v>
      </c>
      <c r="N37" s="2">
        <f>+'QE1'!N51-N30</f>
        <v>0</v>
      </c>
      <c r="O37" s="2">
        <f>+'QE1'!O51-O30</f>
        <v>0</v>
      </c>
      <c r="P37" s="2">
        <f>+'QE1'!P51-P30</f>
        <v>0</v>
      </c>
      <c r="Q37" s="2">
        <f>+'QE1'!Q51-Q30</f>
        <v>0</v>
      </c>
      <c r="R37" s="2">
        <f>+'QE1'!R51-R30</f>
        <v>0</v>
      </c>
      <c r="S37" s="2">
        <f>+'QE1'!S51-S30</f>
        <v>0</v>
      </c>
      <c r="T37" s="2">
        <f>+'QE1'!T51-T30</f>
        <v>0</v>
      </c>
      <c r="U37" s="2">
        <f>+'QE1'!U51-U30</f>
        <v>0</v>
      </c>
      <c r="V37" s="2">
        <f>+'QE1'!V51-V30</f>
        <v>0</v>
      </c>
      <c r="W37" s="2">
        <f>+'QE1'!W51-W30</f>
        <v>0</v>
      </c>
      <c r="X37" s="2">
        <f>+'QE1'!X51-X30</f>
        <v>0</v>
      </c>
      <c r="Y37" s="2">
        <f>+'QE1'!Y51-Y30</f>
        <v>0</v>
      </c>
      <c r="Z37" s="2">
        <f>+'QE1'!Z51-Z30</f>
        <v>0</v>
      </c>
      <c r="AA37" s="2">
        <f>+'QE1'!AA51-AA30</f>
        <v>0</v>
      </c>
      <c r="AB37" s="2">
        <f>+'QE1'!AB51-AB30</f>
        <v>0</v>
      </c>
      <c r="AC37" s="2">
        <f>+'QE1'!AC51-AC30</f>
        <v>0</v>
      </c>
      <c r="AD37" s="2">
        <f>+'QE1'!AD51-AD30</f>
        <v>0</v>
      </c>
      <c r="AE37" s="2">
        <f>+'QE1'!AE51-AE30</f>
        <v>0</v>
      </c>
      <c r="AF37" s="2">
        <f>+'QE1'!AF51-AF30</f>
        <v>0</v>
      </c>
      <c r="AG37" s="2">
        <f>+'QE1'!AG51-AG30</f>
        <v>0</v>
      </c>
      <c r="AH37" s="2">
        <f>+'QE1'!AH51-AH30</f>
        <v>0</v>
      </c>
      <c r="AI37" s="2">
        <f>+'QE1'!AI51-AI30</f>
        <v>0</v>
      </c>
      <c r="AJ37" s="2"/>
      <c r="AK37" s="2">
        <f>+'QE1'!AK51-AK30</f>
        <v>0</v>
      </c>
      <c r="AL37" s="2">
        <f>+'QE1'!AL51-AL30</f>
        <v>0</v>
      </c>
      <c r="AM37" s="2">
        <f>+'QE1'!AM51-AM30</f>
        <v>0</v>
      </c>
    </row>
    <row r="40" spans="3:43" ht="10.5" x14ac:dyDescent="0.25">
      <c r="C40" s="3" t="s">
        <v>7</v>
      </c>
    </row>
    <row r="41" spans="3:43" x14ac:dyDescent="0.2">
      <c r="C41" t="s">
        <v>6</v>
      </c>
      <c r="D41" s="2">
        <f>AK30</f>
        <v>1573.7180200000007</v>
      </c>
    </row>
    <row r="42" spans="3:43" x14ac:dyDescent="0.2">
      <c r="C42" t="s">
        <v>4</v>
      </c>
      <c r="D42" s="2">
        <f>AL15-AK15</f>
        <v>-868.67044000000169</v>
      </c>
    </row>
    <row r="43" spans="3:43" x14ac:dyDescent="0.2">
      <c r="C43" t="s">
        <v>3</v>
      </c>
      <c r="D43" s="2">
        <f>AK23-AL23</f>
        <v>958.84407999999894</v>
      </c>
    </row>
    <row r="44" spans="3:43" x14ac:dyDescent="0.2">
      <c r="C44" t="s">
        <v>2</v>
      </c>
      <c r="D44" s="2">
        <f>AK29-AL29</f>
        <v>-379.58032999999995</v>
      </c>
    </row>
    <row r="45" spans="3:43" x14ac:dyDescent="0.2">
      <c r="C45" t="s">
        <v>5</v>
      </c>
      <c r="D45" s="2">
        <f>SUM(D41:D44)</f>
        <v>1284.311329999998</v>
      </c>
    </row>
    <row r="46" spans="3:43" x14ac:dyDescent="0.2">
      <c r="C46" t="s">
        <v>4</v>
      </c>
      <c r="D46" s="2">
        <f>AM15-AL15</f>
        <v>564.66310000000067</v>
      </c>
    </row>
    <row r="47" spans="3:43" x14ac:dyDescent="0.2">
      <c r="C47" t="s">
        <v>3</v>
      </c>
      <c r="D47" s="2">
        <f>AL23-AM23</f>
        <v>-100.20334999999977</v>
      </c>
    </row>
    <row r="48" spans="3:43" x14ac:dyDescent="0.2">
      <c r="C48" t="s">
        <v>2</v>
      </c>
      <c r="D48" s="2">
        <f>AL29-AM29</f>
        <v>-0.10555999999999699</v>
      </c>
    </row>
    <row r="49" spans="3:5" x14ac:dyDescent="0.2">
      <c r="C49" t="s">
        <v>1</v>
      </c>
      <c r="D49" s="2">
        <f>SUM(D45:D48)</f>
        <v>1748.6655199999989</v>
      </c>
      <c r="E49" s="2">
        <f>D49-AM30</f>
        <v>0</v>
      </c>
    </row>
  </sheetData>
  <pageMargins left="0.7" right="0.7" top="0.75" bottom="0.75" header="0.3" footer="0.3"/>
  <pageSetup orientation="landscape" r:id="rId1"/>
  <customProperties>
    <customPr name="OrphanNamesChecked" r:id="rId2"/>
  </customProperties>
  <drawing r:id="rId3"/>
  <extLst>
    <ext xmlns:x14="http://schemas.microsoft.com/office/spreadsheetml/2009/9/main" uri="{78C0D931-6437-407d-A8EE-F0AAD7539E65}">
      <x14:conditionalFormattings>
        <x14:conditionalFormatting xmlns:xm="http://schemas.microsoft.com/office/excel/2006/main">
          <x14:cfRule type="containsText" priority="1" operator="containsText" id="{0D4BE86B-BC0A-47B9-9ABC-96F2DA3497BD}">
            <xm:f>NOT(ISERROR(SEARCH("NO",A1)))</xm:f>
            <xm:f>"NO"</xm:f>
            <x14:dxf>
              <font>
                <b/>
                <i val="0"/>
                <color rgb="FFFF0000"/>
              </font>
            </x14:dxf>
          </x14:cfRule>
          <xm:sqref>A1:A2</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54814-AE3E-46BB-BC39-FB78A5546B4A}">
  <sheetPr>
    <tabColor rgb="FFFFFF00"/>
    <pageSetUpPr fitToPage="1"/>
  </sheetPr>
  <dimension ref="A1:W35"/>
  <sheetViews>
    <sheetView showGridLines="0" view="pageBreakPreview" zoomScaleNormal="100" zoomScaleSheetLayoutView="100" workbookViewId="0">
      <pane xSplit="4" ySplit="8" topLeftCell="E15" activePane="bottomRight" state="frozen"/>
      <selection pane="topRight"/>
      <selection pane="bottomLeft"/>
      <selection pane="bottomRight" activeCell="C2" sqref="C2"/>
    </sheetView>
  </sheetViews>
  <sheetFormatPr defaultRowHeight="10" outlineLevelCol="1" x14ac:dyDescent="0.2"/>
  <cols>
    <col min="1" max="1" width="9.33203125" customWidth="1" outlineLevel="1"/>
    <col min="2" max="2" width="1.77734375" customWidth="1"/>
    <col min="3" max="3" width="32.77734375" customWidth="1"/>
    <col min="4" max="4" width="4.33203125" customWidth="1" outlineLevel="1"/>
    <col min="5" max="7" width="8.77734375" customWidth="1"/>
    <col min="8" max="8" width="1.77734375" customWidth="1"/>
    <col min="9" max="11" width="8.77734375" customWidth="1"/>
    <col min="12" max="12" width="1.77734375" customWidth="1"/>
    <col min="13" max="15" width="8.77734375" customWidth="1"/>
    <col min="16" max="16" width="1.77734375" customWidth="1"/>
    <col min="17" max="19" width="8.77734375" customWidth="1"/>
    <col min="20" max="20" width="1.77734375" customWidth="1"/>
    <col min="21" max="23" width="8.77734375" customWidth="1"/>
    <col min="24" max="24" width="1.77734375" customWidth="1"/>
  </cols>
  <sheetData>
    <row r="1" spans="1:23" ht="10.5" x14ac:dyDescent="0.25">
      <c r="A1" s="38" t="str">
        <f>IF(ROUND(SUM(E31:X35),1)&lt;&gt;0,"NO","Yes")</f>
        <v>Yes</v>
      </c>
      <c r="C1" t="s">
        <v>451</v>
      </c>
    </row>
    <row r="2" spans="1:23" ht="10.5" x14ac:dyDescent="0.25">
      <c r="A2" s="38" t="str">
        <f>IF(COUNTIF(E31:X35,"&gt;0.5")+COUNTIF(E31:X35,"&lt;-0.5")&lt;1,"Yes","No")</f>
        <v>Yes</v>
      </c>
      <c r="C2" t="s">
        <v>450</v>
      </c>
    </row>
    <row r="3" spans="1:23" x14ac:dyDescent="0.2">
      <c r="A3">
        <f>2-COUNTIF(A1:A2,"Yes")</f>
        <v>0</v>
      </c>
      <c r="C3" t="s">
        <v>36</v>
      </c>
    </row>
    <row r="4" spans="1:23" x14ac:dyDescent="0.2">
      <c r="C4" t="s">
        <v>51</v>
      </c>
    </row>
    <row r="6" spans="1:23" x14ac:dyDescent="0.2">
      <c r="I6" s="45" t="s">
        <v>50</v>
      </c>
      <c r="J6" s="45" t="s">
        <v>50</v>
      </c>
      <c r="K6" s="45" t="s">
        <v>50</v>
      </c>
      <c r="L6" s="45"/>
      <c r="M6" s="45" t="s">
        <v>49</v>
      </c>
      <c r="N6" s="45" t="s">
        <v>49</v>
      </c>
      <c r="O6" s="45" t="s">
        <v>49</v>
      </c>
      <c r="P6" s="45"/>
      <c r="Q6" s="45" t="s">
        <v>48</v>
      </c>
      <c r="R6" s="45" t="s">
        <v>48</v>
      </c>
      <c r="S6" s="45" t="s">
        <v>48</v>
      </c>
    </row>
    <row r="7" spans="1:23" ht="13.5" customHeight="1" x14ac:dyDescent="0.55000000000000004">
      <c r="C7" s="34" t="str">
        <f>C4</f>
        <v>Reported to Adjusted Bridge</v>
      </c>
      <c r="D7" s="34"/>
      <c r="E7" s="36" t="s">
        <v>47</v>
      </c>
      <c r="F7" s="36"/>
      <c r="G7" s="36"/>
      <c r="H7" s="44"/>
      <c r="I7" s="36" t="s">
        <v>46</v>
      </c>
      <c r="J7" s="36"/>
      <c r="K7" s="36"/>
      <c r="L7" s="44"/>
      <c r="M7" s="36" t="s">
        <v>45</v>
      </c>
      <c r="N7" s="36"/>
      <c r="O7" s="36"/>
      <c r="P7" s="44"/>
      <c r="Q7" s="36" t="s">
        <v>44</v>
      </c>
      <c r="R7" s="36"/>
      <c r="S7" s="36"/>
      <c r="T7" s="44"/>
      <c r="U7" s="36" t="s">
        <v>43</v>
      </c>
      <c r="V7" s="36"/>
      <c r="W7" s="36"/>
    </row>
    <row r="8" spans="1:23" ht="10.5" x14ac:dyDescent="0.25">
      <c r="C8" s="34" t="str">
        <f>C3</f>
        <v>($ in 000s)</v>
      </c>
      <c r="D8" s="33" t="s">
        <v>33</v>
      </c>
      <c r="E8" s="32" t="str">
        <f>'PL1'!AK8</f>
        <v>FY24</v>
      </c>
      <c r="F8" s="32" t="str">
        <f>'PL1'!AL8</f>
        <v>FY25</v>
      </c>
      <c r="G8" s="32" t="str">
        <f>'PL1'!AM8</f>
        <v>TTM26</v>
      </c>
      <c r="H8" s="32"/>
      <c r="I8" s="32" t="str">
        <f>E8</f>
        <v>FY24</v>
      </c>
      <c r="J8" s="32" t="str">
        <f>F8</f>
        <v>FY25</v>
      </c>
      <c r="K8" s="32" t="str">
        <f>G8</f>
        <v>TTM26</v>
      </c>
      <c r="L8" s="32"/>
      <c r="M8" s="32" t="str">
        <f>E8</f>
        <v>FY24</v>
      </c>
      <c r="N8" s="32" t="str">
        <f>F8</f>
        <v>FY25</v>
      </c>
      <c r="O8" s="32" t="str">
        <f>G8</f>
        <v>TTM26</v>
      </c>
      <c r="P8" s="32"/>
      <c r="Q8" s="32" t="str">
        <f>E8</f>
        <v>FY24</v>
      </c>
      <c r="R8" s="32" t="str">
        <f>F8</f>
        <v>FY25</v>
      </c>
      <c r="S8" s="32" t="str">
        <f>G8</f>
        <v>TTM26</v>
      </c>
      <c r="T8" s="32"/>
      <c r="U8" s="32" t="str">
        <f>E8</f>
        <v>FY24</v>
      </c>
      <c r="V8" s="32" t="str">
        <f>F8</f>
        <v>FY25</v>
      </c>
      <c r="W8" s="32" t="str">
        <f>G8</f>
        <v>TTM26</v>
      </c>
    </row>
    <row r="9" spans="1:23" ht="11.25" customHeight="1" x14ac:dyDescent="0.2">
      <c r="C9" t="s">
        <v>29</v>
      </c>
      <c r="E9" s="29">
        <f>_xlfn.XLOOKUP($C9,'PL1'!$C:$C,'PL1'!AK:AK)</f>
        <v>7647.4216000000006</v>
      </c>
      <c r="F9" s="29">
        <f>_xlfn.XLOOKUP($C9,'PL1'!$C:$C,'PL1'!AL:AL)</f>
        <v>6778.7511599999989</v>
      </c>
      <c r="G9" s="29">
        <f>_xlfn.XLOOKUP($C9,'PL1'!$C:$C,'PL1'!AM:AM)</f>
        <v>7343.4142599999996</v>
      </c>
      <c r="H9" s="29"/>
      <c r="I9" s="29">
        <f>SUMIFS(ADJ!$AM:$AM,ADJ!$E:$E,'RPL2'!$C9,ADJ!$D:$D,'RPL2'!I$6)</f>
        <v>0</v>
      </c>
      <c r="J9" s="29">
        <f>SUMIFS(ADJ!$AN:$AN,ADJ!$E:$E,'RPL2'!$C9,ADJ!$D:$D,'RPL2'!J$6)</f>
        <v>0</v>
      </c>
      <c r="K9" s="29">
        <f>SUMIFS(ADJ!$AO:$AO,ADJ!$E:$E,'RPL2'!$C9,ADJ!$D:$D,'RPL2'!K$6)</f>
        <v>0</v>
      </c>
      <c r="L9" s="29"/>
      <c r="M9" s="29">
        <f>SUMIFS(ADJ!$AM:$AM,ADJ!$E:$E,'RPL2'!$C9,ADJ!$D:$D,'RPL2'!M$6)</f>
        <v>0</v>
      </c>
      <c r="N9" s="29">
        <f>SUMIFS(ADJ!$AN:$AN,ADJ!$E:$E,'RPL2'!$C9,ADJ!$D:$D,'RPL2'!N$6)</f>
        <v>0</v>
      </c>
      <c r="O9" s="29">
        <f>SUMIFS(ADJ!$AO:$AO,ADJ!$E:$E,'RPL2'!$C9,ADJ!$D:$D,'RPL2'!O$6)</f>
        <v>0</v>
      </c>
      <c r="P9" s="29"/>
      <c r="Q9" s="29">
        <f>SUMIFS(ADJ!$AM:$AM,ADJ!$E:$E,'RPL2'!$C9,ADJ!$D:$D,'RPL2'!Q$6)</f>
        <v>0</v>
      </c>
      <c r="R9" s="29">
        <f>SUMIFS(ADJ!$AN:$AN,ADJ!$E:$E,'RPL2'!$C9,ADJ!$D:$D,'RPL2'!R$6)</f>
        <v>0</v>
      </c>
      <c r="S9" s="29">
        <f>SUMIFS(ADJ!$AO:$AO,ADJ!$E:$E,'RPL2'!$C9,ADJ!$D:$D,'RPL2'!S$6)</f>
        <v>0</v>
      </c>
      <c r="T9" s="29"/>
      <c r="U9" s="29">
        <f>E9+I9+M9+Q9</f>
        <v>7647.4216000000006</v>
      </c>
      <c r="V9" s="29">
        <f>F9+J9+N9+R9</f>
        <v>6778.7511599999989</v>
      </c>
      <c r="W9" s="29">
        <f>G9+K9+O9+S9</f>
        <v>7343.4142599999996</v>
      </c>
    </row>
    <row r="10" spans="1:23" ht="11.25" customHeight="1" x14ac:dyDescent="0.2">
      <c r="C10" s="28" t="s">
        <v>28</v>
      </c>
      <c r="D10" s="28"/>
      <c r="E10" s="26">
        <f>SUM(E9:E9)</f>
        <v>7647.4216000000006</v>
      </c>
      <c r="F10" s="26">
        <f>SUM(F9:F9)</f>
        <v>6778.7511599999989</v>
      </c>
      <c r="G10" s="26">
        <f>SUM(G9:G9)</f>
        <v>7343.4142599999996</v>
      </c>
      <c r="H10" s="26"/>
      <c r="I10" s="26">
        <f>SUM(I9:I9)</f>
        <v>0</v>
      </c>
      <c r="J10" s="26">
        <f>SUM(J9:J9)</f>
        <v>0</v>
      </c>
      <c r="K10" s="26">
        <f>SUM(K9:K9)</f>
        <v>0</v>
      </c>
      <c r="L10" s="26"/>
      <c r="M10" s="26">
        <f>SUM(M9:M9)</f>
        <v>0</v>
      </c>
      <c r="N10" s="26">
        <f>SUM(N9:N9)</f>
        <v>0</v>
      </c>
      <c r="O10" s="26">
        <f>SUM(O9:O9)</f>
        <v>0</v>
      </c>
      <c r="P10" s="26"/>
      <c r="Q10" s="26">
        <f>SUM(Q9:Q9)</f>
        <v>0</v>
      </c>
      <c r="R10" s="26">
        <f>SUM(R9:R9)</f>
        <v>0</v>
      </c>
      <c r="S10" s="26">
        <f>SUM(S9:S9)</f>
        <v>0</v>
      </c>
      <c r="T10" s="26"/>
      <c r="U10" s="26">
        <f>SUM(U9:U9)</f>
        <v>7647.4216000000006</v>
      </c>
      <c r="V10" s="26">
        <f>SUM(V9:V9)</f>
        <v>6778.7511599999989</v>
      </c>
      <c r="W10" s="26">
        <f>SUM(W9:W9)</f>
        <v>7343.4142599999996</v>
      </c>
    </row>
    <row r="11" spans="1:23" ht="6" customHeight="1" x14ac:dyDescent="0.2">
      <c r="E11" s="2"/>
      <c r="F11" s="2"/>
      <c r="G11" s="2"/>
      <c r="H11" s="2"/>
      <c r="I11" s="2"/>
      <c r="J11" s="2"/>
      <c r="K11" s="2"/>
      <c r="L11" s="2"/>
      <c r="M11" s="2"/>
      <c r="N11" s="2"/>
      <c r="O11" s="2"/>
      <c r="P11" s="2"/>
      <c r="Q11" s="2"/>
      <c r="R11" s="2"/>
      <c r="S11" s="2"/>
      <c r="T11" s="2"/>
      <c r="U11" s="2"/>
      <c r="V11" s="2"/>
      <c r="W11" s="2"/>
    </row>
    <row r="12" spans="1:23" ht="11.25" customHeight="1" x14ac:dyDescent="0.2">
      <c r="C12" t="s">
        <v>25</v>
      </c>
      <c r="E12" s="2">
        <v>0</v>
      </c>
      <c r="F12" s="2">
        <v>0</v>
      </c>
      <c r="G12" s="2">
        <v>0</v>
      </c>
      <c r="H12" s="2"/>
      <c r="I12" s="2">
        <v>0</v>
      </c>
      <c r="J12" s="2">
        <v>0</v>
      </c>
      <c r="K12" s="2">
        <v>0</v>
      </c>
      <c r="L12" s="2"/>
      <c r="M12" s="2">
        <v>0</v>
      </c>
      <c r="N12" s="2">
        <v>0</v>
      </c>
      <c r="O12" s="2">
        <v>0</v>
      </c>
      <c r="P12" s="2"/>
      <c r="Q12" s="2">
        <v>0</v>
      </c>
      <c r="R12" s="2">
        <v>0</v>
      </c>
      <c r="S12" s="2">
        <v>0</v>
      </c>
      <c r="T12" s="2"/>
      <c r="U12" s="2">
        <f>E12+I12+M12+Q12</f>
        <v>0</v>
      </c>
      <c r="V12" s="2">
        <f>F12+J12+N12+R12</f>
        <v>0</v>
      </c>
      <c r="W12" s="2">
        <f>G12+K12+O12+S12</f>
        <v>0</v>
      </c>
    </row>
    <row r="13" spans="1:23" ht="11.25" customHeight="1" x14ac:dyDescent="0.25">
      <c r="C13" s="43" t="s">
        <v>4</v>
      </c>
      <c r="D13" s="43"/>
      <c r="E13" s="42">
        <f>E10-E12</f>
        <v>7647.4216000000006</v>
      </c>
      <c r="F13" s="42">
        <f>F10-F12</f>
        <v>6778.7511599999989</v>
      </c>
      <c r="G13" s="42">
        <f>G10-G12</f>
        <v>7343.4142599999996</v>
      </c>
      <c r="H13" s="42"/>
      <c r="I13" s="42">
        <f>I10-I12</f>
        <v>0</v>
      </c>
      <c r="J13" s="42">
        <f>J10-J12</f>
        <v>0</v>
      </c>
      <c r="K13" s="42">
        <f>K10-K12</f>
        <v>0</v>
      </c>
      <c r="L13" s="42"/>
      <c r="M13" s="42">
        <f>M10-M12</f>
        <v>0</v>
      </c>
      <c r="N13" s="42">
        <f>N10-N12</f>
        <v>0</v>
      </c>
      <c r="O13" s="42">
        <f>O10-O12</f>
        <v>0</v>
      </c>
      <c r="P13" s="42"/>
      <c r="Q13" s="42">
        <f>Q10-Q12</f>
        <v>0</v>
      </c>
      <c r="R13" s="42">
        <f>R10-R12</f>
        <v>0</v>
      </c>
      <c r="S13" s="42">
        <f>S10-S12</f>
        <v>0</v>
      </c>
      <c r="T13" s="42"/>
      <c r="U13" s="42">
        <f>U10-U12</f>
        <v>7647.4216000000006</v>
      </c>
      <c r="V13" s="42">
        <f>V10-V12</f>
        <v>6778.7511599999989</v>
      </c>
      <c r="W13" s="42">
        <f>W10-W12</f>
        <v>7343.4142599999996</v>
      </c>
    </row>
    <row r="14" spans="1:23" ht="6" customHeight="1" x14ac:dyDescent="0.2">
      <c r="E14" s="2"/>
      <c r="F14" s="2"/>
      <c r="G14" s="2"/>
      <c r="H14" s="2"/>
      <c r="I14" s="2"/>
      <c r="J14" s="2"/>
      <c r="K14" s="2"/>
      <c r="L14" s="2"/>
      <c r="M14" s="2"/>
      <c r="N14" s="2"/>
      <c r="O14" s="2"/>
      <c r="P14" s="2"/>
      <c r="Q14" s="2"/>
      <c r="R14" s="2"/>
      <c r="S14" s="2"/>
      <c r="T14" s="2"/>
      <c r="U14" s="2"/>
      <c r="V14" s="2"/>
      <c r="W14" s="2"/>
    </row>
    <row r="15" spans="1:23" ht="11.25" customHeight="1" x14ac:dyDescent="0.2">
      <c r="C15" t="s">
        <v>24</v>
      </c>
      <c r="E15" s="2">
        <f>_xlfn.XLOOKUP($C15,'PL1'!$C:$C,'PL1'!AK:AK)</f>
        <v>3426.1162600000002</v>
      </c>
      <c r="F15" s="2">
        <f>_xlfn.XLOOKUP($C15,'PL1'!$C:$C,'PL1'!AL:AL)</f>
        <v>2775.237810000001</v>
      </c>
      <c r="G15" s="2">
        <f>_xlfn.XLOOKUP($C15,'PL1'!$C:$C,'PL1'!AM:AM)</f>
        <v>2733.5666000000006</v>
      </c>
      <c r="H15" s="2"/>
      <c r="I15" s="2">
        <f>-SUMIFS(ADJ!$AM:$AM,ADJ!$E:$E,'RPL2'!$C15,ADJ!$D:$D,'RPL2'!I$6)</f>
        <v>0</v>
      </c>
      <c r="J15" s="2">
        <f>-SUMIFS(ADJ!$AN:$AN,ADJ!$E:$E,'RPL2'!$C15,ADJ!$D:$D,'RPL2'!J$6)</f>
        <v>0</v>
      </c>
      <c r="K15" s="2">
        <f>-SUMIFS(ADJ!$AO:$AO,ADJ!$E:$E,'RPL2'!$C15,ADJ!$D:$D,'RPL2'!K$6)</f>
        <v>0</v>
      </c>
      <c r="L15" s="2"/>
      <c r="M15" s="2">
        <f>-SUMIFS(ADJ!$AM:$AM,ADJ!$E:$E,'RPL2'!$C15,ADJ!$D:$D,'RPL2'!M$6)</f>
        <v>0</v>
      </c>
      <c r="N15" s="2">
        <f>-SUMIFS(ADJ!$AN:$AN,ADJ!$E:$E,'RPL2'!$C15,ADJ!$D:$D,'RPL2'!N$6)</f>
        <v>0</v>
      </c>
      <c r="O15" s="2">
        <f>-SUMIFS(ADJ!$AO:$AO,ADJ!$E:$E,'RPL2'!$C15,ADJ!$D:$D,'RPL2'!O$6)</f>
        <v>0</v>
      </c>
      <c r="P15" s="2"/>
      <c r="Q15" s="2">
        <f>-SUMIFS(ADJ!$AM:$AM,ADJ!$E:$E,'RPL2'!$C15,ADJ!$D:$D,'RPL2'!Q$6)</f>
        <v>0</v>
      </c>
      <c r="R15" s="2">
        <f>-SUMIFS(ADJ!$AN:$AN,ADJ!$E:$E,'RPL2'!$C15,ADJ!$D:$D,'RPL2'!R$6)</f>
        <v>0</v>
      </c>
      <c r="S15" s="2">
        <f>-SUMIFS(ADJ!$AO:$AO,ADJ!$E:$E,'RPL2'!$C15,ADJ!$D:$D,'RPL2'!S$6)</f>
        <v>0</v>
      </c>
      <c r="T15" s="2"/>
      <c r="U15" s="2">
        <f>E15+I15+M15+Q15</f>
        <v>3426.1162600000002</v>
      </c>
      <c r="V15" s="2">
        <f>F15+J15+N15+R15</f>
        <v>2775.237810000001</v>
      </c>
      <c r="W15" s="2">
        <f>G15+K15+O15+S15</f>
        <v>2733.5666000000006</v>
      </c>
    </row>
    <row r="16" spans="1:23" ht="11.25" customHeight="1" x14ac:dyDescent="0.2">
      <c r="C16" t="s">
        <v>23</v>
      </c>
      <c r="E16" s="2">
        <f>_xlfn.XLOOKUP($C16,'PL1'!$C:$C,'PL1'!AK:AK)</f>
        <v>2564.2804299999998</v>
      </c>
      <c r="F16" s="2">
        <f>_xlfn.XLOOKUP($C16,'PL1'!$C:$C,'PL1'!AL:AL)</f>
        <v>2169.89759</v>
      </c>
      <c r="G16" s="2">
        <f>_xlfn.XLOOKUP($C16,'PL1'!$C:$C,'PL1'!AM:AM)</f>
        <v>2348.0548699999999</v>
      </c>
      <c r="H16" s="2"/>
      <c r="I16" s="2">
        <f>-SUMIFS(ADJ!$AM:$AM,ADJ!$E:$E,'RPL2'!$C16,ADJ!$D:$D,'RPL2'!I$6)</f>
        <v>0</v>
      </c>
      <c r="J16" s="2">
        <f>-SUMIFS(ADJ!$AN:$AN,ADJ!$E:$E,'RPL2'!$C16,ADJ!$D:$D,'RPL2'!J$6)</f>
        <v>0</v>
      </c>
      <c r="K16" s="2">
        <f>-SUMIFS(ADJ!$AO:$AO,ADJ!$E:$E,'RPL2'!$C16,ADJ!$D:$D,'RPL2'!K$6)</f>
        <v>0</v>
      </c>
      <c r="L16" s="2"/>
      <c r="M16" s="2">
        <f>-SUMIFS(ADJ!$AM:$AM,ADJ!$E:$E,'RPL2'!$C16,ADJ!$D:$D,'RPL2'!M$6)</f>
        <v>0</v>
      </c>
      <c r="N16" s="2">
        <f>-SUMIFS(ADJ!$AN:$AN,ADJ!$E:$E,'RPL2'!$C16,ADJ!$D:$D,'RPL2'!N$6)</f>
        <v>0</v>
      </c>
      <c r="O16" s="2">
        <f>-SUMIFS(ADJ!$AO:$AO,ADJ!$E:$E,'RPL2'!$C16,ADJ!$D:$D,'RPL2'!O$6)</f>
        <v>0</v>
      </c>
      <c r="P16" s="2"/>
      <c r="Q16" s="2">
        <f>-SUMIFS(ADJ!$AM:$AM,ADJ!$E:$E,'RPL2'!$C16,ADJ!$D:$D,'RPL2'!Q$6)</f>
        <v>0</v>
      </c>
      <c r="R16" s="2">
        <f>-SUMIFS(ADJ!$AN:$AN,ADJ!$E:$E,'RPL2'!$C16,ADJ!$D:$D,'RPL2'!R$6)</f>
        <v>0</v>
      </c>
      <c r="S16" s="2">
        <f>-SUMIFS(ADJ!$AO:$AO,ADJ!$E:$E,'RPL2'!$C16,ADJ!$D:$D,'RPL2'!S$6)</f>
        <v>0</v>
      </c>
      <c r="T16" s="2"/>
      <c r="U16" s="2">
        <f>E16+I16+M16+Q16</f>
        <v>2564.2804299999998</v>
      </c>
      <c r="V16" s="2">
        <f>F16+J16+N16+R16</f>
        <v>2169.89759</v>
      </c>
      <c r="W16" s="2">
        <f>G16+K16+O16+S16</f>
        <v>2348.0548699999999</v>
      </c>
    </row>
    <row r="17" spans="3:23" ht="11.25" customHeight="1" x14ac:dyDescent="0.2">
      <c r="C17" t="s">
        <v>22</v>
      </c>
      <c r="E17" s="2">
        <f>_xlfn.XLOOKUP($C17,'PL1'!$C:$C,'PL1'!AK:AK)</f>
        <v>274.47197</v>
      </c>
      <c r="F17" s="2">
        <f>_xlfn.XLOOKUP($C17,'PL1'!$C:$C,'PL1'!AL:AL)</f>
        <v>323.99788999999993</v>
      </c>
      <c r="G17" s="2">
        <f>_xlfn.XLOOKUP($C17,'PL1'!$C:$C,'PL1'!AM:AM)</f>
        <v>236.34791999999996</v>
      </c>
      <c r="H17" s="2"/>
      <c r="I17" s="2">
        <f>-SUMIFS(ADJ!$AM:$AM,ADJ!$E:$E,'RPL2'!$C17,ADJ!$D:$D,'RPL2'!I$6)</f>
        <v>0</v>
      </c>
      <c r="J17" s="2">
        <f>-SUMIFS(ADJ!$AN:$AN,ADJ!$E:$E,'RPL2'!$C17,ADJ!$D:$D,'RPL2'!J$6)</f>
        <v>0</v>
      </c>
      <c r="K17" s="2">
        <f>-SUMIFS(ADJ!$AO:$AO,ADJ!$E:$E,'RPL2'!$C17,ADJ!$D:$D,'RPL2'!K$6)</f>
        <v>0</v>
      </c>
      <c r="L17" s="2"/>
      <c r="M17" s="2">
        <f>-SUMIFS(ADJ!$AM:$AM,ADJ!$E:$E,'RPL2'!$C17,ADJ!$D:$D,'RPL2'!M$6)</f>
        <v>0</v>
      </c>
      <c r="N17" s="2">
        <f>-SUMIFS(ADJ!$AN:$AN,ADJ!$E:$E,'RPL2'!$C17,ADJ!$D:$D,'RPL2'!N$6)</f>
        <v>0</v>
      </c>
      <c r="O17" s="2">
        <f>-SUMIFS(ADJ!$AO:$AO,ADJ!$E:$E,'RPL2'!$C17,ADJ!$D:$D,'RPL2'!O$6)</f>
        <v>0</v>
      </c>
      <c r="P17" s="2"/>
      <c r="Q17" s="2">
        <f>-SUMIFS(ADJ!$AM:$AM,ADJ!$E:$E,'RPL2'!$C17,ADJ!$D:$D,'RPL2'!Q$6)</f>
        <v>0</v>
      </c>
      <c r="R17" s="2">
        <f>-SUMIFS(ADJ!$AN:$AN,ADJ!$E:$E,'RPL2'!$C17,ADJ!$D:$D,'RPL2'!R$6)</f>
        <v>0</v>
      </c>
      <c r="S17" s="2">
        <f>-SUMIFS(ADJ!$AO:$AO,ADJ!$E:$E,'RPL2'!$C17,ADJ!$D:$D,'RPL2'!S$6)</f>
        <v>0</v>
      </c>
      <c r="T17" s="2"/>
      <c r="U17" s="2">
        <f>E17+I17+M17+Q17</f>
        <v>274.47197</v>
      </c>
      <c r="V17" s="2">
        <f>F17+J17+N17+R17</f>
        <v>323.99788999999993</v>
      </c>
      <c r="W17" s="2">
        <f>G17+K17+O17+S17</f>
        <v>236.34791999999996</v>
      </c>
    </row>
    <row r="18" spans="3:23" ht="11.25" customHeight="1" x14ac:dyDescent="0.2">
      <c r="C18" t="s">
        <v>21</v>
      </c>
      <c r="E18" s="2">
        <f>_xlfn.XLOOKUP($C18,'PL1'!$C:$C,'PL1'!AK:AK)</f>
        <v>103.35</v>
      </c>
      <c r="F18" s="2">
        <f>_xlfn.XLOOKUP($C18,'PL1'!$C:$C,'PL1'!AL:AL)</f>
        <v>153.54456999999999</v>
      </c>
      <c r="G18" s="2">
        <f>_xlfn.XLOOKUP($C18,'PL1'!$C:$C,'PL1'!AM:AM)</f>
        <v>186.68979999999999</v>
      </c>
      <c r="H18" s="2"/>
      <c r="I18" s="2">
        <f>-SUMIFS(ADJ!$AM:$AM,ADJ!$E:$E,'RPL2'!$C18,ADJ!$D:$D,'RPL2'!I$6)</f>
        <v>0</v>
      </c>
      <c r="J18" s="2">
        <f>-SUMIFS(ADJ!$AN:$AN,ADJ!$E:$E,'RPL2'!$C18,ADJ!$D:$D,'RPL2'!J$6)</f>
        <v>0</v>
      </c>
      <c r="K18" s="2">
        <f>-SUMIFS(ADJ!$AO:$AO,ADJ!$E:$E,'RPL2'!$C18,ADJ!$D:$D,'RPL2'!K$6)</f>
        <v>0</v>
      </c>
      <c r="L18" s="2"/>
      <c r="M18" s="2">
        <f>-SUMIFS(ADJ!$AM:$AM,ADJ!$E:$E,'RPL2'!$C18,ADJ!$D:$D,'RPL2'!M$6)</f>
        <v>0</v>
      </c>
      <c r="N18" s="2">
        <f>-SUMIFS(ADJ!$AN:$AN,ADJ!$E:$E,'RPL2'!$C18,ADJ!$D:$D,'RPL2'!N$6)</f>
        <v>0</v>
      </c>
      <c r="O18" s="2">
        <f>-SUMIFS(ADJ!$AO:$AO,ADJ!$E:$E,'RPL2'!$C18,ADJ!$D:$D,'RPL2'!O$6)</f>
        <v>0</v>
      </c>
      <c r="P18" s="2"/>
      <c r="Q18" s="2">
        <f>-SUMIFS(ADJ!$AM:$AM,ADJ!$E:$E,'RPL2'!$C18,ADJ!$D:$D,'RPL2'!Q$6)</f>
        <v>0</v>
      </c>
      <c r="R18" s="2">
        <f>-SUMIFS(ADJ!$AN:$AN,ADJ!$E:$E,'RPL2'!$C18,ADJ!$D:$D,'RPL2'!R$6)</f>
        <v>0</v>
      </c>
      <c r="S18" s="2">
        <f>-SUMIFS(ADJ!$AO:$AO,ADJ!$E:$E,'RPL2'!$C18,ADJ!$D:$D,'RPL2'!S$6)</f>
        <v>0</v>
      </c>
      <c r="T18" s="2"/>
      <c r="U18" s="2">
        <f>E18+I18+M18+Q18</f>
        <v>103.35</v>
      </c>
      <c r="V18" s="2">
        <f>F18+J18+N18+R18</f>
        <v>153.54456999999999</v>
      </c>
      <c r="W18" s="2">
        <f>G18+K18+O18+S18</f>
        <v>186.68979999999999</v>
      </c>
    </row>
    <row r="19" spans="3:23" ht="11.25" customHeight="1" x14ac:dyDescent="0.2">
      <c r="C19" t="s">
        <v>20</v>
      </c>
      <c r="E19" s="2">
        <f>_xlfn.XLOOKUP($C19,'PL1'!$C:$C,'PL1'!AK:AK)</f>
        <v>113.9614</v>
      </c>
      <c r="F19" s="2">
        <f>_xlfn.XLOOKUP($C19,'PL1'!$C:$C,'PL1'!AL:AL)</f>
        <v>103.58166</v>
      </c>
      <c r="G19" s="2">
        <f>_xlfn.XLOOKUP($C19,'PL1'!$C:$C,'PL1'!AM:AM)</f>
        <v>111.18032000000001</v>
      </c>
      <c r="H19" s="2"/>
      <c r="I19" s="2">
        <f>-SUMIFS(ADJ!$AM:$AM,ADJ!$E:$E,'RPL2'!$C19,ADJ!$D:$D,'RPL2'!I$6)</f>
        <v>0</v>
      </c>
      <c r="J19" s="2">
        <f>-SUMIFS(ADJ!$AN:$AN,ADJ!$E:$E,'RPL2'!$C19,ADJ!$D:$D,'RPL2'!J$6)</f>
        <v>0</v>
      </c>
      <c r="K19" s="2">
        <f>-SUMIFS(ADJ!$AO:$AO,ADJ!$E:$E,'RPL2'!$C19,ADJ!$D:$D,'RPL2'!K$6)</f>
        <v>0</v>
      </c>
      <c r="L19" s="2"/>
      <c r="M19" s="2">
        <f>-SUMIFS(ADJ!$AM:$AM,ADJ!$E:$E,'RPL2'!$C19,ADJ!$D:$D,'RPL2'!M$6)</f>
        <v>0</v>
      </c>
      <c r="N19" s="2">
        <f>-SUMIFS(ADJ!$AN:$AN,ADJ!$E:$E,'RPL2'!$C19,ADJ!$D:$D,'RPL2'!N$6)</f>
        <v>0</v>
      </c>
      <c r="O19" s="2">
        <f>-SUMIFS(ADJ!$AO:$AO,ADJ!$E:$E,'RPL2'!$C19,ADJ!$D:$D,'RPL2'!O$6)</f>
        <v>0</v>
      </c>
      <c r="P19" s="2"/>
      <c r="Q19" s="2">
        <f>-SUMIFS(ADJ!$AM:$AM,ADJ!$E:$E,'RPL2'!$C19,ADJ!$D:$D,'RPL2'!Q$6)</f>
        <v>0</v>
      </c>
      <c r="R19" s="2">
        <f>-SUMIFS(ADJ!$AN:$AN,ADJ!$E:$E,'RPL2'!$C19,ADJ!$D:$D,'RPL2'!R$6)</f>
        <v>0</v>
      </c>
      <c r="S19" s="2">
        <f>-SUMIFS(ADJ!$AO:$AO,ADJ!$E:$E,'RPL2'!$C19,ADJ!$D:$D,'RPL2'!S$6)</f>
        <v>0</v>
      </c>
      <c r="T19" s="2"/>
      <c r="U19" s="2">
        <f>E19+I19+M19+Q19</f>
        <v>113.9614</v>
      </c>
      <c r="V19" s="2">
        <f>F19+J19+N19+R19</f>
        <v>103.58166</v>
      </c>
      <c r="W19" s="2">
        <f>G19+K19+O19+S19</f>
        <v>111.18032000000001</v>
      </c>
    </row>
    <row r="20" spans="3:23" ht="11.25" customHeight="1" x14ac:dyDescent="0.2">
      <c r="C20" t="s">
        <v>19</v>
      </c>
      <c r="E20" s="2">
        <f>_xlfn.XLOOKUP($C20,'PL1'!$C:$C,'PL1'!AK:AK)</f>
        <v>23.36787</v>
      </c>
      <c r="F20" s="2">
        <f>_xlfn.XLOOKUP($C20,'PL1'!$C:$C,'PL1'!AL:AL)</f>
        <v>20.444330000000001</v>
      </c>
      <c r="G20" s="2">
        <f>_xlfn.XLOOKUP($C20,'PL1'!$C:$C,'PL1'!AM:AM)</f>
        <v>31.067690000000002</v>
      </c>
      <c r="H20" s="2"/>
      <c r="I20" s="2">
        <f>-SUMIFS(ADJ!$AM:$AM,ADJ!$E:$E,'RPL2'!$C20,ADJ!$D:$D,'RPL2'!I$6)</f>
        <v>0</v>
      </c>
      <c r="J20" s="2">
        <f>-SUMIFS(ADJ!$AN:$AN,ADJ!$E:$E,'RPL2'!$C20,ADJ!$D:$D,'RPL2'!J$6)</f>
        <v>0</v>
      </c>
      <c r="K20" s="2">
        <f>-SUMIFS(ADJ!$AO:$AO,ADJ!$E:$E,'RPL2'!$C20,ADJ!$D:$D,'RPL2'!K$6)</f>
        <v>0</v>
      </c>
      <c r="L20" s="2"/>
      <c r="M20" s="2">
        <f>-SUMIFS(ADJ!$AM:$AM,ADJ!$E:$E,'RPL2'!$C20,ADJ!$D:$D,'RPL2'!M$6)</f>
        <v>0</v>
      </c>
      <c r="N20" s="2">
        <f>-SUMIFS(ADJ!$AN:$AN,ADJ!$E:$E,'RPL2'!$C20,ADJ!$D:$D,'RPL2'!N$6)</f>
        <v>0</v>
      </c>
      <c r="O20" s="2">
        <f>-SUMIFS(ADJ!$AO:$AO,ADJ!$E:$E,'RPL2'!$C20,ADJ!$D:$D,'RPL2'!O$6)</f>
        <v>0</v>
      </c>
      <c r="P20" s="2"/>
      <c r="Q20" s="2">
        <f>-SUMIFS(ADJ!$AM:$AM,ADJ!$E:$E,'RPL2'!$C20,ADJ!$D:$D,'RPL2'!Q$6)</f>
        <v>0</v>
      </c>
      <c r="R20" s="2">
        <f>-SUMIFS(ADJ!$AN:$AN,ADJ!$E:$E,'RPL2'!$C20,ADJ!$D:$D,'RPL2'!R$6)</f>
        <v>0</v>
      </c>
      <c r="S20" s="2">
        <f>-SUMIFS(ADJ!$AO:$AO,ADJ!$E:$E,'RPL2'!$C20,ADJ!$D:$D,'RPL2'!S$6)</f>
        <v>0</v>
      </c>
      <c r="T20" s="2"/>
      <c r="U20" s="2">
        <f>E20+I20+M20+Q20</f>
        <v>23.36787</v>
      </c>
      <c r="V20" s="2">
        <f>F20+J20+N20+R20</f>
        <v>20.444330000000001</v>
      </c>
      <c r="W20" s="2">
        <f>G20+K20+O20+S20</f>
        <v>31.067690000000002</v>
      </c>
    </row>
    <row r="21" spans="3:23" ht="11.25" customHeight="1" x14ac:dyDescent="0.2">
      <c r="C21" s="28" t="s">
        <v>18</v>
      </c>
      <c r="D21" s="28"/>
      <c r="E21" s="25">
        <f>SUM(E15:E20)</f>
        <v>6505.5479299999997</v>
      </c>
      <c r="F21" s="25">
        <f>SUM(F15:F20)</f>
        <v>5546.7038500000008</v>
      </c>
      <c r="G21" s="25">
        <f>SUM(G15:G20)</f>
        <v>5646.9072000000006</v>
      </c>
      <c r="H21" s="25"/>
      <c r="I21" s="25">
        <f>SUM(I15:I20)</f>
        <v>0</v>
      </c>
      <c r="J21" s="25">
        <f>SUM(J15:J20)</f>
        <v>0</v>
      </c>
      <c r="K21" s="25">
        <f>SUM(K15:K20)</f>
        <v>0</v>
      </c>
      <c r="L21" s="25"/>
      <c r="M21" s="25">
        <f>SUM(M15:M20)</f>
        <v>0</v>
      </c>
      <c r="N21" s="25">
        <f>SUM(N15:N20)</f>
        <v>0</v>
      </c>
      <c r="O21" s="25">
        <f>SUM(O15:O20)</f>
        <v>0</v>
      </c>
      <c r="P21" s="25"/>
      <c r="Q21" s="25">
        <f>SUM(Q15:Q20)</f>
        <v>0</v>
      </c>
      <c r="R21" s="25">
        <f>SUM(R15:R20)</f>
        <v>0</v>
      </c>
      <c r="S21" s="25">
        <f>SUM(S15:S20)</f>
        <v>0</v>
      </c>
      <c r="T21" s="25"/>
      <c r="U21" s="25">
        <f>SUM(U15:U20)</f>
        <v>6505.5479299999997</v>
      </c>
      <c r="V21" s="25">
        <f>SUM(V15:V20)</f>
        <v>5546.7038500000008</v>
      </c>
      <c r="W21" s="25">
        <f>SUM(W15:W20)</f>
        <v>5646.9072000000006</v>
      </c>
    </row>
    <row r="22" spans="3:23" ht="11.25" customHeight="1" x14ac:dyDescent="0.25">
      <c r="C22" s="43" t="s">
        <v>17</v>
      </c>
      <c r="D22" s="43"/>
      <c r="E22" s="42">
        <f>E13-E21</f>
        <v>1141.8736700000009</v>
      </c>
      <c r="F22" s="42">
        <f>F13-F21</f>
        <v>1232.0473099999981</v>
      </c>
      <c r="G22" s="42">
        <f>G13-G21</f>
        <v>1696.507059999999</v>
      </c>
      <c r="H22" s="42"/>
      <c r="I22" s="42">
        <f>I13-I21</f>
        <v>0</v>
      </c>
      <c r="J22" s="42">
        <f>J13-J21</f>
        <v>0</v>
      </c>
      <c r="K22" s="42">
        <f>K13-K21</f>
        <v>0</v>
      </c>
      <c r="L22" s="42"/>
      <c r="M22" s="42">
        <f>M13-M21</f>
        <v>0</v>
      </c>
      <c r="N22" s="42">
        <f>N13-N21</f>
        <v>0</v>
      </c>
      <c r="O22" s="42">
        <f>O13-O21</f>
        <v>0</v>
      </c>
      <c r="P22" s="42"/>
      <c r="Q22" s="42">
        <f>Q13-Q21</f>
        <v>0</v>
      </c>
      <c r="R22" s="42">
        <f>R13-R21</f>
        <v>0</v>
      </c>
      <c r="S22" s="42">
        <f>S13-S21</f>
        <v>0</v>
      </c>
      <c r="T22" s="42"/>
      <c r="U22" s="42">
        <f>U13-U21</f>
        <v>1141.8736700000009</v>
      </c>
      <c r="V22" s="42">
        <f>V13-V21</f>
        <v>1232.0473099999981</v>
      </c>
      <c r="W22" s="42">
        <f>W13-W21</f>
        <v>1696.507059999999</v>
      </c>
    </row>
    <row r="23" spans="3:23" ht="6" customHeight="1" x14ac:dyDescent="0.2">
      <c r="E23" s="2"/>
      <c r="F23" s="2"/>
      <c r="G23" s="2"/>
      <c r="H23" s="2"/>
      <c r="I23" s="2"/>
      <c r="J23" s="2"/>
      <c r="K23" s="2"/>
      <c r="L23" s="2"/>
      <c r="M23" s="2"/>
      <c r="N23" s="2"/>
      <c r="O23" s="2"/>
      <c r="P23" s="2"/>
      <c r="Q23" s="2"/>
      <c r="R23" s="2"/>
      <c r="S23" s="2"/>
      <c r="T23" s="2"/>
      <c r="U23" s="2"/>
      <c r="V23" s="2"/>
      <c r="W23" s="2"/>
    </row>
    <row r="24" spans="3:23" ht="11.25" customHeight="1" x14ac:dyDescent="0.2">
      <c r="C24" t="s">
        <v>16</v>
      </c>
      <c r="E24" s="2">
        <f>_xlfn.XLOOKUP($C24,'PL1'!$C:$C,'PL1'!AK:AK)</f>
        <v>1.5</v>
      </c>
      <c r="F24" s="2">
        <f>_xlfn.XLOOKUP($C24,'PL1'!$C:$C,'PL1'!AL:AL)</f>
        <v>182.06399999999999</v>
      </c>
      <c r="G24" s="2">
        <f>_xlfn.XLOOKUP($C24,'PL1'!$C:$C,'PL1'!AM:AM)</f>
        <v>167.10999999999999</v>
      </c>
      <c r="H24" s="2"/>
      <c r="I24" s="2">
        <f>-SUMIFS(ADJ!$AM:$AM,ADJ!$E:$E,'RPL2'!$C24,ADJ!$D:$D,'RPL2'!I$6)</f>
        <v>-1.5</v>
      </c>
      <c r="J24" s="2">
        <f>-SUMIFS(ADJ!$AN:$AN,ADJ!$E:$E,'RPL2'!$C24,ADJ!$D:$D,'RPL2'!J$6)</f>
        <v>-182.06399999999999</v>
      </c>
      <c r="K24" s="2">
        <f>-SUMIFS(ADJ!$AO:$AO,ADJ!$E:$E,'RPL2'!$C24,ADJ!$D:$D,'RPL2'!K$6)</f>
        <v>-167.10999999999999</v>
      </c>
      <c r="L24" s="2"/>
      <c r="M24" s="2">
        <f>-SUMIFS(ADJ!$AM:$AM,ADJ!$E:$E,'RPL2'!$C24,ADJ!$D:$D,'RPL2'!M$6)</f>
        <v>0</v>
      </c>
      <c r="N24" s="2">
        <f>-SUMIFS(ADJ!$AN:$AN,ADJ!$E:$E,'RPL2'!$C24,ADJ!$D:$D,'RPL2'!N$6)</f>
        <v>0</v>
      </c>
      <c r="O24" s="2">
        <f>-SUMIFS(ADJ!$AO:$AO,ADJ!$E:$E,'RPL2'!$C24,ADJ!$D:$D,'RPL2'!O$6)</f>
        <v>0</v>
      </c>
      <c r="P24" s="2"/>
      <c r="Q24" s="2">
        <f>-SUMIFS(ADJ!$AM:$AM,ADJ!$E:$E,'RPL2'!$C24,ADJ!$D:$D,'RPL2'!Q$6)</f>
        <v>0</v>
      </c>
      <c r="R24" s="2">
        <f>-SUMIFS(ADJ!$AN:$AN,ADJ!$E:$E,'RPL2'!$C24,ADJ!$D:$D,'RPL2'!R$6)</f>
        <v>0</v>
      </c>
      <c r="S24" s="2">
        <f>-SUMIFS(ADJ!$AO:$AO,ADJ!$E:$E,'RPL2'!$C24,ADJ!$D:$D,'RPL2'!S$6)</f>
        <v>0</v>
      </c>
      <c r="T24" s="2"/>
      <c r="U24" s="2">
        <f>E24+I24+M24+Q24</f>
        <v>0</v>
      </c>
      <c r="V24" s="2">
        <f>F24+J24+N24+R24</f>
        <v>0</v>
      </c>
      <c r="W24" s="2">
        <f>G24+K24+O24+S24</f>
        <v>0</v>
      </c>
    </row>
    <row r="25" spans="3:23" ht="11.25" customHeight="1" x14ac:dyDescent="0.2">
      <c r="C25" t="s">
        <v>15</v>
      </c>
      <c r="E25" s="2">
        <f>_xlfn.XLOOKUP($C25,'PL1'!$C:$C,'PL1'!AK:AK)</f>
        <v>4.4480000000000004</v>
      </c>
      <c r="F25" s="2">
        <f>_xlfn.XLOOKUP($C25,'PL1'!$C:$C,'PL1'!AL:AL)</f>
        <v>3.516</v>
      </c>
      <c r="G25" s="2">
        <f>_xlfn.XLOOKUP($C25,'PL1'!$C:$C,'PL1'!AM:AM)</f>
        <v>3.516</v>
      </c>
      <c r="H25" s="2"/>
      <c r="I25" s="2">
        <f>-SUMIFS(ADJ!$AM:$AM,ADJ!$E:$E,'RPL2'!$C25,ADJ!$D:$D,'RPL2'!I$6)</f>
        <v>-4.4480000000000004</v>
      </c>
      <c r="J25" s="2">
        <f>-SUMIFS(ADJ!$AN:$AN,ADJ!$E:$E,'RPL2'!$C25,ADJ!$D:$D,'RPL2'!J$6)</f>
        <v>-3.516</v>
      </c>
      <c r="K25" s="2">
        <f>-SUMIFS(ADJ!$AO:$AO,ADJ!$E:$E,'RPL2'!$C25,ADJ!$D:$D,'RPL2'!K$6)</f>
        <v>-3.516</v>
      </c>
      <c r="L25" s="2"/>
      <c r="M25" s="2">
        <f>-SUMIFS(ADJ!$AM:$AM,ADJ!$E:$E,'RPL2'!$C25,ADJ!$D:$D,'RPL2'!M$6)</f>
        <v>0</v>
      </c>
      <c r="N25" s="2">
        <f>-SUMIFS(ADJ!$AN:$AN,ADJ!$E:$E,'RPL2'!$C25,ADJ!$D:$D,'RPL2'!N$6)</f>
        <v>0</v>
      </c>
      <c r="O25" s="2">
        <f>-SUMIFS(ADJ!$AO:$AO,ADJ!$E:$E,'RPL2'!$C25,ADJ!$D:$D,'RPL2'!O$6)</f>
        <v>0</v>
      </c>
      <c r="P25" s="2"/>
      <c r="Q25" s="2">
        <f>-SUMIFS(ADJ!$AM:$AM,ADJ!$E:$E,'RPL2'!$C25,ADJ!$D:$D,'RPL2'!Q$6)</f>
        <v>0</v>
      </c>
      <c r="R25" s="2">
        <f>-SUMIFS(ADJ!$AN:$AN,ADJ!$E:$E,'RPL2'!$C25,ADJ!$D:$D,'RPL2'!R$6)</f>
        <v>0</v>
      </c>
      <c r="S25" s="2">
        <f>-SUMIFS(ADJ!$AO:$AO,ADJ!$E:$E,'RPL2'!$C25,ADJ!$D:$D,'RPL2'!S$6)</f>
        <v>0</v>
      </c>
      <c r="T25" s="2"/>
      <c r="U25" s="2">
        <f>E25+I25+M25+Q25</f>
        <v>0</v>
      </c>
      <c r="V25" s="2">
        <f>F25+J25+N25+R25</f>
        <v>0</v>
      </c>
      <c r="W25" s="2">
        <f>G25+K25+O25+S25</f>
        <v>0</v>
      </c>
    </row>
    <row r="26" spans="3:23" ht="11.25" customHeight="1" x14ac:dyDescent="0.2">
      <c r="C26" t="s">
        <v>14</v>
      </c>
      <c r="E26" s="2">
        <f>_xlfn.XLOOKUP($C26,'PL1'!$C:$C,'PL1'!AK:AK)</f>
        <v>-431.84434999999996</v>
      </c>
      <c r="F26" s="2">
        <f>_xlfn.XLOOKUP($C26,'PL1'!$C:$C,'PL1'!AL:AL)</f>
        <v>-52.264020000000002</v>
      </c>
      <c r="G26" s="2">
        <f>_xlfn.XLOOKUP($C26,'PL1'!$C:$C,'PL1'!AM:AM)</f>
        <v>-52.158460000000005</v>
      </c>
      <c r="H26" s="2"/>
      <c r="I26" s="2">
        <f>-SUMIFS(ADJ!$AM:$AM,ADJ!$E:$E,'RPL2'!$C26,ADJ!$D:$D,'RPL2'!I$6)</f>
        <v>0</v>
      </c>
      <c r="J26" s="2">
        <f>-SUMIFS(ADJ!$AN:$AN,ADJ!$E:$E,'RPL2'!$C26,ADJ!$D:$D,'RPL2'!J$6)</f>
        <v>0</v>
      </c>
      <c r="K26" s="2">
        <f>-SUMIFS(ADJ!$AO:$AO,ADJ!$E:$E,'RPL2'!$C26,ADJ!$D:$D,'RPL2'!K$6)</f>
        <v>0</v>
      </c>
      <c r="L26" s="2"/>
      <c r="M26" s="2">
        <f>-SUMIFS(ADJ!$AM:$AM,ADJ!$E:$E,'RPL2'!$C26,ADJ!$D:$D,'RPL2'!M$6)</f>
        <v>0</v>
      </c>
      <c r="N26" s="2">
        <f>-SUMIFS(ADJ!$AN:$AN,ADJ!$E:$E,'RPL2'!$C26,ADJ!$D:$D,'RPL2'!N$6)</f>
        <v>0</v>
      </c>
      <c r="O26" s="2">
        <f>-SUMIFS(ADJ!$AO:$AO,ADJ!$E:$E,'RPL2'!$C26,ADJ!$D:$D,'RPL2'!O$6)</f>
        <v>0</v>
      </c>
      <c r="P26" s="2"/>
      <c r="Q26" s="2">
        <f>-SUMIFS(ADJ!$AM:$AM,ADJ!$E:$E,'RPL2'!$C26,ADJ!$D:$D,'RPL2'!Q$6)</f>
        <v>0</v>
      </c>
      <c r="R26" s="2">
        <f>-SUMIFS(ADJ!$AN:$AN,ADJ!$E:$E,'RPL2'!$C26,ADJ!$D:$D,'RPL2'!R$6)</f>
        <v>0</v>
      </c>
      <c r="S26" s="2">
        <f>-SUMIFS(ADJ!$AO:$AO,ADJ!$E:$E,'RPL2'!$C26,ADJ!$D:$D,'RPL2'!S$6)</f>
        <v>0</v>
      </c>
      <c r="T26" s="2"/>
      <c r="U26" s="2">
        <f>E26+I26+M26+Q26</f>
        <v>-431.84434999999996</v>
      </c>
      <c r="V26" s="2">
        <f>F26+J26+N26+R26</f>
        <v>-52.264020000000002</v>
      </c>
      <c r="W26" s="2">
        <f>G26+K26+O26+S26</f>
        <v>-52.158460000000005</v>
      </c>
    </row>
    <row r="27" spans="3:23" ht="11.25" customHeight="1" x14ac:dyDescent="0.2">
      <c r="C27" s="41" t="s">
        <v>13</v>
      </c>
      <c r="D27" s="41"/>
      <c r="E27" s="25">
        <f>SUM(E24:E26)</f>
        <v>-425.89634999999998</v>
      </c>
      <c r="F27" s="25">
        <f>SUM(F24:F26)</f>
        <v>133.31597999999997</v>
      </c>
      <c r="G27" s="25">
        <f>SUM(G24:G26)</f>
        <v>118.46753999999997</v>
      </c>
      <c r="H27" s="25"/>
      <c r="I27" s="25">
        <f>SUM(I24:I26)</f>
        <v>-5.9480000000000004</v>
      </c>
      <c r="J27" s="25">
        <f>SUM(J24:J26)</f>
        <v>-185.57999999999998</v>
      </c>
      <c r="K27" s="25">
        <f>SUM(K24:K26)</f>
        <v>-170.62599999999998</v>
      </c>
      <c r="L27" s="25"/>
      <c r="M27" s="25">
        <f>SUM(M24:M26)</f>
        <v>0</v>
      </c>
      <c r="N27" s="25">
        <f>SUM(N24:N26)</f>
        <v>0</v>
      </c>
      <c r="O27" s="25">
        <f>SUM(O24:O26)</f>
        <v>0</v>
      </c>
      <c r="P27" s="25"/>
      <c r="Q27" s="25">
        <f>SUM(Q24:Q26)</f>
        <v>0</v>
      </c>
      <c r="R27" s="25">
        <f>SUM(R24:R26)</f>
        <v>0</v>
      </c>
      <c r="S27" s="25">
        <f>SUM(S24:S26)</f>
        <v>0</v>
      </c>
      <c r="T27" s="25"/>
      <c r="U27" s="25">
        <f>SUM(U24:U26)</f>
        <v>-431.84434999999996</v>
      </c>
      <c r="V27" s="25">
        <f>SUM(V24:V26)</f>
        <v>-52.264020000000002</v>
      </c>
      <c r="W27" s="25">
        <f>SUM(W24:W26)</f>
        <v>-52.158460000000005</v>
      </c>
    </row>
    <row r="28" spans="3:23" ht="12" customHeight="1" thickBot="1" x14ac:dyDescent="0.3">
      <c r="C28" s="40" t="s">
        <v>42</v>
      </c>
      <c r="D28" s="40"/>
      <c r="E28" s="39">
        <f>E22-E27</f>
        <v>1567.7700200000008</v>
      </c>
      <c r="F28" s="39">
        <f>F22-F27</f>
        <v>1098.7313299999983</v>
      </c>
      <c r="G28" s="39">
        <f>G22-G27</f>
        <v>1578.0395199999991</v>
      </c>
      <c r="H28" s="39"/>
      <c r="I28" s="39">
        <f>I22-I27</f>
        <v>5.9480000000000004</v>
      </c>
      <c r="J28" s="39">
        <f>J22-J27</f>
        <v>185.57999999999998</v>
      </c>
      <c r="K28" s="39">
        <f>K22-K27</f>
        <v>170.62599999999998</v>
      </c>
      <c r="L28" s="39"/>
      <c r="M28" s="39">
        <f>M22-M27</f>
        <v>0</v>
      </c>
      <c r="N28" s="39">
        <f>N22-N27</f>
        <v>0</v>
      </c>
      <c r="O28" s="39">
        <f>O22-O27</f>
        <v>0</v>
      </c>
      <c r="P28" s="39"/>
      <c r="Q28" s="39">
        <f>Q22-Q27</f>
        <v>0</v>
      </c>
      <c r="R28" s="39">
        <f>R22-R27</f>
        <v>0</v>
      </c>
      <c r="S28" s="39">
        <f>S22-S27</f>
        <v>0</v>
      </c>
      <c r="T28" s="39"/>
      <c r="U28" s="39">
        <f>U22-U27</f>
        <v>1573.7180200000007</v>
      </c>
      <c r="V28" s="39">
        <f>V22-V27</f>
        <v>1284.3113299999982</v>
      </c>
      <c r="W28" s="39">
        <f>W22-W27</f>
        <v>1748.6655199999991</v>
      </c>
    </row>
    <row r="29" spans="3:23" ht="6" customHeight="1" x14ac:dyDescent="0.2">
      <c r="E29" s="2"/>
      <c r="F29" s="2"/>
      <c r="G29" s="2"/>
      <c r="H29" s="2"/>
      <c r="I29" s="2"/>
      <c r="J29" s="2"/>
      <c r="K29" s="2"/>
      <c r="L29" s="2"/>
      <c r="M29" s="2"/>
      <c r="N29" s="2"/>
      <c r="O29" s="2"/>
      <c r="P29" s="2"/>
      <c r="Q29" s="2"/>
      <c r="R29" s="2"/>
      <c r="S29" s="2"/>
      <c r="T29" s="2"/>
      <c r="U29" s="2"/>
      <c r="V29" s="2"/>
      <c r="W29" s="2"/>
    </row>
    <row r="31" spans="3:23" ht="11.25" customHeight="1" x14ac:dyDescent="0.2">
      <c r="C31" t="s">
        <v>41</v>
      </c>
      <c r="E31" s="2">
        <f>'PL1'!AK30-E28</f>
        <v>0</v>
      </c>
      <c r="F31" s="2">
        <f>'PL1'!AL30-F28</f>
        <v>0</v>
      </c>
      <c r="G31" s="2">
        <f>'PL1'!AM30-G28</f>
        <v>0</v>
      </c>
    </row>
    <row r="32" spans="3:23" ht="11.25" customHeight="1" x14ac:dyDescent="0.2">
      <c r="C32" t="s">
        <v>40</v>
      </c>
      <c r="I32" s="2">
        <f>('QE1'!AK21+SUM('QE1'!AK10:AK12))-I28</f>
        <v>0</v>
      </c>
      <c r="J32" s="2">
        <f>('QE1'!AL21+SUM('QE1'!AL10:AL12))-J28</f>
        <v>0</v>
      </c>
      <c r="K32" s="2">
        <f>('QE1'!AM21+SUM('QE1'!AM10:AM12))-K28</f>
        <v>0</v>
      </c>
    </row>
    <row r="33" spans="3:23" ht="11.25" customHeight="1" x14ac:dyDescent="0.2">
      <c r="C33" t="s">
        <v>39</v>
      </c>
      <c r="M33" s="2">
        <f>'QE1'!AK41-M28</f>
        <v>0</v>
      </c>
      <c r="N33" s="2">
        <f>'QE1'!AL41-N28</f>
        <v>0</v>
      </c>
      <c r="O33" s="2">
        <f>'QE1'!AM41-O28</f>
        <v>0</v>
      </c>
    </row>
    <row r="34" spans="3:23" ht="11.25" customHeight="1" x14ac:dyDescent="0.2">
      <c r="C34" t="s">
        <v>38</v>
      </c>
      <c r="Q34" s="2">
        <f>'QE1'!AK50-Q28</f>
        <v>0</v>
      </c>
      <c r="R34" s="2">
        <f>'QE1'!AL50-R28</f>
        <v>0</v>
      </c>
      <c r="S34" s="2">
        <f>'QE1'!AM50-S28</f>
        <v>0</v>
      </c>
    </row>
    <row r="35" spans="3:23" ht="11.25" customHeight="1" x14ac:dyDescent="0.2">
      <c r="C35" t="s">
        <v>37</v>
      </c>
      <c r="U35" s="2">
        <f>'QE1'!AK51-U28</f>
        <v>0</v>
      </c>
      <c r="V35" s="2">
        <f>'QE1'!AL51-V28</f>
        <v>0</v>
      </c>
      <c r="W35" s="2">
        <f>'QE1'!AM51-W28</f>
        <v>0</v>
      </c>
    </row>
  </sheetData>
  <pageMargins left="0.7" right="0.7" top="0.75" bottom="0.75" header="0.3" footer="0.3"/>
  <pageSetup scale="86" orientation="landscape" r:id="rId1"/>
  <customProperties>
    <customPr name="OrphanNamesChecked" r:id="rId2"/>
  </customProperties>
  <extLst>
    <ext xmlns:x14="http://schemas.microsoft.com/office/spreadsheetml/2009/9/main" uri="{78C0D931-6437-407d-A8EE-F0AAD7539E65}">
      <x14:conditionalFormattings>
        <x14:conditionalFormatting xmlns:xm="http://schemas.microsoft.com/office/excel/2006/main">
          <x14:cfRule type="containsText" priority="1" operator="containsText" id="{3D34AE08-1042-4E74-8F0B-264FB3798A52}">
            <xm:f>NOT(ISERROR(SEARCH("NO",A1)))</xm:f>
            <xm:f>"NO"</xm:f>
            <x14:dxf>
              <font>
                <b/>
                <i val="0"/>
                <color rgb="FFFF0000"/>
              </font>
            </x14:dxf>
          </x14:cfRule>
          <xm:sqref>A1:A2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33C86-5E67-4848-AD78-27E986A10805}">
  <sheetPr>
    <tabColor rgb="FF0A2463"/>
  </sheetPr>
  <dimension ref="D8:D10"/>
  <sheetViews>
    <sheetView showGridLines="0" view="pageBreakPreview" zoomScaleNormal="100" zoomScaleSheetLayoutView="100" workbookViewId="0">
      <selection activeCell="D9" sqref="D9"/>
    </sheetView>
  </sheetViews>
  <sheetFormatPr defaultRowHeight="10" x14ac:dyDescent="0.2"/>
  <sheetData>
    <row r="8" spans="4:4" ht="13" x14ac:dyDescent="0.3">
      <c r="D8" s="1" t="s">
        <v>451</v>
      </c>
    </row>
    <row r="9" spans="4:4" x14ac:dyDescent="0.2">
      <c r="D9" t="s">
        <v>450</v>
      </c>
    </row>
    <row r="10" spans="4:4" x14ac:dyDescent="0.2">
      <c r="D10" t="s">
        <v>52</v>
      </c>
    </row>
  </sheetData>
  <pageMargins left="0.7" right="0.7" top="0.75" bottom="0.75" header="0.3" footer="0.3"/>
  <pageSetup orientation="landscape" r:id="rId1"/>
  <customProperties>
    <customPr name="OrphanNamesChecked" r:id="rId2"/>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90E76-9D26-4731-BD77-2245B2815680}">
  <sheetPr>
    <tabColor rgb="FFFFFF00"/>
    <pageSetUpPr fitToPage="1"/>
  </sheetPr>
  <dimension ref="A1:AX105"/>
  <sheetViews>
    <sheetView showGridLines="0" view="pageBreakPreview" zoomScaleNormal="100" zoomScaleSheetLayoutView="100" workbookViewId="0">
      <pane xSplit="4" ySplit="8" topLeftCell="E9" activePane="bottomRight" state="frozen"/>
      <selection pane="topRight"/>
      <selection pane="bottomLeft"/>
      <selection pane="bottomRight" activeCell="C2" sqref="C2"/>
    </sheetView>
  </sheetViews>
  <sheetFormatPr defaultRowHeight="10" outlineLevelRow="1" outlineLevelCol="1" x14ac:dyDescent="0.2"/>
  <cols>
    <col min="1" max="1" width="9.33203125" customWidth="1" outlineLevel="1"/>
    <col min="2" max="2" width="1.77734375" customWidth="1"/>
    <col min="3" max="3" width="30.77734375" customWidth="1"/>
    <col min="4" max="4" width="4.33203125" customWidth="1"/>
    <col min="5" max="35" width="7.77734375" customWidth="1" outlineLevel="1"/>
    <col min="36" max="36" width="1.77734375" customWidth="1" outlineLevel="1"/>
    <col min="37" max="39" width="8.77734375" customWidth="1"/>
    <col min="40" max="40" width="1.77734375" customWidth="1"/>
    <col min="41" max="41" width="13" bestFit="1" customWidth="1"/>
    <col min="46" max="46" width="1.77734375" customWidth="1"/>
    <col min="50" max="50" width="8.88671875" outlineLevel="1"/>
  </cols>
  <sheetData>
    <row r="1" spans="1:50" ht="10.5" x14ac:dyDescent="0.25">
      <c r="A1" s="38" t="str">
        <f>IF(ROUND(SUM(E103:AN105),1)&lt;&gt;0,"NO","Yes")</f>
        <v>Yes</v>
      </c>
      <c r="C1" t="s">
        <v>451</v>
      </c>
      <c r="AX1" t="s">
        <v>100</v>
      </c>
    </row>
    <row r="2" spans="1:50" ht="10.5" x14ac:dyDescent="0.25">
      <c r="A2" s="38" t="str">
        <f>IF(COUNTIF(E103:AN105,"&gt;0.5")+COUNTIF(E103:AN105,"&lt;-0.5")&lt;1,"Yes","No")</f>
        <v>Yes</v>
      </c>
      <c r="C2" t="s">
        <v>450</v>
      </c>
      <c r="AX2" t="s">
        <v>127</v>
      </c>
    </row>
    <row r="3" spans="1:50" x14ac:dyDescent="0.2">
      <c r="A3">
        <f>2-COUNTIF(A1:A2,"Yes")</f>
        <v>0</v>
      </c>
      <c r="C3" t="s">
        <v>36</v>
      </c>
      <c r="AX3" t="s">
        <v>126</v>
      </c>
    </row>
    <row r="4" spans="1:50" x14ac:dyDescent="0.2">
      <c r="C4" t="s">
        <v>52</v>
      </c>
      <c r="AX4" t="s">
        <v>125</v>
      </c>
    </row>
    <row r="7" spans="1:50" ht="13.5" customHeight="1" x14ac:dyDescent="0.55000000000000004">
      <c r="C7" s="34" t="str">
        <f>C4</f>
        <v>Quality of Earnings Analysis</v>
      </c>
      <c r="D7" s="31"/>
      <c r="E7" s="36" t="s">
        <v>32</v>
      </c>
      <c r="F7" s="36"/>
      <c r="G7" s="36"/>
      <c r="H7" s="36"/>
      <c r="I7" s="36"/>
      <c r="J7" s="36"/>
      <c r="K7" s="36"/>
      <c r="L7" s="36"/>
      <c r="M7" s="36"/>
      <c r="N7" s="36"/>
      <c r="O7" s="36"/>
      <c r="P7" s="36"/>
      <c r="Q7" s="36" t="s">
        <v>31</v>
      </c>
      <c r="R7" s="36"/>
      <c r="S7" s="36"/>
      <c r="T7" s="36"/>
      <c r="U7" s="36"/>
      <c r="V7" s="36"/>
      <c r="W7" s="36"/>
      <c r="X7" s="36"/>
      <c r="Y7" s="36"/>
      <c r="Z7" s="36"/>
      <c r="AA7" s="36"/>
      <c r="AB7" s="36"/>
      <c r="AC7" s="36" t="s">
        <v>35</v>
      </c>
      <c r="AD7" s="36"/>
      <c r="AE7" s="36"/>
      <c r="AF7" s="36"/>
      <c r="AG7" s="36"/>
      <c r="AH7" s="36"/>
      <c r="AI7" s="36"/>
      <c r="AJ7" s="31"/>
      <c r="AK7" s="31"/>
      <c r="AL7" s="32"/>
      <c r="AM7" s="32">
        <f>AI8</f>
        <v>45961</v>
      </c>
    </row>
    <row r="8" spans="1:50" ht="10.5" x14ac:dyDescent="0.25">
      <c r="C8" s="34" t="str">
        <f>C3</f>
        <v>($ in 000s)</v>
      </c>
      <c r="D8" s="34" t="s">
        <v>33</v>
      </c>
      <c r="E8" s="32">
        <f>TB!K1</f>
        <v>45046</v>
      </c>
      <c r="F8" s="32">
        <f>TB!L1</f>
        <v>45077</v>
      </c>
      <c r="G8" s="32">
        <f>TB!M1</f>
        <v>45107</v>
      </c>
      <c r="H8" s="32">
        <f>TB!N1</f>
        <v>45138</v>
      </c>
      <c r="I8" s="32">
        <f>TB!O1</f>
        <v>45169</v>
      </c>
      <c r="J8" s="32">
        <f>TB!P1</f>
        <v>45199</v>
      </c>
      <c r="K8" s="32">
        <f>TB!Q1</f>
        <v>45230</v>
      </c>
      <c r="L8" s="32">
        <f>TB!R1</f>
        <v>45260</v>
      </c>
      <c r="M8" s="32">
        <f>TB!S1</f>
        <v>45291</v>
      </c>
      <c r="N8" s="32">
        <f>TB!T1</f>
        <v>45322</v>
      </c>
      <c r="O8" s="32">
        <f>TB!U1</f>
        <v>45351</v>
      </c>
      <c r="P8" s="32">
        <f>TB!V1</f>
        <v>45382</v>
      </c>
      <c r="Q8" s="32">
        <f>TB!W1</f>
        <v>45412</v>
      </c>
      <c r="R8" s="32">
        <f>TB!X1</f>
        <v>45443</v>
      </c>
      <c r="S8" s="32">
        <f>TB!Y1</f>
        <v>45473</v>
      </c>
      <c r="T8" s="32">
        <f>TB!Z1</f>
        <v>45504</v>
      </c>
      <c r="U8" s="32">
        <f>TB!AA1</f>
        <v>45535</v>
      </c>
      <c r="V8" s="32">
        <f>TB!AB1</f>
        <v>45565</v>
      </c>
      <c r="W8" s="32">
        <f>TB!AC1</f>
        <v>45596</v>
      </c>
      <c r="X8" s="32">
        <f>TB!AD1</f>
        <v>45626</v>
      </c>
      <c r="Y8" s="32">
        <f>TB!AE1</f>
        <v>45657</v>
      </c>
      <c r="Z8" s="32">
        <f>TB!AF1</f>
        <v>45688</v>
      </c>
      <c r="AA8" s="32">
        <f>TB!AG1</f>
        <v>45716</v>
      </c>
      <c r="AB8" s="32">
        <f>TB!AH1</f>
        <v>45747</v>
      </c>
      <c r="AC8" s="32">
        <f>TB!AI1</f>
        <v>45777</v>
      </c>
      <c r="AD8" s="32">
        <f>TB!AJ1</f>
        <v>45808</v>
      </c>
      <c r="AE8" s="32">
        <f>TB!AK1</f>
        <v>45838</v>
      </c>
      <c r="AF8" s="32">
        <f>TB!AL1</f>
        <v>45869</v>
      </c>
      <c r="AG8" s="32">
        <f>TB!AM1</f>
        <v>45900</v>
      </c>
      <c r="AH8" s="32">
        <f>TB!AN1</f>
        <v>45930</v>
      </c>
      <c r="AI8" s="32">
        <f>TB!AO1</f>
        <v>45961</v>
      </c>
      <c r="AJ8" s="31"/>
      <c r="AK8" s="32" t="str">
        <f>'PL1'!AK8</f>
        <v>FY24</v>
      </c>
      <c r="AL8" s="32" t="str">
        <f>'PL1'!AL8</f>
        <v>FY25</v>
      </c>
      <c r="AM8" s="32" t="str">
        <f>'PL1'!AM8</f>
        <v>TTM26</v>
      </c>
      <c r="AO8" s="55" t="s">
        <v>124</v>
      </c>
      <c r="AP8" s="54" t="s">
        <v>123</v>
      </c>
      <c r="AQ8" s="54" t="s">
        <v>122</v>
      </c>
      <c r="AR8" s="54" t="s">
        <v>121</v>
      </c>
      <c r="AS8" s="54" t="s">
        <v>120</v>
      </c>
    </row>
    <row r="9" spans="1:50" ht="11.25" customHeight="1" outlineLevel="1" x14ac:dyDescent="0.2">
      <c r="C9" t="s">
        <v>119</v>
      </c>
      <c r="E9" s="29">
        <f>+'PL1'!E30</f>
        <v>-308.89328000000012</v>
      </c>
      <c r="F9" s="29">
        <f>+'PL1'!F30</f>
        <v>-106.98811000000003</v>
      </c>
      <c r="G9" s="29">
        <f>+'PL1'!G30</f>
        <v>163.55675000000005</v>
      </c>
      <c r="H9" s="29">
        <f>+'PL1'!H30</f>
        <v>318.50389999999999</v>
      </c>
      <c r="I9" s="29">
        <f>+'PL1'!I30</f>
        <v>108.45597000000006</v>
      </c>
      <c r="J9" s="29">
        <f>+'PL1'!J30</f>
        <v>-36.325400000000059</v>
      </c>
      <c r="K9" s="29">
        <f>+'PL1'!K30</f>
        <v>107.54746</v>
      </c>
      <c r="L9" s="29">
        <f>+'PL1'!L30</f>
        <v>674.36889000000008</v>
      </c>
      <c r="M9" s="29">
        <f>+'PL1'!M30</f>
        <v>815.7595500000001</v>
      </c>
      <c r="N9" s="29">
        <f>+'PL1'!N30</f>
        <v>-245.69618</v>
      </c>
      <c r="O9" s="29">
        <f>+'PL1'!O30</f>
        <v>-108.92309000000012</v>
      </c>
      <c r="P9" s="29">
        <f>+'PL1'!P30</f>
        <v>186.40355999999974</v>
      </c>
      <c r="Q9" s="29">
        <f>+'PL1'!Q30</f>
        <v>-76.656609999999944</v>
      </c>
      <c r="R9" s="29">
        <f>+'PL1'!R30</f>
        <v>84.330749999999966</v>
      </c>
      <c r="S9" s="29">
        <f>+'PL1'!S30</f>
        <v>-149.02755000000013</v>
      </c>
      <c r="T9" s="29">
        <f>+'PL1'!T30</f>
        <v>-113.91802999999999</v>
      </c>
      <c r="U9" s="29">
        <f>+'PL1'!U30</f>
        <v>15.084540000000061</v>
      </c>
      <c r="V9" s="29">
        <f>+'PL1'!V30</f>
        <v>-171.99901</v>
      </c>
      <c r="W9" s="29">
        <f>+'PL1'!W30</f>
        <v>-168.68214999999998</v>
      </c>
      <c r="X9" s="29">
        <f>+'PL1'!X30</f>
        <v>656.72365999999977</v>
      </c>
      <c r="Y9" s="29">
        <f>+'PL1'!Y30</f>
        <v>497.3287000000002</v>
      </c>
      <c r="Z9" s="29">
        <f>+'PL1'!Z30</f>
        <v>241.65784999999971</v>
      </c>
      <c r="AA9" s="29">
        <f>+'PL1'!AA30</f>
        <v>401.67570000000012</v>
      </c>
      <c r="AB9" s="29">
        <f>+'PL1'!AB30</f>
        <v>-117.78652000000095</v>
      </c>
      <c r="AC9" s="29">
        <f>+'PL1'!AC30</f>
        <v>-133.9857199999999</v>
      </c>
      <c r="AD9" s="29">
        <f>+'PL1'!AD30</f>
        <v>3.8198099999999613</v>
      </c>
      <c r="AE9" s="29">
        <f>+'PL1'!AE30</f>
        <v>166.17516000000012</v>
      </c>
      <c r="AF9" s="29">
        <f>+'PL1'!AF30</f>
        <v>-22.474029999999914</v>
      </c>
      <c r="AG9" s="29">
        <f>+'PL1'!AG30</f>
        <v>-232.79306000000003</v>
      </c>
      <c r="AH9" s="29">
        <f>+'PL1'!AH30</f>
        <v>220.01515000000001</v>
      </c>
      <c r="AI9" s="29">
        <f>+'PL1'!AI30</f>
        <v>-102.31717999999981</v>
      </c>
      <c r="AJ9" s="29"/>
      <c r="AK9" s="29">
        <f>SUM(E9:P9)</f>
        <v>1567.7700199999999</v>
      </c>
      <c r="AL9" s="29">
        <f>SUM(Q9:AB9)</f>
        <v>1098.7313299999987</v>
      </c>
      <c r="AM9" s="29">
        <f>SUM(X9:AI9)</f>
        <v>1578.0395199999994</v>
      </c>
    </row>
    <row r="10" spans="1:50" ht="11.25" customHeight="1" outlineLevel="1" x14ac:dyDescent="0.2">
      <c r="C10" t="s">
        <v>118</v>
      </c>
      <c r="E10" s="2">
        <f>+'PL1'!E33</f>
        <v>0</v>
      </c>
      <c r="F10" s="2">
        <f>+'PL1'!F33</f>
        <v>0</v>
      </c>
      <c r="G10" s="2">
        <f>+'PL1'!G33</f>
        <v>0</v>
      </c>
      <c r="H10" s="2">
        <f>+'PL1'!H33</f>
        <v>0</v>
      </c>
      <c r="I10" s="2">
        <f>+'PL1'!I33</f>
        <v>0</v>
      </c>
      <c r="J10" s="2">
        <f>+'PL1'!J33</f>
        <v>0</v>
      </c>
      <c r="K10" s="2">
        <f>+'PL1'!K33</f>
        <v>0</v>
      </c>
      <c r="L10" s="2">
        <f>+'PL1'!L33</f>
        <v>0</v>
      </c>
      <c r="M10" s="2">
        <f>+'PL1'!M33</f>
        <v>0</v>
      </c>
      <c r="N10" s="2">
        <f>+'PL1'!N33</f>
        <v>0</v>
      </c>
      <c r="O10" s="2">
        <f>+'PL1'!O33</f>
        <v>0</v>
      </c>
      <c r="P10" s="2">
        <f>+'PL1'!P33</f>
        <v>0</v>
      </c>
      <c r="Q10" s="2">
        <f>+'PL1'!Q33</f>
        <v>0</v>
      </c>
      <c r="R10" s="2">
        <f>+'PL1'!R33</f>
        <v>0</v>
      </c>
      <c r="S10" s="2">
        <f>+'PL1'!S33</f>
        <v>0</v>
      </c>
      <c r="T10" s="2">
        <f>+'PL1'!T33</f>
        <v>0</v>
      </c>
      <c r="U10" s="2">
        <f>+'PL1'!U33</f>
        <v>0</v>
      </c>
      <c r="V10" s="2">
        <f>+'PL1'!V33</f>
        <v>0</v>
      </c>
      <c r="W10" s="2">
        <f>+'PL1'!W33</f>
        <v>0</v>
      </c>
      <c r="X10" s="2">
        <f>+'PL1'!X33</f>
        <v>0</v>
      </c>
      <c r="Y10" s="2">
        <f>+'PL1'!Y33</f>
        <v>0</v>
      </c>
      <c r="Z10" s="2">
        <f>+'PL1'!Z33</f>
        <v>0</v>
      </c>
      <c r="AA10" s="2">
        <f>+'PL1'!AA33</f>
        <v>0</v>
      </c>
      <c r="AB10" s="2">
        <f>+'PL1'!AB33</f>
        <v>0</v>
      </c>
      <c r="AC10" s="2">
        <f>+'PL1'!AC33</f>
        <v>0</v>
      </c>
      <c r="AD10" s="2">
        <f>+'PL1'!AD33</f>
        <v>0</v>
      </c>
      <c r="AE10" s="2">
        <f>+'PL1'!AE33</f>
        <v>0</v>
      </c>
      <c r="AF10" s="2">
        <f>+'PL1'!AF33</f>
        <v>0</v>
      </c>
      <c r="AG10" s="2">
        <f>+'PL1'!AG33</f>
        <v>0</v>
      </c>
      <c r="AH10" s="2">
        <f>+'PL1'!AH33</f>
        <v>0</v>
      </c>
      <c r="AI10" s="2">
        <f>+'PL1'!AI33</f>
        <v>0</v>
      </c>
      <c r="AJ10" s="2"/>
      <c r="AK10" s="2">
        <f>SUM(E10:P10)</f>
        <v>0</v>
      </c>
      <c r="AL10" s="2">
        <f>SUM(Q10:AB10)</f>
        <v>0</v>
      </c>
      <c r="AM10" s="2">
        <f>SUM(X10:AI10)</f>
        <v>0</v>
      </c>
    </row>
    <row r="11" spans="1:50" ht="11.25" customHeight="1" outlineLevel="1" x14ac:dyDescent="0.2">
      <c r="C11" t="s">
        <v>16</v>
      </c>
      <c r="E11" s="2">
        <f>+'PL1'!E34</f>
        <v>0</v>
      </c>
      <c r="F11" s="2">
        <f>+'PL1'!F34</f>
        <v>0</v>
      </c>
      <c r="G11" s="2">
        <f>+'PL1'!G34</f>
        <v>0.375</v>
      </c>
      <c r="H11" s="2">
        <f>+'PL1'!H34</f>
        <v>0</v>
      </c>
      <c r="I11" s="2">
        <f>+'PL1'!I34</f>
        <v>0</v>
      </c>
      <c r="J11" s="2">
        <f>+'PL1'!J34</f>
        <v>0.375</v>
      </c>
      <c r="K11" s="2">
        <f>+'PL1'!K34</f>
        <v>0</v>
      </c>
      <c r="L11" s="2">
        <f>+'PL1'!L34</f>
        <v>0</v>
      </c>
      <c r="M11" s="2">
        <f>+'PL1'!M34</f>
        <v>0.375</v>
      </c>
      <c r="N11" s="2">
        <f>+'PL1'!N34</f>
        <v>0</v>
      </c>
      <c r="O11" s="2">
        <f>+'PL1'!O34</f>
        <v>0</v>
      </c>
      <c r="P11" s="2">
        <f>+'PL1'!P34</f>
        <v>0.375</v>
      </c>
      <c r="Q11" s="2">
        <f>+'PL1'!Q34</f>
        <v>0</v>
      </c>
      <c r="R11" s="2">
        <f>+'PL1'!R34</f>
        <v>0</v>
      </c>
      <c r="S11" s="2">
        <f>+'PL1'!S34</f>
        <v>0</v>
      </c>
      <c r="T11" s="2">
        <f>+'PL1'!T34</f>
        <v>0</v>
      </c>
      <c r="U11" s="2">
        <f>+'PL1'!U34</f>
        <v>0</v>
      </c>
      <c r="V11" s="2">
        <f>+'PL1'!V34</f>
        <v>59.13</v>
      </c>
      <c r="W11" s="2">
        <f>+'PL1'!W34</f>
        <v>0</v>
      </c>
      <c r="X11" s="2">
        <f>+'PL1'!X34</f>
        <v>0</v>
      </c>
      <c r="Y11" s="2">
        <f>+'PL1'!Y34</f>
        <v>122.369</v>
      </c>
      <c r="Z11" s="2">
        <f>+'PL1'!Z34</f>
        <v>0</v>
      </c>
      <c r="AA11" s="2">
        <f>+'PL1'!AA34</f>
        <v>0</v>
      </c>
      <c r="AB11" s="2">
        <f>+'PL1'!AB34</f>
        <v>0.56499999999999995</v>
      </c>
      <c r="AC11" s="2">
        <f>+'PL1'!AC34</f>
        <v>29</v>
      </c>
      <c r="AD11" s="2">
        <f>+'PL1'!AD34</f>
        <v>0</v>
      </c>
      <c r="AE11" s="2">
        <f>+'PL1'!AE34</f>
        <v>0</v>
      </c>
      <c r="AF11" s="2">
        <f>+'PL1'!AF34</f>
        <v>0</v>
      </c>
      <c r="AG11" s="2">
        <f>+'PL1'!AG34</f>
        <v>0</v>
      </c>
      <c r="AH11" s="2">
        <f>+'PL1'!AH34</f>
        <v>15.176</v>
      </c>
      <c r="AI11" s="2">
        <f>+'PL1'!AI34</f>
        <v>0</v>
      </c>
      <c r="AJ11" s="2"/>
      <c r="AK11" s="2">
        <f>SUM(E11:P11)</f>
        <v>1.5</v>
      </c>
      <c r="AL11" s="2">
        <f>SUM(Q11:AB11)</f>
        <v>182.06399999999999</v>
      </c>
      <c r="AM11" s="2">
        <f>SUM(X11:AI11)</f>
        <v>167.10999999999999</v>
      </c>
    </row>
    <row r="12" spans="1:50" ht="11.25" customHeight="1" outlineLevel="1" x14ac:dyDescent="0.2">
      <c r="C12" s="17" t="s">
        <v>15</v>
      </c>
      <c r="D12" s="17"/>
      <c r="E12" s="14">
        <f>+'PL1'!E35</f>
        <v>0</v>
      </c>
      <c r="F12" s="14">
        <f>+'PL1'!F35</f>
        <v>0</v>
      </c>
      <c r="G12" s="14">
        <f>+'PL1'!G35</f>
        <v>0</v>
      </c>
      <c r="H12" s="14">
        <f>+'PL1'!H35</f>
        <v>0</v>
      </c>
      <c r="I12" s="14">
        <f>+'PL1'!I35</f>
        <v>0</v>
      </c>
      <c r="J12" s="14">
        <f>+'PL1'!J35</f>
        <v>0</v>
      </c>
      <c r="K12" s="14">
        <f>+'PL1'!K35</f>
        <v>0</v>
      </c>
      <c r="L12" s="14">
        <f>+'PL1'!L35</f>
        <v>0</v>
      </c>
      <c r="M12" s="14">
        <f>+'PL1'!M35</f>
        <v>0</v>
      </c>
      <c r="N12" s="14">
        <f>+'PL1'!N35</f>
        <v>0</v>
      </c>
      <c r="O12" s="14">
        <f>+'PL1'!O35</f>
        <v>0</v>
      </c>
      <c r="P12" s="14">
        <f>+'PL1'!P35</f>
        <v>4.4480000000000004</v>
      </c>
      <c r="Q12" s="14">
        <f>+'PL1'!Q35</f>
        <v>0</v>
      </c>
      <c r="R12" s="14">
        <f>+'PL1'!R35</f>
        <v>0</v>
      </c>
      <c r="S12" s="14">
        <f>+'PL1'!S35</f>
        <v>0</v>
      </c>
      <c r="T12" s="14">
        <f>+'PL1'!T35</f>
        <v>0</v>
      </c>
      <c r="U12" s="14">
        <f>+'PL1'!U35</f>
        <v>0</v>
      </c>
      <c r="V12" s="14">
        <f>+'PL1'!V35</f>
        <v>0</v>
      </c>
      <c r="W12" s="14">
        <f>+'PL1'!W35</f>
        <v>0</v>
      </c>
      <c r="X12" s="14">
        <f>+'PL1'!X35</f>
        <v>0</v>
      </c>
      <c r="Y12" s="14">
        <f>+'PL1'!Y35</f>
        <v>0</v>
      </c>
      <c r="Z12" s="14">
        <f>+'PL1'!Z35</f>
        <v>0</v>
      </c>
      <c r="AA12" s="14">
        <f>+'PL1'!AA35</f>
        <v>0</v>
      </c>
      <c r="AB12" s="14">
        <f>+'PL1'!AB35</f>
        <v>3.516</v>
      </c>
      <c r="AC12" s="14">
        <f>+'PL1'!AC35</f>
        <v>0</v>
      </c>
      <c r="AD12" s="14">
        <f>+'PL1'!AD35</f>
        <v>0</v>
      </c>
      <c r="AE12" s="14">
        <f>+'PL1'!AE35</f>
        <v>0</v>
      </c>
      <c r="AF12" s="14">
        <f>+'PL1'!AF35</f>
        <v>0</v>
      </c>
      <c r="AG12" s="14">
        <f>+'PL1'!AG35</f>
        <v>0</v>
      </c>
      <c r="AH12" s="14">
        <f>+'PL1'!AH35</f>
        <v>0</v>
      </c>
      <c r="AI12" s="14">
        <f>+'PL1'!AI35</f>
        <v>0</v>
      </c>
      <c r="AJ12" s="14"/>
      <c r="AK12" s="14">
        <f>SUM(E12:P12)</f>
        <v>4.4480000000000004</v>
      </c>
      <c r="AL12" s="14">
        <f>SUM(Q12:AB12)</f>
        <v>3.516</v>
      </c>
      <c r="AM12" s="14">
        <f>SUM(X12:AI12)</f>
        <v>3.516</v>
      </c>
    </row>
    <row r="13" spans="1:50" ht="11.25" customHeight="1" x14ac:dyDescent="0.2">
      <c r="C13" t="s">
        <v>117</v>
      </c>
      <c r="E13" s="29">
        <f>SUM(E9:E12)</f>
        <v>-308.89328000000012</v>
      </c>
      <c r="F13" s="29">
        <f>SUM(F9:F12)</f>
        <v>-106.98811000000003</v>
      </c>
      <c r="G13" s="29">
        <f>SUM(G9:G12)</f>
        <v>163.93175000000005</v>
      </c>
      <c r="H13" s="29">
        <f>SUM(H9:H12)</f>
        <v>318.50389999999999</v>
      </c>
      <c r="I13" s="29">
        <f>SUM(I9:I12)</f>
        <v>108.45597000000006</v>
      </c>
      <c r="J13" s="29">
        <f>SUM(J9:J12)</f>
        <v>-35.950400000000059</v>
      </c>
      <c r="K13" s="29">
        <f>SUM(K9:K12)</f>
        <v>107.54746</v>
      </c>
      <c r="L13" s="29">
        <f>SUM(L9:L12)</f>
        <v>674.36889000000008</v>
      </c>
      <c r="M13" s="29">
        <f>SUM(M9:M12)</f>
        <v>816.1345500000001</v>
      </c>
      <c r="N13" s="29">
        <f>SUM(N9:N12)</f>
        <v>-245.69618</v>
      </c>
      <c r="O13" s="29">
        <f>SUM(O9:O12)</f>
        <v>-108.92309000000012</v>
      </c>
      <c r="P13" s="29">
        <f>SUM(P9:P12)</f>
        <v>191.22655999999975</v>
      </c>
      <c r="Q13" s="29">
        <f>SUM(Q9:Q12)</f>
        <v>-76.656609999999944</v>
      </c>
      <c r="R13" s="29">
        <f>SUM(R9:R12)</f>
        <v>84.330749999999966</v>
      </c>
      <c r="S13" s="29">
        <f>SUM(S9:S12)</f>
        <v>-149.02755000000013</v>
      </c>
      <c r="T13" s="29">
        <f>SUM(T9:T12)</f>
        <v>-113.91802999999999</v>
      </c>
      <c r="U13" s="29">
        <f>SUM(U9:U12)</f>
        <v>15.084540000000061</v>
      </c>
      <c r="V13" s="29">
        <f>SUM(V9:V12)</f>
        <v>-112.86901</v>
      </c>
      <c r="W13" s="29">
        <f>SUM(W9:W12)</f>
        <v>-168.68214999999998</v>
      </c>
      <c r="X13" s="29">
        <f>SUM(X9:X12)</f>
        <v>656.72365999999977</v>
      </c>
      <c r="Y13" s="29">
        <f>SUM(Y9:Y12)</f>
        <v>619.69770000000017</v>
      </c>
      <c r="Z13" s="29">
        <f>SUM(Z9:Z12)</f>
        <v>241.65784999999971</v>
      </c>
      <c r="AA13" s="29">
        <f>SUM(AA9:AA12)</f>
        <v>401.67570000000012</v>
      </c>
      <c r="AB13" s="29">
        <f>SUM(AB9:AB12)</f>
        <v>-113.70552000000094</v>
      </c>
      <c r="AC13" s="29">
        <f>SUM(AC9:AC12)</f>
        <v>-104.9857199999999</v>
      </c>
      <c r="AD13" s="29">
        <f>SUM(AD9:AD12)</f>
        <v>3.8198099999999613</v>
      </c>
      <c r="AE13" s="29">
        <f>SUM(AE9:AE12)</f>
        <v>166.17516000000012</v>
      </c>
      <c r="AF13" s="29">
        <f>SUM(AF9:AF12)</f>
        <v>-22.474029999999914</v>
      </c>
      <c r="AG13" s="29">
        <f>SUM(AG9:AG12)</f>
        <v>-232.79306000000003</v>
      </c>
      <c r="AH13" s="29">
        <f>SUM(AH9:AH12)</f>
        <v>235.19114999999999</v>
      </c>
      <c r="AI13" s="29">
        <f>SUM(AI9:AI12)</f>
        <v>-102.31717999999981</v>
      </c>
      <c r="AJ13" s="29"/>
      <c r="AK13" s="29">
        <f>SUM(AK9:AK12)</f>
        <v>1573.71802</v>
      </c>
      <c r="AL13" s="29">
        <f>SUM(AL9:AL12)</f>
        <v>1284.3113299999989</v>
      </c>
      <c r="AM13" s="29">
        <f>SUM(AM9:AM12)</f>
        <v>1748.6655199999993</v>
      </c>
    </row>
    <row r="14" spans="1:50" ht="6" customHeight="1" x14ac:dyDescent="0.2"/>
    <row r="15" spans="1:50" ht="11.25" customHeight="1" x14ac:dyDescent="0.2">
      <c r="C15" s="7" t="s">
        <v>116</v>
      </c>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row>
    <row r="16" spans="1:50" ht="11.25" customHeight="1" x14ac:dyDescent="0.25">
      <c r="C16" t="s">
        <v>101</v>
      </c>
      <c r="D16" s="52" t="s">
        <v>112</v>
      </c>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f>SUM(E16:P16)</f>
        <v>0</v>
      </c>
      <c r="AL16" s="2">
        <f>SUM(Q16:AB16)</f>
        <v>0</v>
      </c>
      <c r="AM16" s="2">
        <f>SUM(X16:AI16)</f>
        <v>0</v>
      </c>
      <c r="AO16" s="4" t="s">
        <v>100</v>
      </c>
    </row>
    <row r="17" spans="3:41" ht="11.25" customHeight="1" x14ac:dyDescent="0.25">
      <c r="C17" t="s">
        <v>101</v>
      </c>
      <c r="D17" s="52" t="s">
        <v>111</v>
      </c>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f>SUM(E17:P17)</f>
        <v>0</v>
      </c>
      <c r="AL17" s="2">
        <f>SUM(Q17:AB17)</f>
        <v>0</v>
      </c>
      <c r="AM17" s="2">
        <f>SUM(X17:AI17)</f>
        <v>0</v>
      </c>
      <c r="AO17" s="4" t="s">
        <v>100</v>
      </c>
    </row>
    <row r="18" spans="3:41" ht="11.25" customHeight="1" x14ac:dyDescent="0.25">
      <c r="C18" t="s">
        <v>101</v>
      </c>
      <c r="D18" s="52" t="s">
        <v>110</v>
      </c>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f>SUM(E18:P18)</f>
        <v>0</v>
      </c>
      <c r="AL18" s="2">
        <f>SUM(Q18:AB18)</f>
        <v>0</v>
      </c>
      <c r="AM18" s="2">
        <f>SUM(X18:AI18)</f>
        <v>0</v>
      </c>
      <c r="AO18" s="4" t="s">
        <v>100</v>
      </c>
    </row>
    <row r="19" spans="3:41" ht="11.25" customHeight="1" x14ac:dyDescent="0.25">
      <c r="C19" t="s">
        <v>101</v>
      </c>
      <c r="D19" s="52" t="s">
        <v>109</v>
      </c>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f>SUM(E19:P19)</f>
        <v>0</v>
      </c>
      <c r="AL19" s="2">
        <f>SUM(Q19:AB19)</f>
        <v>0</v>
      </c>
      <c r="AM19" s="2">
        <f>SUM(X19:AI19)</f>
        <v>0</v>
      </c>
      <c r="AO19" s="4" t="s">
        <v>100</v>
      </c>
    </row>
    <row r="20" spans="3:41" ht="11.25" customHeight="1" x14ac:dyDescent="0.25">
      <c r="C20" t="s">
        <v>101</v>
      </c>
      <c r="D20" s="52" t="s">
        <v>108</v>
      </c>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f>SUM(E20:P20)</f>
        <v>0</v>
      </c>
      <c r="AL20" s="2">
        <f>SUM(Q20:AB20)</f>
        <v>0</v>
      </c>
      <c r="AM20" s="2">
        <f>SUM(X20:AI20)</f>
        <v>0</v>
      </c>
      <c r="AO20" s="4" t="s">
        <v>100</v>
      </c>
    </row>
    <row r="21" spans="3:41" ht="11.25" customHeight="1" x14ac:dyDescent="0.2">
      <c r="C21" s="50" t="s">
        <v>115</v>
      </c>
      <c r="D21" s="28"/>
      <c r="E21" s="25">
        <f>SUM(E16:E20)</f>
        <v>0</v>
      </c>
      <c r="F21" s="25">
        <f>SUM(F16:F20)</f>
        <v>0</v>
      </c>
      <c r="G21" s="25">
        <f>SUM(G16:G20)</f>
        <v>0</v>
      </c>
      <c r="H21" s="25">
        <f>SUM(H16:H20)</f>
        <v>0</v>
      </c>
      <c r="I21" s="25">
        <f>SUM(I16:I20)</f>
        <v>0</v>
      </c>
      <c r="J21" s="25">
        <f>SUM(J16:J20)</f>
        <v>0</v>
      </c>
      <c r="K21" s="25">
        <f>SUM(K16:K20)</f>
        <v>0</v>
      </c>
      <c r="L21" s="25">
        <f>SUM(L16:L20)</f>
        <v>0</v>
      </c>
      <c r="M21" s="25">
        <f>SUM(M16:M20)</f>
        <v>0</v>
      </c>
      <c r="N21" s="25">
        <f>SUM(N16:N20)</f>
        <v>0</v>
      </c>
      <c r="O21" s="25">
        <f>SUM(O16:O20)</f>
        <v>0</v>
      </c>
      <c r="P21" s="25">
        <f>SUM(P16:P20)</f>
        <v>0</v>
      </c>
      <c r="Q21" s="25">
        <f>SUM(Q16:Q20)</f>
        <v>0</v>
      </c>
      <c r="R21" s="25">
        <f>SUM(R16:R20)</f>
        <v>0</v>
      </c>
      <c r="S21" s="25">
        <f>SUM(S16:S20)</f>
        <v>0</v>
      </c>
      <c r="T21" s="25">
        <f>SUM(T16:T20)</f>
        <v>0</v>
      </c>
      <c r="U21" s="25">
        <f>SUM(U16:U20)</f>
        <v>0</v>
      </c>
      <c r="V21" s="25">
        <f>SUM(V16:V20)</f>
        <v>0</v>
      </c>
      <c r="W21" s="25">
        <f>SUM(W16:W20)</f>
        <v>0</v>
      </c>
      <c r="X21" s="25">
        <f>SUM(X16:X20)</f>
        <v>0</v>
      </c>
      <c r="Y21" s="25">
        <f>SUM(Y16:Y20)</f>
        <v>0</v>
      </c>
      <c r="Z21" s="25">
        <f>SUM(Z16:Z20)</f>
        <v>0</v>
      </c>
      <c r="AA21" s="25">
        <f>SUM(AA16:AA20)</f>
        <v>0</v>
      </c>
      <c r="AB21" s="25">
        <f>SUM(AB16:AB20)</f>
        <v>0</v>
      </c>
      <c r="AC21" s="25">
        <f>SUM(AC16:AC20)</f>
        <v>0</v>
      </c>
      <c r="AD21" s="25">
        <f>SUM(AD16:AD20)</f>
        <v>0</v>
      </c>
      <c r="AE21" s="25">
        <f>SUM(AE16:AE20)</f>
        <v>0</v>
      </c>
      <c r="AF21" s="25">
        <f>SUM(AF16:AF20)</f>
        <v>0</v>
      </c>
      <c r="AG21" s="25">
        <f>SUM(AG16:AG20)</f>
        <v>0</v>
      </c>
      <c r="AH21" s="25">
        <f>SUM(AH16:AH20)</f>
        <v>0</v>
      </c>
      <c r="AI21" s="25">
        <f>SUM(AI16:AI20)</f>
        <v>0</v>
      </c>
      <c r="AJ21" s="25"/>
      <c r="AK21" s="25">
        <f>SUM(AK16:AK20)</f>
        <v>0</v>
      </c>
      <c r="AL21" s="25">
        <f>SUM(AL16:AL20)</f>
        <v>0</v>
      </c>
      <c r="AM21" s="25">
        <f>SUM(AM16:AM20)</f>
        <v>0</v>
      </c>
    </row>
    <row r="22" spans="3:41" ht="11.25" customHeight="1" x14ac:dyDescent="0.25">
      <c r="C22" s="43" t="s">
        <v>114</v>
      </c>
      <c r="D22" s="53"/>
      <c r="E22" s="42">
        <f>E13+E21</f>
        <v>-308.89328000000012</v>
      </c>
      <c r="F22" s="42">
        <f>F13+F21</f>
        <v>-106.98811000000003</v>
      </c>
      <c r="G22" s="42">
        <f>G13+G21</f>
        <v>163.93175000000005</v>
      </c>
      <c r="H22" s="42">
        <f>H13+H21</f>
        <v>318.50389999999999</v>
      </c>
      <c r="I22" s="42">
        <f>I13+I21</f>
        <v>108.45597000000006</v>
      </c>
      <c r="J22" s="42">
        <f>J13+J21</f>
        <v>-35.950400000000059</v>
      </c>
      <c r="K22" s="42">
        <f>K13+K21</f>
        <v>107.54746</v>
      </c>
      <c r="L22" s="42">
        <f>L13+L21</f>
        <v>674.36889000000008</v>
      </c>
      <c r="M22" s="42">
        <f>M13+M21</f>
        <v>816.1345500000001</v>
      </c>
      <c r="N22" s="42">
        <f>N13+N21</f>
        <v>-245.69618</v>
      </c>
      <c r="O22" s="42">
        <f>O13+O21</f>
        <v>-108.92309000000012</v>
      </c>
      <c r="P22" s="42">
        <f>P13+P21</f>
        <v>191.22655999999975</v>
      </c>
      <c r="Q22" s="42">
        <f>Q13+Q21</f>
        <v>-76.656609999999944</v>
      </c>
      <c r="R22" s="42">
        <f>R13+R21</f>
        <v>84.330749999999966</v>
      </c>
      <c r="S22" s="42">
        <f>S13+S21</f>
        <v>-149.02755000000013</v>
      </c>
      <c r="T22" s="42">
        <f>T13+T21</f>
        <v>-113.91802999999999</v>
      </c>
      <c r="U22" s="42">
        <f>U13+U21</f>
        <v>15.084540000000061</v>
      </c>
      <c r="V22" s="42">
        <f>V13+V21</f>
        <v>-112.86901</v>
      </c>
      <c r="W22" s="42">
        <f>W13+W21</f>
        <v>-168.68214999999998</v>
      </c>
      <c r="X22" s="42">
        <f>X13+X21</f>
        <v>656.72365999999977</v>
      </c>
      <c r="Y22" s="42">
        <f>Y13+Y21</f>
        <v>619.69770000000017</v>
      </c>
      <c r="Z22" s="42">
        <f>Z13+Z21</f>
        <v>241.65784999999971</v>
      </c>
      <c r="AA22" s="42">
        <f>AA13+AA21</f>
        <v>401.67570000000012</v>
      </c>
      <c r="AB22" s="42">
        <f>AB13+AB21</f>
        <v>-113.70552000000094</v>
      </c>
      <c r="AC22" s="42">
        <f>AC13+AC21</f>
        <v>-104.9857199999999</v>
      </c>
      <c r="AD22" s="42">
        <f>AD13+AD21</f>
        <v>3.8198099999999613</v>
      </c>
      <c r="AE22" s="42">
        <f>AE13+AE21</f>
        <v>166.17516000000012</v>
      </c>
      <c r="AF22" s="42">
        <f>AF13+AF21</f>
        <v>-22.474029999999914</v>
      </c>
      <c r="AG22" s="42">
        <f>AG13+AG21</f>
        <v>-232.79306000000003</v>
      </c>
      <c r="AH22" s="42">
        <f>AH13+AH21</f>
        <v>235.19114999999999</v>
      </c>
      <c r="AI22" s="42">
        <f>AI13+AI21</f>
        <v>-102.31717999999981</v>
      </c>
      <c r="AJ22" s="42"/>
      <c r="AK22" s="42">
        <f>AK13+AK21</f>
        <v>1573.71802</v>
      </c>
      <c r="AL22" s="42">
        <f>AL13+AL21</f>
        <v>1284.3113299999989</v>
      </c>
      <c r="AM22" s="42">
        <f>AM13+AM21</f>
        <v>1748.6655199999993</v>
      </c>
    </row>
    <row r="23" spans="3:41" ht="6" customHeight="1" x14ac:dyDescent="0.2"/>
    <row r="24" spans="3:41" ht="11.25" customHeight="1" x14ac:dyDescent="0.2">
      <c r="C24" s="7" t="s">
        <v>113</v>
      </c>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row>
    <row r="25" spans="3:41" ht="11.25" customHeight="1" x14ac:dyDescent="0.25">
      <c r="C25" t="s">
        <v>101</v>
      </c>
      <c r="D25" s="52" t="s">
        <v>112</v>
      </c>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f>SUM(E25:P25)</f>
        <v>0</v>
      </c>
      <c r="AL25" s="2">
        <f>SUM(Q25:AB25)</f>
        <v>0</v>
      </c>
      <c r="AM25" s="2">
        <f>SUM(X25:AI25)</f>
        <v>0</v>
      </c>
      <c r="AO25" s="4" t="s">
        <v>100</v>
      </c>
    </row>
    <row r="26" spans="3:41" ht="11.25" customHeight="1" x14ac:dyDescent="0.25">
      <c r="C26" t="s">
        <v>101</v>
      </c>
      <c r="D26" s="52" t="s">
        <v>111</v>
      </c>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f>SUM(E26:P26)</f>
        <v>0</v>
      </c>
      <c r="AL26" s="2">
        <f>SUM(Q26:AB26)</f>
        <v>0</v>
      </c>
      <c r="AM26" s="2">
        <f>SUM(X26:AI26)</f>
        <v>0</v>
      </c>
      <c r="AO26" s="4" t="s">
        <v>100</v>
      </c>
    </row>
    <row r="27" spans="3:41" ht="11.25" customHeight="1" x14ac:dyDescent="0.25">
      <c r="C27" t="s">
        <v>101</v>
      </c>
      <c r="D27" s="52" t="s">
        <v>110</v>
      </c>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f>SUM(E27:P27)</f>
        <v>0</v>
      </c>
      <c r="AL27" s="2">
        <f>SUM(Q27:AB27)</f>
        <v>0</v>
      </c>
      <c r="AM27" s="2">
        <f>SUM(X27:AI27)</f>
        <v>0</v>
      </c>
      <c r="AO27" s="4" t="s">
        <v>100</v>
      </c>
    </row>
    <row r="28" spans="3:41" ht="11.25" customHeight="1" x14ac:dyDescent="0.25">
      <c r="C28" t="s">
        <v>101</v>
      </c>
      <c r="D28" s="52" t="s">
        <v>109</v>
      </c>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f>SUM(E28:P28)</f>
        <v>0</v>
      </c>
      <c r="AL28" s="2">
        <f>SUM(Q28:AB28)</f>
        <v>0</v>
      </c>
      <c r="AM28" s="2">
        <f>SUM(X28:AI28)</f>
        <v>0</v>
      </c>
      <c r="AO28" s="4" t="s">
        <v>100</v>
      </c>
    </row>
    <row r="29" spans="3:41" ht="11.25" customHeight="1" x14ac:dyDescent="0.25">
      <c r="C29" t="s">
        <v>101</v>
      </c>
      <c r="D29" s="52" t="s">
        <v>108</v>
      </c>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f>SUM(E29:P29)</f>
        <v>0</v>
      </c>
      <c r="AL29" s="2">
        <f>SUM(Q29:AB29)</f>
        <v>0</v>
      </c>
      <c r="AM29" s="2">
        <f>SUM(X29:AI29)</f>
        <v>0</v>
      </c>
      <c r="AO29" s="4" t="s">
        <v>100</v>
      </c>
    </row>
    <row r="30" spans="3:41" ht="6" customHeight="1" x14ac:dyDescent="0.2"/>
    <row r="31" spans="3:41" ht="11.25" customHeight="1" x14ac:dyDescent="0.2">
      <c r="C31" s="7" t="s">
        <v>107</v>
      </c>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row>
    <row r="32" spans="3:41" ht="11.25" customHeight="1" x14ac:dyDescent="0.2">
      <c r="C32" t="s">
        <v>101</v>
      </c>
      <c r="D32" s="4"/>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f>SUM(E32:P32)</f>
        <v>0</v>
      </c>
      <c r="AL32" s="2">
        <f>SUM(Q32:AB32)</f>
        <v>0</v>
      </c>
      <c r="AM32" s="2">
        <f>SUM(X32:AI32)</f>
        <v>0</v>
      </c>
      <c r="AO32" s="4" t="s">
        <v>100</v>
      </c>
    </row>
    <row r="33" spans="3:41" ht="11.25" customHeight="1" x14ac:dyDescent="0.2">
      <c r="C33" t="s">
        <v>101</v>
      </c>
      <c r="D33" s="4"/>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f>SUM(E33:P33)</f>
        <v>0</v>
      </c>
      <c r="AL33" s="2">
        <f>SUM(Q33:AB33)</f>
        <v>0</v>
      </c>
      <c r="AM33" s="2">
        <f>SUM(X33:AI33)</f>
        <v>0</v>
      </c>
      <c r="AO33" s="4" t="s">
        <v>100</v>
      </c>
    </row>
    <row r="34" spans="3:41" ht="11.25" customHeight="1" x14ac:dyDescent="0.2">
      <c r="C34" t="s">
        <v>101</v>
      </c>
      <c r="D34" s="4"/>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f>SUM(E34:P34)</f>
        <v>0</v>
      </c>
      <c r="AL34" s="2">
        <f>SUM(Q34:AB34)</f>
        <v>0</v>
      </c>
      <c r="AM34" s="2">
        <f>SUM(X34:AI34)</f>
        <v>0</v>
      </c>
      <c r="AO34" s="4" t="s">
        <v>100</v>
      </c>
    </row>
    <row r="35" spans="3:41" ht="11.25" customHeight="1" x14ac:dyDescent="0.2">
      <c r="C35" t="s">
        <v>101</v>
      </c>
      <c r="D35" s="4"/>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f>SUM(E35:P35)</f>
        <v>0</v>
      </c>
      <c r="AL35" s="2">
        <f>SUM(Q35:AB35)</f>
        <v>0</v>
      </c>
      <c r="AM35" s="2">
        <f>SUM(X35:AI35)</f>
        <v>0</v>
      </c>
      <c r="AO35" s="4" t="s">
        <v>100</v>
      </c>
    </row>
    <row r="36" spans="3:41" ht="11.25" customHeight="1" x14ac:dyDescent="0.2">
      <c r="C36" t="s">
        <v>101</v>
      </c>
      <c r="D36" s="4"/>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f>SUM(E36:P36)</f>
        <v>0</v>
      </c>
      <c r="AL36" s="2">
        <f>SUM(Q36:AB36)</f>
        <v>0</v>
      </c>
      <c r="AM36" s="2">
        <f>SUM(X36:AI36)</f>
        <v>0</v>
      </c>
      <c r="AO36" s="4" t="s">
        <v>100</v>
      </c>
    </row>
    <row r="37" spans="3:41" ht="11.25" customHeight="1" x14ac:dyDescent="0.2">
      <c r="C37" t="s">
        <v>101</v>
      </c>
      <c r="D37" s="4"/>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f>SUM(E37:P37)</f>
        <v>0</v>
      </c>
      <c r="AL37" s="2">
        <f>SUM(Q37:AB37)</f>
        <v>0</v>
      </c>
      <c r="AM37" s="2">
        <f>SUM(X37:AI37)</f>
        <v>0</v>
      </c>
      <c r="AO37" s="4" t="s">
        <v>100</v>
      </c>
    </row>
    <row r="38" spans="3:41" ht="11.25" customHeight="1" x14ac:dyDescent="0.2">
      <c r="C38" t="s">
        <v>101</v>
      </c>
      <c r="D38" s="4"/>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f>SUM(E38:P38)</f>
        <v>0</v>
      </c>
      <c r="AL38" s="2">
        <f>SUM(Q38:AB38)</f>
        <v>0</v>
      </c>
      <c r="AM38" s="2">
        <f>SUM(X38:AI38)</f>
        <v>0</v>
      </c>
      <c r="AO38" s="4" t="s">
        <v>100</v>
      </c>
    </row>
    <row r="39" spans="3:41" ht="11.25" customHeight="1" x14ac:dyDescent="0.2">
      <c r="C39" t="s">
        <v>101</v>
      </c>
      <c r="D39" s="4"/>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f>SUM(E39:P39)</f>
        <v>0</v>
      </c>
      <c r="AL39" s="2">
        <f>SUM(Q39:AB39)</f>
        <v>0</v>
      </c>
      <c r="AM39" s="2">
        <f>SUM(X39:AI39)</f>
        <v>0</v>
      </c>
      <c r="AO39" s="4" t="s">
        <v>100</v>
      </c>
    </row>
    <row r="40" spans="3:41" ht="11.25" customHeight="1" x14ac:dyDescent="0.2">
      <c r="C40" t="s">
        <v>101</v>
      </c>
      <c r="D40" s="4"/>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f>SUM(E40:P40)</f>
        <v>0</v>
      </c>
      <c r="AL40" s="2">
        <f>SUM(Q40:AB40)</f>
        <v>0</v>
      </c>
      <c r="AM40" s="2">
        <f>SUM(X40:AI40)</f>
        <v>0</v>
      </c>
      <c r="AO40" s="4" t="s">
        <v>100</v>
      </c>
    </row>
    <row r="41" spans="3:41" ht="11.25" customHeight="1" x14ac:dyDescent="0.2">
      <c r="C41" s="50" t="s">
        <v>106</v>
      </c>
      <c r="D41" s="28"/>
      <c r="E41" s="25">
        <f>SUM(E25:E40)</f>
        <v>0</v>
      </c>
      <c r="F41" s="25">
        <f>SUM(F25:F40)</f>
        <v>0</v>
      </c>
      <c r="G41" s="25">
        <f>SUM(G25:G40)</f>
        <v>0</v>
      </c>
      <c r="H41" s="25">
        <f>SUM(H25:H40)</f>
        <v>0</v>
      </c>
      <c r="I41" s="25">
        <f>SUM(I25:I40)</f>
        <v>0</v>
      </c>
      <c r="J41" s="25">
        <f>SUM(J25:J40)</f>
        <v>0</v>
      </c>
      <c r="K41" s="25">
        <f>SUM(K25:K40)</f>
        <v>0</v>
      </c>
      <c r="L41" s="25">
        <f>SUM(L25:L40)</f>
        <v>0</v>
      </c>
      <c r="M41" s="25">
        <f>SUM(M25:M40)</f>
        <v>0</v>
      </c>
      <c r="N41" s="25">
        <f>SUM(N25:N40)</f>
        <v>0</v>
      </c>
      <c r="O41" s="25">
        <f>SUM(O25:O40)</f>
        <v>0</v>
      </c>
      <c r="P41" s="25">
        <f>SUM(P25:P40)</f>
        <v>0</v>
      </c>
      <c r="Q41" s="25">
        <f>SUM(Q25:Q40)</f>
        <v>0</v>
      </c>
      <c r="R41" s="25">
        <f>SUM(R25:R40)</f>
        <v>0</v>
      </c>
      <c r="S41" s="25">
        <f>SUM(S25:S40)</f>
        <v>0</v>
      </c>
      <c r="T41" s="25">
        <f>SUM(T25:T40)</f>
        <v>0</v>
      </c>
      <c r="U41" s="25">
        <f>SUM(U25:U40)</f>
        <v>0</v>
      </c>
      <c r="V41" s="25">
        <f>SUM(V25:V40)</f>
        <v>0</v>
      </c>
      <c r="W41" s="25">
        <f>SUM(W25:W40)</f>
        <v>0</v>
      </c>
      <c r="X41" s="25">
        <f>SUM(X25:X40)</f>
        <v>0</v>
      </c>
      <c r="Y41" s="25">
        <f>SUM(Y25:Y40)</f>
        <v>0</v>
      </c>
      <c r="Z41" s="25">
        <f>SUM(Z25:Z40)</f>
        <v>0</v>
      </c>
      <c r="AA41" s="25">
        <f>SUM(AA25:AA40)</f>
        <v>0</v>
      </c>
      <c r="AB41" s="25">
        <f>SUM(AB25:AB40)</f>
        <v>0</v>
      </c>
      <c r="AC41" s="25">
        <f>SUM(AC25:AC40)</f>
        <v>0</v>
      </c>
      <c r="AD41" s="25">
        <f>SUM(AD25:AD40)</f>
        <v>0</v>
      </c>
      <c r="AE41" s="25">
        <f>SUM(AE25:AE40)</f>
        <v>0</v>
      </c>
      <c r="AF41" s="25">
        <f>SUM(AF25:AF40)</f>
        <v>0</v>
      </c>
      <c r="AG41" s="25">
        <f>SUM(AG25:AG40)</f>
        <v>0</v>
      </c>
      <c r="AH41" s="25">
        <f>SUM(AH25:AH40)</f>
        <v>0</v>
      </c>
      <c r="AI41" s="25">
        <f>SUM(AI25:AI40)</f>
        <v>0</v>
      </c>
      <c r="AJ41" s="25"/>
      <c r="AK41" s="25">
        <f>SUM(AK25:AK40)</f>
        <v>0</v>
      </c>
      <c r="AL41" s="25">
        <f>SUM(AL25:AL40)</f>
        <v>0</v>
      </c>
      <c r="AM41" s="25">
        <f>SUM(AM25:AM40)</f>
        <v>0</v>
      </c>
    </row>
    <row r="42" spans="3:41" ht="12" customHeight="1" thickBot="1" x14ac:dyDescent="0.3">
      <c r="C42" s="40" t="s">
        <v>105</v>
      </c>
      <c r="D42" s="49"/>
      <c r="E42" s="51">
        <f>E22+E41</f>
        <v>-308.89328000000012</v>
      </c>
      <c r="F42" s="51">
        <f>F22+F41</f>
        <v>-106.98811000000003</v>
      </c>
      <c r="G42" s="51">
        <f>G22+G41</f>
        <v>163.93175000000005</v>
      </c>
      <c r="H42" s="51">
        <f>H22+H41</f>
        <v>318.50389999999999</v>
      </c>
      <c r="I42" s="51">
        <f>I22+I41</f>
        <v>108.45597000000006</v>
      </c>
      <c r="J42" s="51">
        <f>J22+J41</f>
        <v>-35.950400000000059</v>
      </c>
      <c r="K42" s="51">
        <f>K22+K41</f>
        <v>107.54746</v>
      </c>
      <c r="L42" s="51">
        <f>L22+L41</f>
        <v>674.36889000000008</v>
      </c>
      <c r="M42" s="51">
        <f>M22+M41</f>
        <v>816.1345500000001</v>
      </c>
      <c r="N42" s="51">
        <f>N22+N41</f>
        <v>-245.69618</v>
      </c>
      <c r="O42" s="51">
        <f>O22+O41</f>
        <v>-108.92309000000012</v>
      </c>
      <c r="P42" s="51">
        <f>P22+P41</f>
        <v>191.22655999999975</v>
      </c>
      <c r="Q42" s="51">
        <f>Q22+Q41</f>
        <v>-76.656609999999944</v>
      </c>
      <c r="R42" s="51">
        <f>R22+R41</f>
        <v>84.330749999999966</v>
      </c>
      <c r="S42" s="51">
        <f>S22+S41</f>
        <v>-149.02755000000013</v>
      </c>
      <c r="T42" s="51">
        <f>T22+T41</f>
        <v>-113.91802999999999</v>
      </c>
      <c r="U42" s="51">
        <f>U22+U41</f>
        <v>15.084540000000061</v>
      </c>
      <c r="V42" s="51">
        <f>V22+V41</f>
        <v>-112.86901</v>
      </c>
      <c r="W42" s="51">
        <f>W22+W41</f>
        <v>-168.68214999999998</v>
      </c>
      <c r="X42" s="51">
        <f>X22+X41</f>
        <v>656.72365999999977</v>
      </c>
      <c r="Y42" s="51">
        <f>Y22+Y41</f>
        <v>619.69770000000017</v>
      </c>
      <c r="Z42" s="51">
        <f>Z22+Z41</f>
        <v>241.65784999999971</v>
      </c>
      <c r="AA42" s="51">
        <f>AA22+AA41</f>
        <v>401.67570000000012</v>
      </c>
      <c r="AB42" s="51">
        <f>AB22+AB41</f>
        <v>-113.70552000000094</v>
      </c>
      <c r="AC42" s="51">
        <f>AC22+AC41</f>
        <v>-104.9857199999999</v>
      </c>
      <c r="AD42" s="51">
        <f>AD22+AD41</f>
        <v>3.8198099999999613</v>
      </c>
      <c r="AE42" s="51">
        <f>AE22+AE41</f>
        <v>166.17516000000012</v>
      </c>
      <c r="AF42" s="51">
        <f>AF22+AF41</f>
        <v>-22.474029999999914</v>
      </c>
      <c r="AG42" s="51">
        <f>AG22+AG41</f>
        <v>-232.79306000000003</v>
      </c>
      <c r="AH42" s="51">
        <f>AH22+AH41</f>
        <v>235.19114999999999</v>
      </c>
      <c r="AI42" s="51">
        <f>AI22+AI41</f>
        <v>-102.31717999999981</v>
      </c>
      <c r="AJ42" s="51"/>
      <c r="AK42" s="51">
        <f>AK22+AK41</f>
        <v>1573.71802</v>
      </c>
      <c r="AL42" s="51">
        <f>AL22+AL41</f>
        <v>1284.3113299999989</v>
      </c>
      <c r="AM42" s="51">
        <f>AM22+AM41</f>
        <v>1748.6655199999993</v>
      </c>
    </row>
    <row r="43" spans="3:41" ht="11.25" customHeight="1" outlineLevel="1" x14ac:dyDescent="0.2">
      <c r="C43" s="48" t="s">
        <v>104</v>
      </c>
      <c r="E43" s="5">
        <f>+IFERROR(E13/'PL1'!E10%,0)</f>
        <v>-159.94308408456618</v>
      </c>
      <c r="F43" s="5">
        <f>+IFERROR(F13/'PL1'!F10%,0)</f>
        <v>-24.913198127343886</v>
      </c>
      <c r="G43" s="5">
        <f>+IFERROR(G13/'PL1'!G10%,0)</f>
        <v>22.40070919563005</v>
      </c>
      <c r="H43" s="5">
        <f>+IFERROR(H13/'PL1'!H10%,0)</f>
        <v>74.009573491652233</v>
      </c>
      <c r="I43" s="5">
        <f>+IFERROR(I13/'PL1'!I10%,0)</f>
        <v>17.396683503654799</v>
      </c>
      <c r="J43" s="5">
        <f>+IFERROR(J13/'PL1'!J10%,0)</f>
        <v>-7.4767225906815602</v>
      </c>
      <c r="K43" s="5">
        <f>+IFERROR(K13/'PL1'!K10%,0)</f>
        <v>15.621272157892598</v>
      </c>
      <c r="L43" s="5">
        <f>+IFERROR(L13/'PL1'!L10%,0)</f>
        <v>53.208865081610028</v>
      </c>
      <c r="M43" s="5">
        <f>+IFERROR(M13/'PL1'!M10%,0)</f>
        <v>63.951567025237892</v>
      </c>
      <c r="N43" s="5">
        <f>+IFERROR(N13/'PL1'!N10%,0)</f>
        <v>-102.93030416650085</v>
      </c>
      <c r="O43" s="5">
        <f>+IFERROR(O13/'PL1'!O10%,0)</f>
        <v>-19.772091899499216</v>
      </c>
      <c r="P43" s="5">
        <f>+IFERROR(P13/'PL1'!P10%,0)</f>
        <v>25.954257902258849</v>
      </c>
      <c r="Q43" s="5">
        <f>+IFERROR(Q13/'PL1'!Q10%,0)</f>
        <v>-18.163179668470573</v>
      </c>
      <c r="R43" s="5">
        <f>+IFERROR(R13/'PL1'!R10%,0)</f>
        <v>16.043137068391509</v>
      </c>
      <c r="S43" s="5">
        <f>+IFERROR(S13/'PL1'!S10%,0)</f>
        <v>-40.131507373137907</v>
      </c>
      <c r="T43" s="5">
        <f>+IFERROR(T13/'PL1'!T10%,0)</f>
        <v>-29.850073630756164</v>
      </c>
      <c r="U43" s="5">
        <f>+IFERROR(U13/'PL1'!U10%,0)</f>
        <v>2.808103071788</v>
      </c>
      <c r="V43" s="5">
        <f>+IFERROR(V13/'PL1'!V10%,0)</f>
        <v>-31.624473247708071</v>
      </c>
      <c r="W43" s="5">
        <f>+IFERROR(W13/'PL1'!W10%,0)</f>
        <v>-46.136676932502574</v>
      </c>
      <c r="X43" s="5">
        <f>+IFERROR(X13/'PL1'!X10%,0)</f>
        <v>57.993862603563038</v>
      </c>
      <c r="Y43" s="5">
        <f>+IFERROR(Y13/'PL1'!Y10%,0)</f>
        <v>54.590732980344256</v>
      </c>
      <c r="Z43" s="5">
        <f>+IFERROR(Z13/'PL1'!Z10%,0)</f>
        <v>73.307177187171277</v>
      </c>
      <c r="AA43" s="5">
        <f>+IFERROR(AA13/'PL1'!AA10%,0)</f>
        <v>49.716707780015334</v>
      </c>
      <c r="AB43" s="5">
        <f>+IFERROR(AB13/'PL1'!AB10%,0)</f>
        <v>-27.51654475961012</v>
      </c>
      <c r="AC43" s="5">
        <f>+IFERROR(AC13/'PL1'!AC10%,0)</f>
        <v>-29.870209091452232</v>
      </c>
      <c r="AD43" s="5">
        <f>+IFERROR(AD13/'PL1'!AD10%,0)</f>
        <v>0.70267858949571316</v>
      </c>
      <c r="AE43" s="5">
        <f>+IFERROR(AE13/'PL1'!AE10%,0)</f>
        <v>22.560824562553954</v>
      </c>
      <c r="AF43" s="5">
        <f>+IFERROR(AF13/'PL1'!AF10%,0)</f>
        <v>-5.2799690823616547</v>
      </c>
      <c r="AG43" s="5">
        <f>+IFERROR(AG13/'PL1'!AG10%,0)</f>
        <v>-81.914585312642956</v>
      </c>
      <c r="AH43" s="5">
        <f>+IFERROR(AH13/'PL1'!AH10%,0)</f>
        <v>30.931308080582248</v>
      </c>
      <c r="AI43" s="5">
        <f>+IFERROR(AI13/'PL1'!AI10%,0)</f>
        <v>-24.177712978628836</v>
      </c>
      <c r="AJ43" s="5"/>
      <c r="AK43" s="5">
        <f>+IFERROR(AK13/'PL1'!AK10%,0)</f>
        <v>20.578413252382997</v>
      </c>
      <c r="AL43" s="5">
        <f>+IFERROR(AL13/'PL1'!AL10%,0)</f>
        <v>18.946134762675062</v>
      </c>
      <c r="AM43" s="5">
        <f>+IFERROR(AM13/'PL1'!AM10%,0)</f>
        <v>23.812704255635978</v>
      </c>
    </row>
    <row r="44" spans="3:41" ht="11.25" customHeight="1" outlineLevel="1" x14ac:dyDescent="0.2">
      <c r="C44" s="48" t="s">
        <v>103</v>
      </c>
      <c r="E44" s="5">
        <f>+IFERROR(E42/'RPL1'!E10%,0)</f>
        <v>-159.94308408456618</v>
      </c>
      <c r="F44" s="5">
        <f>+IFERROR(F42/'RPL1'!F10%,0)</f>
        <v>-24.913198127343886</v>
      </c>
      <c r="G44" s="5">
        <f>+IFERROR(G42/'RPL1'!G10%,0)</f>
        <v>22.40070919563005</v>
      </c>
      <c r="H44" s="5">
        <f>+IFERROR(H42/'RPL1'!H10%,0)</f>
        <v>74.009573491652233</v>
      </c>
      <c r="I44" s="5">
        <f>+IFERROR(I42/'RPL1'!I10%,0)</f>
        <v>17.396683503654799</v>
      </c>
      <c r="J44" s="5">
        <f>+IFERROR(J42/'RPL1'!J10%,0)</f>
        <v>-7.4767225906815602</v>
      </c>
      <c r="K44" s="5">
        <f>+IFERROR(K42/'RPL1'!K10%,0)</f>
        <v>15.621272157892598</v>
      </c>
      <c r="L44" s="5">
        <f>+IFERROR(L42/'RPL1'!L10%,0)</f>
        <v>53.208865081610028</v>
      </c>
      <c r="M44" s="5">
        <f>+IFERROR(M42/'RPL1'!M10%,0)</f>
        <v>63.951567025237892</v>
      </c>
      <c r="N44" s="5">
        <f>+IFERROR(N42/'RPL1'!N10%,0)</f>
        <v>-102.93030416650085</v>
      </c>
      <c r="O44" s="5">
        <f>+IFERROR(O42/'RPL1'!O10%,0)</f>
        <v>-19.772091899499216</v>
      </c>
      <c r="P44" s="5">
        <f>+IFERROR(P42/'RPL1'!P10%,0)</f>
        <v>25.954257902258849</v>
      </c>
      <c r="Q44" s="5">
        <f>+IFERROR(Q42/'RPL1'!Q10%,0)</f>
        <v>-18.163179668470573</v>
      </c>
      <c r="R44" s="5">
        <f>+IFERROR(R42/'RPL1'!R10%,0)</f>
        <v>16.043137068391509</v>
      </c>
      <c r="S44" s="5">
        <f>+IFERROR(S42/'RPL1'!S10%,0)</f>
        <v>-40.131507373137907</v>
      </c>
      <c r="T44" s="5">
        <f>+IFERROR(T42/'RPL1'!T10%,0)</f>
        <v>-29.850073630756164</v>
      </c>
      <c r="U44" s="5">
        <f>+IFERROR(U42/'RPL1'!U10%,0)</f>
        <v>2.808103071788</v>
      </c>
      <c r="V44" s="5">
        <f>+IFERROR(V42/'RPL1'!V10%,0)</f>
        <v>-31.624473247708071</v>
      </c>
      <c r="W44" s="5">
        <f>+IFERROR(W42/'RPL1'!W10%,0)</f>
        <v>-46.136676932502574</v>
      </c>
      <c r="X44" s="5">
        <f>+IFERROR(X42/'RPL1'!X10%,0)</f>
        <v>57.993862603563038</v>
      </c>
      <c r="Y44" s="5">
        <f>+IFERROR(Y42/'RPL1'!Y10%,0)</f>
        <v>54.590732980344256</v>
      </c>
      <c r="Z44" s="5">
        <f>+IFERROR(Z42/'RPL1'!Z10%,0)</f>
        <v>73.307177187171277</v>
      </c>
      <c r="AA44" s="5">
        <f>+IFERROR(AA42/'RPL1'!AA10%,0)</f>
        <v>49.716707780015334</v>
      </c>
      <c r="AB44" s="5">
        <f>+IFERROR(AB42/'RPL1'!AB10%,0)</f>
        <v>-27.51654475961012</v>
      </c>
      <c r="AC44" s="5">
        <f>+IFERROR(AC42/'RPL1'!AC10%,0)</f>
        <v>-29.870209091452232</v>
      </c>
      <c r="AD44" s="5">
        <f>+IFERROR(AD42/'RPL1'!AD10%,0)</f>
        <v>0.70267858949571316</v>
      </c>
      <c r="AE44" s="5">
        <f>+IFERROR(AE42/'RPL1'!AE10%,0)</f>
        <v>22.560824562553954</v>
      </c>
      <c r="AF44" s="5">
        <f>+IFERROR(AF42/'RPL1'!AF10%,0)</f>
        <v>-5.2799690823616547</v>
      </c>
      <c r="AG44" s="5">
        <f>+IFERROR(AG42/'RPL1'!AG10%,0)</f>
        <v>-81.914585312642956</v>
      </c>
      <c r="AH44" s="5">
        <f>+IFERROR(AH42/'RPL1'!AH10%,0)</f>
        <v>30.931308080582248</v>
      </c>
      <c r="AI44" s="5">
        <f>+IFERROR(AI42/'RPL1'!AI10%,0)</f>
        <v>-24.177712978628836</v>
      </c>
      <c r="AJ44" s="5"/>
      <c r="AK44" s="5">
        <f>+IFERROR(AK42/'RPL1'!AK10%,0)</f>
        <v>20.578413252382997</v>
      </c>
      <c r="AL44" s="5">
        <f>+IFERROR(AL42/'RPL1'!AL10%,0)</f>
        <v>18.946134762675062</v>
      </c>
      <c r="AM44" s="5">
        <f>+IFERROR(AM42/'RPL1'!AM10%,0)</f>
        <v>23.812704255635978</v>
      </c>
    </row>
    <row r="45" spans="3:41" ht="6" customHeight="1" x14ac:dyDescent="0.2"/>
    <row r="46" spans="3:41" ht="11.25" customHeight="1" x14ac:dyDescent="0.2">
      <c r="C46" s="7" t="s">
        <v>102</v>
      </c>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row>
    <row r="47" spans="3:41" ht="11.25" customHeight="1" x14ac:dyDescent="0.2">
      <c r="C47" t="s">
        <v>101</v>
      </c>
      <c r="D47" s="4"/>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f>SUM(E47:P47)</f>
        <v>0</v>
      </c>
      <c r="AL47" s="2">
        <f>SUM(Q47:AB47)</f>
        <v>0</v>
      </c>
      <c r="AM47" s="2">
        <f>SUM(X47:AI47)</f>
        <v>0</v>
      </c>
      <c r="AO47" s="4" t="s">
        <v>100</v>
      </c>
    </row>
    <row r="48" spans="3:41" ht="11.25" customHeight="1" x14ac:dyDescent="0.2">
      <c r="C48" t="s">
        <v>101</v>
      </c>
      <c r="D48" s="4"/>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f>SUM(E48:P48)</f>
        <v>0</v>
      </c>
      <c r="AL48" s="2">
        <f>SUM(Q48:AB48)</f>
        <v>0</v>
      </c>
      <c r="AM48" s="2">
        <f>SUM(X48:AI48)</f>
        <v>0</v>
      </c>
      <c r="AO48" s="4" t="s">
        <v>100</v>
      </c>
    </row>
    <row r="49" spans="3:41" ht="11.25" customHeight="1" x14ac:dyDescent="0.2">
      <c r="C49" t="s">
        <v>101</v>
      </c>
      <c r="D49" s="4"/>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f>SUM(E49:P49)</f>
        <v>0</v>
      </c>
      <c r="AL49" s="2">
        <f>SUM(Q49:AB49)</f>
        <v>0</v>
      </c>
      <c r="AM49" s="2">
        <f>SUM(X49:AI49)</f>
        <v>0</v>
      </c>
      <c r="AO49" s="4" t="s">
        <v>100</v>
      </c>
    </row>
    <row r="50" spans="3:41" ht="11.25" customHeight="1" x14ac:dyDescent="0.2">
      <c r="C50" s="50" t="s">
        <v>99</v>
      </c>
      <c r="D50" s="28"/>
      <c r="E50" s="25">
        <f>SUM(E47:E49)</f>
        <v>0</v>
      </c>
      <c r="F50" s="25">
        <f>SUM(F47:F49)</f>
        <v>0</v>
      </c>
      <c r="G50" s="25">
        <f>SUM(G47:G49)</f>
        <v>0</v>
      </c>
      <c r="H50" s="25">
        <f>SUM(H47:H49)</f>
        <v>0</v>
      </c>
      <c r="I50" s="25">
        <f>SUM(I47:I49)</f>
        <v>0</v>
      </c>
      <c r="J50" s="25">
        <f>SUM(J47:J49)</f>
        <v>0</v>
      </c>
      <c r="K50" s="25">
        <f>SUM(K47:K49)</f>
        <v>0</v>
      </c>
      <c r="L50" s="25">
        <f>SUM(L47:L49)</f>
        <v>0</v>
      </c>
      <c r="M50" s="25">
        <f>SUM(M47:M49)</f>
        <v>0</v>
      </c>
      <c r="N50" s="25">
        <f>SUM(N47:N49)</f>
        <v>0</v>
      </c>
      <c r="O50" s="25">
        <f>SUM(O47:O49)</f>
        <v>0</v>
      </c>
      <c r="P50" s="25">
        <f>SUM(P47:P49)</f>
        <v>0</v>
      </c>
      <c r="Q50" s="25">
        <f>SUM(Q47:Q49)</f>
        <v>0</v>
      </c>
      <c r="R50" s="25">
        <f>SUM(R47:R49)</f>
        <v>0</v>
      </c>
      <c r="S50" s="25">
        <f>SUM(S47:S49)</f>
        <v>0</v>
      </c>
      <c r="T50" s="25">
        <f>SUM(T47:T49)</f>
        <v>0</v>
      </c>
      <c r="U50" s="25">
        <f>SUM(U47:U49)</f>
        <v>0</v>
      </c>
      <c r="V50" s="25">
        <f>SUM(V47:V49)</f>
        <v>0</v>
      </c>
      <c r="W50" s="25">
        <f>SUM(W47:W49)</f>
        <v>0</v>
      </c>
      <c r="X50" s="25">
        <f>SUM(X47:X49)</f>
        <v>0</v>
      </c>
      <c r="Y50" s="25">
        <f>SUM(Y47:Y49)</f>
        <v>0</v>
      </c>
      <c r="Z50" s="25">
        <f>SUM(Z47:Z49)</f>
        <v>0</v>
      </c>
      <c r="AA50" s="25">
        <f>SUM(AA47:AA49)</f>
        <v>0</v>
      </c>
      <c r="AB50" s="25">
        <f>SUM(AB47:AB49)</f>
        <v>0</v>
      </c>
      <c r="AC50" s="25">
        <f>SUM(AC47:AC49)</f>
        <v>0</v>
      </c>
      <c r="AD50" s="25">
        <f>SUM(AD47:AD49)</f>
        <v>0</v>
      </c>
      <c r="AE50" s="25">
        <f>SUM(AE47:AE49)</f>
        <v>0</v>
      </c>
      <c r="AF50" s="25">
        <f>SUM(AF47:AF49)</f>
        <v>0</v>
      </c>
      <c r="AG50" s="25">
        <f>SUM(AG47:AG49)</f>
        <v>0</v>
      </c>
      <c r="AH50" s="25">
        <f>SUM(AH47:AH49)</f>
        <v>0</v>
      </c>
      <c r="AI50" s="25">
        <f>SUM(AI47:AI49)</f>
        <v>0</v>
      </c>
      <c r="AJ50" s="25"/>
      <c r="AK50" s="25">
        <f>SUM(AK47:AK49)</f>
        <v>0</v>
      </c>
      <c r="AL50" s="25">
        <f>SUM(AL47:AL49)</f>
        <v>0</v>
      </c>
      <c r="AM50" s="25">
        <f>SUM(AM47:AM49)</f>
        <v>0</v>
      </c>
    </row>
    <row r="51" spans="3:41" ht="12" customHeight="1" thickBot="1" x14ac:dyDescent="0.3">
      <c r="C51" s="40" t="s">
        <v>98</v>
      </c>
      <c r="D51" s="49"/>
      <c r="E51" s="39">
        <f>E42+E50</f>
        <v>-308.89328000000012</v>
      </c>
      <c r="F51" s="39">
        <f>F42+F50</f>
        <v>-106.98811000000003</v>
      </c>
      <c r="G51" s="39">
        <f>G42+G50</f>
        <v>163.93175000000005</v>
      </c>
      <c r="H51" s="39">
        <f>H42+H50</f>
        <v>318.50389999999999</v>
      </c>
      <c r="I51" s="39">
        <f>I42+I50</f>
        <v>108.45597000000006</v>
      </c>
      <c r="J51" s="39">
        <f>J42+J50</f>
        <v>-35.950400000000059</v>
      </c>
      <c r="K51" s="39">
        <f>K42+K50</f>
        <v>107.54746</v>
      </c>
      <c r="L51" s="39">
        <f>L42+L50</f>
        <v>674.36889000000008</v>
      </c>
      <c r="M51" s="39">
        <f>M42+M50</f>
        <v>816.1345500000001</v>
      </c>
      <c r="N51" s="39">
        <f>N42+N50</f>
        <v>-245.69618</v>
      </c>
      <c r="O51" s="39">
        <f>O42+O50</f>
        <v>-108.92309000000012</v>
      </c>
      <c r="P51" s="39">
        <f>P42+P50</f>
        <v>191.22655999999975</v>
      </c>
      <c r="Q51" s="39">
        <f>Q42+Q50</f>
        <v>-76.656609999999944</v>
      </c>
      <c r="R51" s="39">
        <f>R42+R50</f>
        <v>84.330749999999966</v>
      </c>
      <c r="S51" s="39">
        <f>S42+S50</f>
        <v>-149.02755000000013</v>
      </c>
      <c r="T51" s="39">
        <f>T42+T50</f>
        <v>-113.91802999999999</v>
      </c>
      <c r="U51" s="39">
        <f>U42+U50</f>
        <v>15.084540000000061</v>
      </c>
      <c r="V51" s="39">
        <f>V42+V50</f>
        <v>-112.86901</v>
      </c>
      <c r="W51" s="39">
        <f>W42+W50</f>
        <v>-168.68214999999998</v>
      </c>
      <c r="X51" s="39">
        <f>X42+X50</f>
        <v>656.72365999999977</v>
      </c>
      <c r="Y51" s="39">
        <f>Y42+Y50</f>
        <v>619.69770000000017</v>
      </c>
      <c r="Z51" s="39">
        <f>Z42+Z50</f>
        <v>241.65784999999971</v>
      </c>
      <c r="AA51" s="39">
        <f>AA42+AA50</f>
        <v>401.67570000000012</v>
      </c>
      <c r="AB51" s="39">
        <f>AB42+AB50</f>
        <v>-113.70552000000094</v>
      </c>
      <c r="AC51" s="39">
        <f>AC42+AC50</f>
        <v>-104.9857199999999</v>
      </c>
      <c r="AD51" s="39">
        <f>AD42+AD50</f>
        <v>3.8198099999999613</v>
      </c>
      <c r="AE51" s="39">
        <f>AE42+AE50</f>
        <v>166.17516000000012</v>
      </c>
      <c r="AF51" s="39">
        <f>AF42+AF50</f>
        <v>-22.474029999999914</v>
      </c>
      <c r="AG51" s="39">
        <f>AG42+AG50</f>
        <v>-232.79306000000003</v>
      </c>
      <c r="AH51" s="39">
        <f>AH42+AH50</f>
        <v>235.19114999999999</v>
      </c>
      <c r="AI51" s="39">
        <f>AI42+AI50</f>
        <v>-102.31717999999981</v>
      </c>
      <c r="AJ51" s="39"/>
      <c r="AK51" s="39">
        <f>AK42+AK50</f>
        <v>1573.71802</v>
      </c>
      <c r="AL51" s="39">
        <f>AL42+AL50</f>
        <v>1284.3113299999989</v>
      </c>
      <c r="AM51" s="39">
        <f>AM42+AM50</f>
        <v>1748.6655199999993</v>
      </c>
    </row>
    <row r="52" spans="3:41" ht="11.25" customHeight="1" outlineLevel="1" x14ac:dyDescent="0.2">
      <c r="C52" s="48" t="s">
        <v>97</v>
      </c>
      <c r="E52" s="5">
        <f>+IFERROR(E51/'RPL1'!E10%,0)</f>
        <v>-159.94308408456618</v>
      </c>
      <c r="F52" s="5">
        <f>+IFERROR(F51/'RPL1'!F10%,0)</f>
        <v>-24.913198127343886</v>
      </c>
      <c r="G52" s="5">
        <f>+IFERROR(G51/'RPL1'!G10%,0)</f>
        <v>22.40070919563005</v>
      </c>
      <c r="H52" s="5">
        <f>+IFERROR(H51/'RPL1'!H10%,0)</f>
        <v>74.009573491652233</v>
      </c>
      <c r="I52" s="5">
        <f>+IFERROR(I51/'RPL1'!I10%,0)</f>
        <v>17.396683503654799</v>
      </c>
      <c r="J52" s="5">
        <f>+IFERROR(J51/'RPL1'!J10%,0)</f>
        <v>-7.4767225906815602</v>
      </c>
      <c r="K52" s="5">
        <f>+IFERROR(K51/'RPL1'!K10%,0)</f>
        <v>15.621272157892598</v>
      </c>
      <c r="L52" s="5">
        <f>+IFERROR(L51/'RPL1'!L10%,0)</f>
        <v>53.208865081610028</v>
      </c>
      <c r="M52" s="5">
        <f>+IFERROR(M51/'RPL1'!M10%,0)</f>
        <v>63.951567025237892</v>
      </c>
      <c r="N52" s="5">
        <f>+IFERROR(N51/'RPL1'!N10%,0)</f>
        <v>-102.93030416650085</v>
      </c>
      <c r="O52" s="5">
        <f>+IFERROR(O51/'RPL1'!O10%,0)</f>
        <v>-19.772091899499216</v>
      </c>
      <c r="P52" s="5">
        <f>+IFERROR(P51/'RPL1'!P10%,0)</f>
        <v>25.954257902258849</v>
      </c>
      <c r="Q52" s="5">
        <f>+IFERROR(Q51/'RPL1'!Q10%,0)</f>
        <v>-18.163179668470573</v>
      </c>
      <c r="R52" s="5">
        <f>+IFERROR(R51/'RPL1'!R10%,0)</f>
        <v>16.043137068391509</v>
      </c>
      <c r="S52" s="5">
        <f>+IFERROR(S51/'RPL1'!S10%,0)</f>
        <v>-40.131507373137907</v>
      </c>
      <c r="T52" s="5">
        <f>+IFERROR(T51/'RPL1'!T10%,0)</f>
        <v>-29.850073630756164</v>
      </c>
      <c r="U52" s="5">
        <f>+IFERROR(U51/'RPL1'!U10%,0)</f>
        <v>2.808103071788</v>
      </c>
      <c r="V52" s="5">
        <f>+IFERROR(V51/'RPL1'!V10%,0)</f>
        <v>-31.624473247708071</v>
      </c>
      <c r="W52" s="5">
        <f>+IFERROR(W51/'RPL1'!W10%,0)</f>
        <v>-46.136676932502574</v>
      </c>
      <c r="X52" s="5">
        <f>+IFERROR(X51/'RPL1'!X10%,0)</f>
        <v>57.993862603563038</v>
      </c>
      <c r="Y52" s="5">
        <f>+IFERROR(Y51/'RPL1'!Y10%,0)</f>
        <v>54.590732980344256</v>
      </c>
      <c r="Z52" s="5">
        <f>+IFERROR(Z51/'RPL1'!Z10%,0)</f>
        <v>73.307177187171277</v>
      </c>
      <c r="AA52" s="5">
        <f>+IFERROR(AA51/'RPL1'!AA10%,0)</f>
        <v>49.716707780015334</v>
      </c>
      <c r="AB52" s="5">
        <f>+IFERROR(AB51/'RPL1'!AB10%,0)</f>
        <v>-27.51654475961012</v>
      </c>
      <c r="AC52" s="5">
        <f>+IFERROR(AC51/'RPL1'!AC10%,0)</f>
        <v>-29.870209091452232</v>
      </c>
      <c r="AD52" s="5">
        <f>+IFERROR(AD51/'RPL1'!AD10%,0)</f>
        <v>0.70267858949571316</v>
      </c>
      <c r="AE52" s="5">
        <f>+IFERROR(AE51/'RPL1'!AE10%,0)</f>
        <v>22.560824562553954</v>
      </c>
      <c r="AF52" s="5">
        <f>+IFERROR(AF51/'RPL1'!AF10%,0)</f>
        <v>-5.2799690823616547</v>
      </c>
      <c r="AG52" s="5">
        <f>+IFERROR(AG51/'RPL1'!AG10%,0)</f>
        <v>-81.914585312642956</v>
      </c>
      <c r="AH52" s="5">
        <f>+IFERROR(AH51/'RPL1'!AH10%,0)</f>
        <v>30.931308080582248</v>
      </c>
      <c r="AI52" s="5">
        <f>+IFERROR(AI51/'RPL1'!AI10%,0)</f>
        <v>-24.177712978628836</v>
      </c>
      <c r="AJ52" s="5"/>
      <c r="AK52" s="5">
        <f>+IFERROR(AK51/'RPL1'!AK10%,0)</f>
        <v>20.578413252382997</v>
      </c>
      <c r="AL52" s="5">
        <f>+IFERROR(AL51/'RPL1'!AL10%,0)</f>
        <v>18.946134762675062</v>
      </c>
      <c r="AM52" s="5">
        <f>+IFERROR(AM51/'RPL1'!AM10%,0)</f>
        <v>23.812704255635978</v>
      </c>
    </row>
    <row r="53" spans="3:41" ht="6" customHeight="1" x14ac:dyDescent="0.2"/>
    <row r="55" spans="3:41" x14ac:dyDescent="0.2">
      <c r="C55" s="47" t="s">
        <v>96</v>
      </c>
    </row>
    <row r="56" spans="3:41" x14ac:dyDescent="0.2">
      <c r="C56" s="46" t="s">
        <v>95</v>
      </c>
    </row>
    <row r="57" spans="3:41" x14ac:dyDescent="0.2">
      <c r="C57" t="s">
        <v>94</v>
      </c>
    </row>
    <row r="58" spans="3:41" x14ac:dyDescent="0.2">
      <c r="C58" t="s">
        <v>93</v>
      </c>
    </row>
    <row r="59" spans="3:41" x14ac:dyDescent="0.2">
      <c r="C59" t="s">
        <v>92</v>
      </c>
    </row>
    <row r="60" spans="3:41" x14ac:dyDescent="0.2">
      <c r="C60" t="s">
        <v>91</v>
      </c>
    </row>
    <row r="61" spans="3:41" x14ac:dyDescent="0.2">
      <c r="C61" t="s">
        <v>90</v>
      </c>
    </row>
    <row r="62" spans="3:41" x14ac:dyDescent="0.2">
      <c r="C62" t="s">
        <v>89</v>
      </c>
    </row>
    <row r="63" spans="3:41" x14ac:dyDescent="0.2">
      <c r="C63" t="s">
        <v>88</v>
      </c>
    </row>
    <row r="64" spans="3:41" x14ac:dyDescent="0.2">
      <c r="C64" t="s">
        <v>87</v>
      </c>
    </row>
    <row r="65" spans="3:3" x14ac:dyDescent="0.2">
      <c r="C65" t="s">
        <v>86</v>
      </c>
    </row>
    <row r="66" spans="3:3" x14ac:dyDescent="0.2">
      <c r="C66" t="s">
        <v>85</v>
      </c>
    </row>
    <row r="67" spans="3:3" x14ac:dyDescent="0.2">
      <c r="C67" t="s">
        <v>84</v>
      </c>
    </row>
    <row r="68" spans="3:3" x14ac:dyDescent="0.2">
      <c r="C68" t="s">
        <v>83</v>
      </c>
    </row>
    <row r="69" spans="3:3" x14ac:dyDescent="0.2">
      <c r="C69" t="s">
        <v>82</v>
      </c>
    </row>
    <row r="71" spans="3:3" x14ac:dyDescent="0.2">
      <c r="C71" s="46" t="s">
        <v>81</v>
      </c>
    </row>
    <row r="72" spans="3:3" x14ac:dyDescent="0.2">
      <c r="C72" t="s">
        <v>80</v>
      </c>
    </row>
    <row r="73" spans="3:3" x14ac:dyDescent="0.2">
      <c r="C73" t="s">
        <v>79</v>
      </c>
    </row>
    <row r="74" spans="3:3" x14ac:dyDescent="0.2">
      <c r="C74" t="s">
        <v>78</v>
      </c>
    </row>
    <row r="75" spans="3:3" x14ac:dyDescent="0.2">
      <c r="C75" t="s">
        <v>77</v>
      </c>
    </row>
    <row r="76" spans="3:3" x14ac:dyDescent="0.2">
      <c r="C76" t="s">
        <v>76</v>
      </c>
    </row>
    <row r="77" spans="3:3" x14ac:dyDescent="0.2">
      <c r="C77" t="s">
        <v>75</v>
      </c>
    </row>
    <row r="78" spans="3:3" x14ac:dyDescent="0.2">
      <c r="C78" t="s">
        <v>74</v>
      </c>
    </row>
    <row r="79" spans="3:3" x14ac:dyDescent="0.2">
      <c r="C79" t="s">
        <v>73</v>
      </c>
    </row>
    <row r="80" spans="3:3" x14ac:dyDescent="0.2">
      <c r="C80" t="s">
        <v>72</v>
      </c>
    </row>
    <row r="81" spans="3:3" x14ac:dyDescent="0.2">
      <c r="C81" t="s">
        <v>71</v>
      </c>
    </row>
    <row r="82" spans="3:3" x14ac:dyDescent="0.2">
      <c r="C82" t="s">
        <v>70</v>
      </c>
    </row>
    <row r="84" spans="3:3" x14ac:dyDescent="0.2">
      <c r="C84" s="46" t="s">
        <v>69</v>
      </c>
    </row>
    <row r="85" spans="3:3" x14ac:dyDescent="0.2">
      <c r="C85" t="s">
        <v>68</v>
      </c>
    </row>
    <row r="86" spans="3:3" x14ac:dyDescent="0.2">
      <c r="C86" t="s">
        <v>67</v>
      </c>
    </row>
    <row r="87" spans="3:3" x14ac:dyDescent="0.2">
      <c r="C87" t="s">
        <v>66</v>
      </c>
    </row>
    <row r="88" spans="3:3" x14ac:dyDescent="0.2">
      <c r="C88" t="s">
        <v>65</v>
      </c>
    </row>
    <row r="89" spans="3:3" x14ac:dyDescent="0.2">
      <c r="C89" t="s">
        <v>64</v>
      </c>
    </row>
    <row r="91" spans="3:3" x14ac:dyDescent="0.2">
      <c r="C91" s="46" t="s">
        <v>63</v>
      </c>
    </row>
    <row r="92" spans="3:3" x14ac:dyDescent="0.2">
      <c r="C92" t="s">
        <v>62</v>
      </c>
    </row>
    <row r="93" spans="3:3" x14ac:dyDescent="0.2">
      <c r="C93" t="s">
        <v>61</v>
      </c>
    </row>
    <row r="94" spans="3:3" x14ac:dyDescent="0.2">
      <c r="C94" t="s">
        <v>60</v>
      </c>
    </row>
    <row r="95" spans="3:3" x14ac:dyDescent="0.2">
      <c r="C95" t="s">
        <v>59</v>
      </c>
    </row>
    <row r="96" spans="3:3" x14ac:dyDescent="0.2">
      <c r="C96" t="s">
        <v>58</v>
      </c>
    </row>
    <row r="97" spans="3:39" x14ac:dyDescent="0.2">
      <c r="C97" t="s">
        <v>57</v>
      </c>
    </row>
    <row r="98" spans="3:39" x14ac:dyDescent="0.2">
      <c r="C98" t="s">
        <v>56</v>
      </c>
    </row>
    <row r="100" spans="3:39" x14ac:dyDescent="0.2">
      <c r="C100" s="46" t="s">
        <v>55</v>
      </c>
    </row>
    <row r="103" spans="3:39" ht="11.25" customHeight="1" x14ac:dyDescent="0.2">
      <c r="C103" t="s">
        <v>54</v>
      </c>
      <c r="E103" s="2">
        <f>+'RPL1'!E30-E51</f>
        <v>0</v>
      </c>
      <c r="F103" s="2">
        <f>+'RPL1'!F30-F51</f>
        <v>0</v>
      </c>
      <c r="G103" s="2">
        <f>+'RPL1'!G30-G51</f>
        <v>0</v>
      </c>
      <c r="H103" s="2">
        <f>+'RPL1'!H30-H51</f>
        <v>0</v>
      </c>
      <c r="I103" s="2">
        <f>+'RPL1'!I30-I51</f>
        <v>0</v>
      </c>
      <c r="J103" s="2">
        <f>+'RPL1'!J30-J51</f>
        <v>0</v>
      </c>
      <c r="K103" s="2">
        <f>+'RPL1'!K30-K51</f>
        <v>0</v>
      </c>
      <c r="L103" s="2">
        <f>+'RPL1'!L30-L51</f>
        <v>0</v>
      </c>
      <c r="M103" s="2">
        <f>+'RPL1'!M30-M51</f>
        <v>0</v>
      </c>
      <c r="N103" s="2">
        <f>+'RPL1'!N30-N51</f>
        <v>0</v>
      </c>
      <c r="O103" s="2">
        <f>+'RPL1'!O30-O51</f>
        <v>0</v>
      </c>
      <c r="P103" s="2">
        <f>+'RPL1'!P30-P51</f>
        <v>0</v>
      </c>
      <c r="Q103" s="2">
        <f>+'RPL1'!Q30-Q51</f>
        <v>0</v>
      </c>
      <c r="R103" s="2">
        <f>+'RPL1'!R30-R51</f>
        <v>0</v>
      </c>
      <c r="S103" s="2">
        <f>+'RPL1'!S30-S51</f>
        <v>0</v>
      </c>
      <c r="T103" s="2">
        <f>+'RPL1'!T30-T51</f>
        <v>0</v>
      </c>
      <c r="U103" s="2">
        <f>+'RPL1'!U30-U51</f>
        <v>0</v>
      </c>
      <c r="V103" s="2">
        <f>+'RPL1'!V30-V51</f>
        <v>0</v>
      </c>
      <c r="W103" s="2">
        <f>+'RPL1'!W30-W51</f>
        <v>0</v>
      </c>
      <c r="X103" s="2">
        <f>+'RPL1'!X30-X51</f>
        <v>0</v>
      </c>
      <c r="Y103" s="2">
        <f>+'RPL1'!Y30-Y51</f>
        <v>0</v>
      </c>
      <c r="Z103" s="2">
        <f>+'RPL1'!Z30-Z51</f>
        <v>0</v>
      </c>
      <c r="AA103" s="2">
        <f>+'RPL1'!AA30-AA51</f>
        <v>0</v>
      </c>
      <c r="AB103" s="2">
        <f>+'RPL1'!AB30-AB51</f>
        <v>0</v>
      </c>
      <c r="AC103" s="2">
        <f>+'RPL1'!AC30-AC51</f>
        <v>0</v>
      </c>
      <c r="AD103" s="2">
        <f>+'RPL1'!AD30-AD51</f>
        <v>0</v>
      </c>
      <c r="AE103" s="2">
        <f>+'RPL1'!AE30-AE51</f>
        <v>0</v>
      </c>
      <c r="AF103" s="2">
        <f>+'RPL1'!AF30-AF51</f>
        <v>0</v>
      </c>
      <c r="AG103" s="2">
        <f>+'RPL1'!AG30-AG51</f>
        <v>0</v>
      </c>
      <c r="AH103" s="2">
        <f>+'RPL1'!AH30-AH51</f>
        <v>0</v>
      </c>
      <c r="AI103" s="2">
        <f>+'RPL1'!AI30-AI51</f>
        <v>0</v>
      </c>
      <c r="AJ103" s="2"/>
      <c r="AK103" s="2">
        <f>+'RPL1'!AK30-AK51</f>
        <v>0</v>
      </c>
      <c r="AL103" s="2">
        <f>+'RPL1'!AL30-AL51</f>
        <v>0</v>
      </c>
      <c r="AM103" s="2">
        <f>+'RPL1'!AM30-AM51</f>
        <v>0</v>
      </c>
    </row>
    <row r="105" spans="3:39" ht="11.25" customHeight="1" x14ac:dyDescent="0.2">
      <c r="C105" t="s">
        <v>53</v>
      </c>
      <c r="E105" s="2">
        <f>'PL1'!E36-E13</f>
        <v>0</v>
      </c>
      <c r="F105" s="2">
        <f>'PL1'!F36-F13</f>
        <v>0</v>
      </c>
      <c r="G105" s="2">
        <f>'PL1'!G36-G13</f>
        <v>0</v>
      </c>
      <c r="H105" s="2">
        <f>'PL1'!H36-H13</f>
        <v>0</v>
      </c>
      <c r="I105" s="2">
        <f>'PL1'!I36-I13</f>
        <v>0</v>
      </c>
      <c r="J105" s="2">
        <f>'PL1'!J36-J13</f>
        <v>0</v>
      </c>
      <c r="K105" s="2">
        <f>'PL1'!K36-K13</f>
        <v>0</v>
      </c>
      <c r="L105" s="2">
        <f>'PL1'!L36-L13</f>
        <v>0</v>
      </c>
      <c r="M105" s="2">
        <f>'PL1'!M36-M13</f>
        <v>0</v>
      </c>
      <c r="N105" s="2">
        <f>'PL1'!N36-N13</f>
        <v>0</v>
      </c>
      <c r="O105" s="2">
        <f>'PL1'!O36-O13</f>
        <v>0</v>
      </c>
      <c r="P105" s="2">
        <f>'PL1'!P36-P13</f>
        <v>0</v>
      </c>
      <c r="Q105" s="2">
        <f>'PL1'!Q36-Q13</f>
        <v>0</v>
      </c>
      <c r="R105" s="2">
        <f>'PL1'!R36-R13</f>
        <v>0</v>
      </c>
      <c r="S105" s="2">
        <f>'PL1'!S36-S13</f>
        <v>0</v>
      </c>
      <c r="T105" s="2">
        <f>'PL1'!T36-T13</f>
        <v>0</v>
      </c>
      <c r="U105" s="2">
        <f>'PL1'!U36-U13</f>
        <v>0</v>
      </c>
      <c r="V105" s="2">
        <f>'PL1'!V36-V13</f>
        <v>0</v>
      </c>
      <c r="W105" s="2">
        <f>'PL1'!W36-W13</f>
        <v>0</v>
      </c>
      <c r="X105" s="2">
        <f>'PL1'!X36-X13</f>
        <v>0</v>
      </c>
      <c r="Y105" s="2">
        <f>'PL1'!Y36-Y13</f>
        <v>0</v>
      </c>
      <c r="Z105" s="2">
        <f>'PL1'!Z36-Z13</f>
        <v>0</v>
      </c>
      <c r="AA105" s="2">
        <f>'PL1'!AA36-AA13</f>
        <v>0</v>
      </c>
      <c r="AB105" s="2">
        <f>'PL1'!AB36-AB13</f>
        <v>0</v>
      </c>
      <c r="AC105" s="2">
        <f>'PL1'!AC36-AC13</f>
        <v>0</v>
      </c>
      <c r="AD105" s="2">
        <f>'PL1'!AD36-AD13</f>
        <v>0</v>
      </c>
      <c r="AE105" s="2">
        <f>'PL1'!AE36-AE13</f>
        <v>0</v>
      </c>
      <c r="AF105" s="2">
        <f>'PL1'!AF36-AF13</f>
        <v>0</v>
      </c>
      <c r="AG105" s="2">
        <f>'PL1'!AG36-AG13</f>
        <v>0</v>
      </c>
      <c r="AH105" s="2">
        <f>'PL1'!AH36-AH13</f>
        <v>0</v>
      </c>
      <c r="AI105" s="2">
        <f>'PL1'!AI36-AI13</f>
        <v>0</v>
      </c>
      <c r="AJ105" s="2"/>
      <c r="AK105" s="2">
        <f>'PL1'!AK36-AK13</f>
        <v>0</v>
      </c>
      <c r="AL105" s="2">
        <f>'PL1'!AL36-AL13</f>
        <v>0</v>
      </c>
      <c r="AM105" s="2">
        <f>'PL1'!AM36-AM13</f>
        <v>0</v>
      </c>
    </row>
  </sheetData>
  <conditionalFormatting sqref="AK54:AK100">
    <cfRule type="containsText" dxfId="32" priority="1" operator="containsText" text="Needs Review">
      <formula>NOT(ISERROR(SEARCH("Needs Review",AK54)))</formula>
    </cfRule>
    <cfRule type="containsText" dxfId="31" priority="2" operator="containsText" text="Completed">
      <formula>NOT(ISERROR(SEARCH("Completed",AK54)))</formula>
    </cfRule>
  </conditionalFormatting>
  <conditionalFormatting sqref="AO1:AO7 AO9:AO15 AO21:AO24 AO30:AO31 AO41:AO46 AO50:AO53 AO101:AO1048576 AK54:AK100">
    <cfRule type="containsText" dxfId="30" priority="20" operator="containsText" text="Open">
      <formula>NOT(ISERROR(SEARCH("Open",AK1)))</formula>
    </cfRule>
  </conditionalFormatting>
  <conditionalFormatting sqref="AO9:AO53 AO1:AO7 AO101:AO1048576">
    <cfRule type="containsText" dxfId="29" priority="11" operator="containsText" text="Needs Review">
      <formula>NOT(ISERROR(SEARCH("Needs Review",AO1)))</formula>
    </cfRule>
  </conditionalFormatting>
  <conditionalFormatting sqref="AO9:AO53 AO1:AO7">
    <cfRule type="containsText" dxfId="28" priority="19" operator="containsText" text="Completed">
      <formula>NOT(ISERROR(SEARCH("Completed",AO1)))</formula>
    </cfRule>
  </conditionalFormatting>
  <conditionalFormatting sqref="AO16:AO20">
    <cfRule type="containsText" dxfId="27" priority="17" operator="containsText" text="OPEN">
      <formula>NOT(ISERROR(SEARCH("OPEN",AO16)))</formula>
    </cfRule>
    <cfRule type="containsText" dxfId="26" priority="18" operator="containsText" text="In Progress">
      <formula>NOT(ISERROR(SEARCH("In Progress",AO16)))</formula>
    </cfRule>
  </conditionalFormatting>
  <conditionalFormatting sqref="AO25:AO29 AO47:AO49">
    <cfRule type="containsText" dxfId="25" priority="7" operator="containsText" text="Needs Review">
      <formula>NOT(ISERROR(SEARCH("Needs Review",AO25)))</formula>
    </cfRule>
    <cfRule type="containsText" dxfId="24" priority="8" operator="containsText" text="Completed">
      <formula>NOT(ISERROR(SEARCH("Completed",AO25)))</formula>
    </cfRule>
    <cfRule type="containsText" dxfId="23" priority="9" operator="containsText" text="OPEN">
      <formula>NOT(ISERROR(SEARCH("OPEN",AO25)))</formula>
    </cfRule>
    <cfRule type="containsText" dxfId="22" priority="10" operator="containsText" text="In Progress">
      <formula>NOT(ISERROR(SEARCH("In Progress",AO25)))</formula>
    </cfRule>
    <cfRule type="containsText" dxfId="21" priority="15" operator="containsText" text="OPEN">
      <formula>NOT(ISERROR(SEARCH("OPEN",AO25)))</formula>
    </cfRule>
    <cfRule type="containsText" dxfId="20" priority="16" operator="containsText" text="In Progress">
      <formula>NOT(ISERROR(SEARCH("In Progress",AO25)))</formula>
    </cfRule>
  </conditionalFormatting>
  <conditionalFormatting sqref="AO32:AO40">
    <cfRule type="containsText" dxfId="19" priority="3" operator="containsText" text="Needs Review">
      <formula>NOT(ISERROR(SEARCH("Needs Review",AO32)))</formula>
    </cfRule>
    <cfRule type="containsText" dxfId="18" priority="4" operator="containsText" text="Completed">
      <formula>NOT(ISERROR(SEARCH("Completed",AO32)))</formula>
    </cfRule>
    <cfRule type="containsText" dxfId="17" priority="5" operator="containsText" text="OPEN">
      <formula>NOT(ISERROR(SEARCH("OPEN",AO32)))</formula>
    </cfRule>
    <cfRule type="containsText" dxfId="16" priority="6" operator="containsText" text="In Progress">
      <formula>NOT(ISERROR(SEARCH("In Progress",AO32)))</formula>
    </cfRule>
    <cfRule type="containsText" dxfId="15" priority="13" operator="containsText" text="OPEN">
      <formula>NOT(ISERROR(SEARCH("OPEN",AO32)))</formula>
    </cfRule>
    <cfRule type="containsText" dxfId="14" priority="14" operator="containsText" text="In Progress">
      <formula>NOT(ISERROR(SEARCH("In Progress",AO32)))</formula>
    </cfRule>
  </conditionalFormatting>
  <conditionalFormatting sqref="AO101:AO1048576">
    <cfRule type="containsText" dxfId="13" priority="12" operator="containsText" text="Completed">
      <formula>NOT(ISERROR(SEARCH("Completed",AO101)))</formula>
    </cfRule>
  </conditionalFormatting>
  <dataValidations count="1">
    <dataValidation type="list" allowBlank="1" showInputMessage="1" showErrorMessage="1" sqref="AO25:AO29 AO16:AO20 AO47:AO49 AO32:AO40" xr:uid="{99EF716F-59E3-4A03-B1E8-0C4031767DDB}">
      <formula1>$AX$1:$AX$4</formula1>
    </dataValidation>
  </dataValidations>
  <pageMargins left="0.7" right="0.7" top="0.75" bottom="0.75" header="0.3" footer="0.3"/>
  <pageSetup scale="43" orientation="landscape" r:id="rId1"/>
  <customProperties>
    <customPr name="OrphanNamesChecked" r:id="rId2"/>
  </customProperties>
  <drawing r:id="rId3"/>
  <extLst>
    <ext xmlns:x14="http://schemas.microsoft.com/office/spreadsheetml/2009/9/main" uri="{78C0D931-6437-407d-A8EE-F0AAD7539E65}">
      <x14:conditionalFormattings>
        <x14:conditionalFormatting xmlns:xm="http://schemas.microsoft.com/office/excel/2006/main">
          <x14:cfRule type="containsText" priority="21" operator="containsText" id="{52DC1FAA-FCD7-46CC-B1DD-99B874ACE63C}">
            <xm:f>NOT(ISERROR(SEARCH("NO",A1)))</xm:f>
            <xm:f>"NO"</xm:f>
            <x14:dxf>
              <font>
                <b/>
                <i val="0"/>
                <color rgb="FFFF0000"/>
              </font>
            </x14:dxf>
          </x14:cfRule>
          <xm:sqref>A1:A2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21BB1-4652-4151-8C65-71B9C6D425BC}">
  <sheetPr>
    <tabColor rgb="FF0A2463"/>
  </sheetPr>
  <dimension ref="D8:D10"/>
  <sheetViews>
    <sheetView showGridLines="0" view="pageBreakPreview" zoomScaleNormal="100" zoomScaleSheetLayoutView="100" workbookViewId="0">
      <selection activeCell="D9" sqref="D9"/>
    </sheetView>
  </sheetViews>
  <sheetFormatPr defaultRowHeight="10" x14ac:dyDescent="0.2"/>
  <sheetData>
    <row r="8" spans="4:4" ht="13" x14ac:dyDescent="0.3">
      <c r="D8" s="1" t="s">
        <v>451</v>
      </c>
    </row>
    <row r="9" spans="4:4" x14ac:dyDescent="0.2">
      <c r="D9" t="s">
        <v>450</v>
      </c>
    </row>
    <row r="10" spans="4:4" x14ac:dyDescent="0.2">
      <c r="D10" t="s">
        <v>128</v>
      </c>
    </row>
  </sheetData>
  <pageMargins left="0.7" right="0.7" top="0.75" bottom="0.75" header="0.3" footer="0.3"/>
  <pageSetup orientation="landscape" r:id="rId1"/>
  <customProperties>
    <customPr name="OrphanNamesChecked" r:id="rId2"/>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A4D09-6191-4109-A560-605F1464F4E3}">
  <sheetPr>
    <tabColor rgb="FFFFFF00"/>
    <pageSetUpPr fitToPage="1"/>
  </sheetPr>
  <dimension ref="A1:AR87"/>
  <sheetViews>
    <sheetView showGridLines="0" view="pageBreakPreview" zoomScaleNormal="100" zoomScaleSheetLayoutView="100" workbookViewId="0">
      <pane xSplit="4" ySplit="8" topLeftCell="E10" activePane="bottomRight" state="frozen"/>
      <selection pane="topRight"/>
      <selection pane="bottomLeft"/>
      <selection pane="bottomRight" activeCell="C2" sqref="C2"/>
    </sheetView>
  </sheetViews>
  <sheetFormatPr defaultRowHeight="10" outlineLevelRow="1" outlineLevelCol="1" x14ac:dyDescent="0.2"/>
  <cols>
    <col min="1" max="1" width="9.33203125" customWidth="1" outlineLevel="1"/>
    <col min="2" max="2" width="1.77734375" customWidth="1"/>
    <col min="3" max="3" width="37" bestFit="1" customWidth="1"/>
    <col min="4" max="4" width="4.33203125" customWidth="1"/>
    <col min="5" max="35" width="8.109375" bestFit="1" customWidth="1"/>
    <col min="36" max="36" width="1.77734375" customWidth="1"/>
    <col min="37" max="39" width="8.77734375" customWidth="1"/>
    <col min="40" max="40" width="1.77734375" customWidth="1"/>
    <col min="41" max="44" width="8.77734375" customWidth="1"/>
    <col min="45" max="45" width="1.77734375" customWidth="1"/>
  </cols>
  <sheetData>
    <row r="1" spans="1:44" ht="10.5" x14ac:dyDescent="0.25">
      <c r="A1" s="38" t="str">
        <f>IF(ROUND(SUM(E81:AS83),1)&lt;&gt;0,"NO","Yes")</f>
        <v>Yes</v>
      </c>
      <c r="C1" t="s">
        <v>451</v>
      </c>
    </row>
    <row r="2" spans="1:44" ht="10.5" x14ac:dyDescent="0.25">
      <c r="A2" s="38" t="str">
        <f>IF(COUNTIF(E81:AS83,"&gt;0.5")+COUNTIF(E81:AS83,"&lt;-0.5")&lt;1,"Yes","No")</f>
        <v>Yes</v>
      </c>
      <c r="C2" t="s">
        <v>450</v>
      </c>
    </row>
    <row r="3" spans="1:44" x14ac:dyDescent="0.2">
      <c r="A3">
        <f>2-COUNTIF(A1:A2,"Yes")</f>
        <v>0</v>
      </c>
      <c r="C3" t="s">
        <v>36</v>
      </c>
    </row>
    <row r="4" spans="1:44" x14ac:dyDescent="0.2">
      <c r="C4" t="s">
        <v>128</v>
      </c>
    </row>
    <row r="5" spans="1:44" x14ac:dyDescent="0.2">
      <c r="C5" s="37"/>
    </row>
    <row r="6" spans="1:44" x14ac:dyDescent="0.2">
      <c r="AO6" s="61"/>
      <c r="AP6" s="61"/>
      <c r="AQ6" s="61"/>
      <c r="AR6" s="61"/>
    </row>
    <row r="7" spans="1:44" ht="13.5" customHeight="1" x14ac:dyDescent="0.55000000000000004">
      <c r="C7" s="34" t="str">
        <f>C4</f>
        <v>Net Working Capital Analysis</v>
      </c>
      <c r="D7" s="31"/>
      <c r="E7" s="36" t="s">
        <v>32</v>
      </c>
      <c r="F7" s="36"/>
      <c r="G7" s="36"/>
      <c r="H7" s="36"/>
      <c r="I7" s="36"/>
      <c r="J7" s="36"/>
      <c r="K7" s="36"/>
      <c r="L7" s="36"/>
      <c r="M7" s="36"/>
      <c r="N7" s="36"/>
      <c r="O7" s="36"/>
      <c r="P7" s="36"/>
      <c r="Q7" s="36" t="s">
        <v>31</v>
      </c>
      <c r="R7" s="36"/>
      <c r="S7" s="36"/>
      <c r="T7" s="36"/>
      <c r="U7" s="36"/>
      <c r="V7" s="36"/>
      <c r="W7" s="36"/>
      <c r="X7" s="36"/>
      <c r="Y7" s="36"/>
      <c r="Z7" s="36"/>
      <c r="AA7" s="36"/>
      <c r="AB7" s="36"/>
      <c r="AC7" s="36" t="s">
        <v>35</v>
      </c>
      <c r="AD7" s="36"/>
      <c r="AE7" s="36"/>
      <c r="AF7" s="36"/>
      <c r="AG7" s="36"/>
      <c r="AH7" s="36"/>
      <c r="AI7" s="36"/>
      <c r="AJ7" s="31"/>
      <c r="AK7" s="31"/>
      <c r="AL7" s="31"/>
      <c r="AM7" s="31"/>
      <c r="AN7" s="31"/>
      <c r="AO7" s="36" t="s">
        <v>183</v>
      </c>
      <c r="AP7" s="36"/>
      <c r="AQ7" s="36"/>
      <c r="AR7" s="36"/>
    </row>
    <row r="8" spans="1:44" ht="10.5" x14ac:dyDescent="0.25">
      <c r="C8" s="34" t="str">
        <f>C3</f>
        <v>($ in 000s)</v>
      </c>
      <c r="D8" s="34" t="s">
        <v>33</v>
      </c>
      <c r="E8" s="32">
        <f>TB!K1</f>
        <v>45046</v>
      </c>
      <c r="F8" s="32">
        <f>TB!L1</f>
        <v>45077</v>
      </c>
      <c r="G8" s="32">
        <f>TB!M1</f>
        <v>45107</v>
      </c>
      <c r="H8" s="32">
        <f>TB!N1</f>
        <v>45138</v>
      </c>
      <c r="I8" s="32">
        <f>TB!O1</f>
        <v>45169</v>
      </c>
      <c r="J8" s="32">
        <f>TB!P1</f>
        <v>45199</v>
      </c>
      <c r="K8" s="32">
        <f>TB!Q1</f>
        <v>45230</v>
      </c>
      <c r="L8" s="32">
        <f>TB!R1</f>
        <v>45260</v>
      </c>
      <c r="M8" s="32">
        <f>TB!S1</f>
        <v>45291</v>
      </c>
      <c r="N8" s="32">
        <f>TB!T1</f>
        <v>45322</v>
      </c>
      <c r="O8" s="32">
        <f>TB!U1</f>
        <v>45351</v>
      </c>
      <c r="P8" s="32">
        <f>TB!V1</f>
        <v>45382</v>
      </c>
      <c r="Q8" s="32">
        <f>TB!W1</f>
        <v>45412</v>
      </c>
      <c r="R8" s="32">
        <f>TB!X1</f>
        <v>45443</v>
      </c>
      <c r="S8" s="32">
        <f>TB!Y1</f>
        <v>45473</v>
      </c>
      <c r="T8" s="32">
        <f>TB!Z1</f>
        <v>45504</v>
      </c>
      <c r="U8" s="32">
        <f>TB!AA1</f>
        <v>45535</v>
      </c>
      <c r="V8" s="32">
        <f>TB!AB1</f>
        <v>45565</v>
      </c>
      <c r="W8" s="32">
        <f>TB!AC1</f>
        <v>45596</v>
      </c>
      <c r="X8" s="32">
        <f>TB!AD1</f>
        <v>45626</v>
      </c>
      <c r="Y8" s="32">
        <f>TB!AE1</f>
        <v>45657</v>
      </c>
      <c r="Z8" s="32">
        <f>TB!AF1</f>
        <v>45688</v>
      </c>
      <c r="AA8" s="32">
        <f>TB!AG1</f>
        <v>45716</v>
      </c>
      <c r="AB8" s="32">
        <f>TB!AH1</f>
        <v>45747</v>
      </c>
      <c r="AC8" s="32">
        <f>TB!AI1</f>
        <v>45777</v>
      </c>
      <c r="AD8" s="32">
        <f>TB!AJ1</f>
        <v>45808</v>
      </c>
      <c r="AE8" s="32">
        <f>TB!AK1</f>
        <v>45838</v>
      </c>
      <c r="AF8" s="32">
        <f>TB!AL1</f>
        <v>45869</v>
      </c>
      <c r="AG8" s="32">
        <f>TB!AM1</f>
        <v>45900</v>
      </c>
      <c r="AH8" s="32">
        <f>TB!AN1</f>
        <v>45930</v>
      </c>
      <c r="AI8" s="32">
        <f>TB!AO1</f>
        <v>45961</v>
      </c>
      <c r="AJ8" s="31"/>
      <c r="AK8" s="32">
        <f>P8</f>
        <v>45382</v>
      </c>
      <c r="AL8" s="32">
        <f>AB8</f>
        <v>45747</v>
      </c>
      <c r="AM8" s="32">
        <f>AI8</f>
        <v>45961</v>
      </c>
      <c r="AN8" s="31"/>
      <c r="AO8" s="32" t="s">
        <v>182</v>
      </c>
      <c r="AP8" s="32" t="s">
        <v>181</v>
      </c>
      <c r="AQ8" s="32" t="s">
        <v>180</v>
      </c>
      <c r="AR8" s="32" t="s">
        <v>179</v>
      </c>
    </row>
    <row r="9" spans="1:44" ht="11.25" customHeight="1" outlineLevel="1" x14ac:dyDescent="0.2">
      <c r="C9" t="s">
        <v>178</v>
      </c>
      <c r="D9" s="4"/>
      <c r="E9" s="29">
        <f>SUMIFS(TB!K:K,TB!$J:$J,$C9)</f>
        <v>1392.93641</v>
      </c>
      <c r="F9" s="29">
        <f>SUMIFS(TB!L:L,TB!$J:$J,$C9)</f>
        <v>1274.7818200000002</v>
      </c>
      <c r="G9" s="29">
        <f>SUMIFS(TB!M:M,TB!$J:$J,$C9)</f>
        <v>1044.7660600000002</v>
      </c>
      <c r="H9" s="29">
        <f>SUMIFS(TB!N:N,TB!$J:$J,$C9)</f>
        <v>1503.91794</v>
      </c>
      <c r="I9" s="29">
        <f>SUMIFS(TB!O:O,TB!$J:$J,$C9)</f>
        <v>1652.81621</v>
      </c>
      <c r="J9" s="29">
        <f>SUMIFS(TB!P:P,TB!$J:$J,$C9)</f>
        <v>1471.6316999999999</v>
      </c>
      <c r="K9" s="29">
        <f>SUMIFS(TB!Q:Q,TB!$J:$J,$C9)</f>
        <v>1561.2996699999999</v>
      </c>
      <c r="L9" s="29">
        <f>SUMIFS(TB!R:R,TB!$J:$J,$C9)</f>
        <v>1587.8386399999999</v>
      </c>
      <c r="M9" s="29">
        <f>SUMIFS(TB!S:S,TB!$J:$J,$C9)</f>
        <v>2715.6498700000002</v>
      </c>
      <c r="N9" s="29">
        <f>SUMIFS(TB!T:T,TB!$J:$J,$C9)</f>
        <v>3088.5361499999999</v>
      </c>
      <c r="O9" s="29">
        <f>SUMIFS(TB!U:U,TB!$J:$J,$C9)</f>
        <v>3120.50263</v>
      </c>
      <c r="P9" s="29">
        <f>SUMIFS(TB!V:V,TB!$J:$J,$C9)</f>
        <v>2226.7280599999999</v>
      </c>
      <c r="Q9" s="29">
        <f>SUMIFS(TB!W:W,TB!$J:$J,$C9)</f>
        <v>2311.9427900000001</v>
      </c>
      <c r="R9" s="29">
        <f>SUMIFS(TB!X:X,TB!$J:$J,$C9)</f>
        <v>2217.0810200000001</v>
      </c>
      <c r="S9" s="29">
        <f>SUMIFS(TB!Y:Y,TB!$J:$J,$C9)</f>
        <v>2312.1651699999998</v>
      </c>
      <c r="T9" s="29">
        <f>SUMIFS(TB!Z:Z,TB!$J:$J,$C9)</f>
        <v>2119.5666099999999</v>
      </c>
      <c r="U9" s="29">
        <f>SUMIFS(TB!AA:AA,TB!$J:$J,$C9)</f>
        <v>2118.6528900000003</v>
      </c>
      <c r="V9" s="29">
        <f>SUMIFS(TB!AB:AB,TB!$J:$J,$C9)</f>
        <v>1856.6123500000001</v>
      </c>
      <c r="W9" s="29">
        <f>SUMIFS(TB!AC:AC,TB!$J:$J,$C9)</f>
        <v>1820.1974399999999</v>
      </c>
      <c r="X9" s="29">
        <f>SUMIFS(TB!AD:AD,TB!$J:$J,$C9)</f>
        <v>2082.7491399999999</v>
      </c>
      <c r="Y9" s="29">
        <f>SUMIFS(TB!AE:AE,TB!$J:$J,$C9)</f>
        <v>2389.3520699999999</v>
      </c>
      <c r="Z9" s="29">
        <f>SUMIFS(TB!AF:AF,TB!$J:$J,$C9)</f>
        <v>3006.4507899999999</v>
      </c>
      <c r="AA9" s="29">
        <f>SUMIFS(TB!AG:AG,TB!$J:$J,$C9)</f>
        <v>2479.0816199999999</v>
      </c>
      <c r="AB9" s="29">
        <f>SUMIFS(TB!AH:AH,TB!$J:$J,$C9)</f>
        <v>2545.0138900000002</v>
      </c>
      <c r="AC9" s="29">
        <f>SUMIFS(TB!AI:AI,TB!$J:$J,$C9)</f>
        <v>2228.6963700000001</v>
      </c>
      <c r="AD9" s="29">
        <f>SUMIFS(TB!AJ:AJ,TB!$J:$J,$C9)</f>
        <v>2111.7779500000001</v>
      </c>
      <c r="AE9" s="29">
        <f>SUMIFS(TB!AK:AK,TB!$J:$J,$C9)</f>
        <v>1740.8500300000001</v>
      </c>
      <c r="AF9" s="29">
        <f>SUMIFS(TB!AL:AL,TB!$J:$J,$C9)</f>
        <v>1788.9023400000001</v>
      </c>
      <c r="AG9" s="29">
        <f>SUMIFS(TB!AM:AM,TB!$J:$J,$C9)</f>
        <v>1690.6655600000001</v>
      </c>
      <c r="AH9" s="29">
        <f>SUMIFS(TB!AN:AN,TB!$J:$J,$C9)</f>
        <v>1603.7638300000001</v>
      </c>
      <c r="AI9" s="29">
        <f>SUMIFS(TB!AO:AO,TB!$J:$J,$C9)</f>
        <v>1360.8279499999999</v>
      </c>
      <c r="AJ9" s="29"/>
      <c r="AK9" s="29">
        <f>P9</f>
        <v>2226.7280599999999</v>
      </c>
      <c r="AL9" s="29">
        <f>AB9</f>
        <v>2545.0138900000002</v>
      </c>
      <c r="AM9" s="29">
        <f>AI9</f>
        <v>1360.8279499999999</v>
      </c>
      <c r="AN9" s="29"/>
      <c r="AO9" s="29">
        <f>IFERROR(AVERAGE(AG9:AI9),0)</f>
        <v>1551.7524466666666</v>
      </c>
      <c r="AP9" s="29">
        <f>IFERROR(AVERAGE(AD9:AI9),0)</f>
        <v>1716.131276666667</v>
      </c>
      <c r="AQ9" s="29">
        <f>IFERROR(AVERAGE(AA9:AI9),0)</f>
        <v>1949.953282222222</v>
      </c>
      <c r="AR9" s="29">
        <f>IFERROR(AVERAGE(X9:AI9),0)</f>
        <v>2085.6776283333334</v>
      </c>
    </row>
    <row r="10" spans="1:44" ht="11.25" customHeight="1" outlineLevel="1" x14ac:dyDescent="0.2">
      <c r="C10" s="17" t="s">
        <v>177</v>
      </c>
      <c r="D10" s="15"/>
      <c r="E10" s="14">
        <f>SUMIFS(TB!K:K,TB!$J:$J,$C10)</f>
        <v>241.55248999999998</v>
      </c>
      <c r="F10" s="14">
        <f>SUMIFS(TB!L:L,TB!$J:$J,$C10)</f>
        <v>241.05248999999998</v>
      </c>
      <c r="G10" s="14">
        <f>SUMIFS(TB!M:M,TB!$J:$J,$C10)</f>
        <v>241.05248999999998</v>
      </c>
      <c r="H10" s="14">
        <f>SUMIFS(TB!N:N,TB!$J:$J,$C10)</f>
        <v>240.74938</v>
      </c>
      <c r="I10" s="14">
        <f>SUMIFS(TB!O:O,TB!$J:$J,$C10)</f>
        <v>240.74938</v>
      </c>
      <c r="J10" s="14">
        <f>SUMIFS(TB!P:P,TB!$J:$J,$C10)</f>
        <v>240.74938</v>
      </c>
      <c r="K10" s="14">
        <f>SUMIFS(TB!Q:Q,TB!$J:$J,$C10)</f>
        <v>240.74938</v>
      </c>
      <c r="L10" s="14">
        <f>SUMIFS(TB!R:R,TB!$J:$J,$C10)</f>
        <v>240.71333999999999</v>
      </c>
      <c r="M10" s="14">
        <f>SUMIFS(TB!S:S,TB!$J:$J,$C10)</f>
        <v>240.40911</v>
      </c>
      <c r="N10" s="14">
        <f>SUMIFS(TB!T:T,TB!$J:$J,$C10)</f>
        <v>240.40911</v>
      </c>
      <c r="O10" s="14">
        <f>SUMIFS(TB!U:U,TB!$J:$J,$C10)</f>
        <v>240.40911</v>
      </c>
      <c r="P10" s="14">
        <f>SUMIFS(TB!V:V,TB!$J:$J,$C10)</f>
        <v>240.40911</v>
      </c>
      <c r="Q10" s="14">
        <f>SUMIFS(TB!W:W,TB!$J:$J,$C10)</f>
        <v>240.40911</v>
      </c>
      <c r="R10" s="14">
        <f>SUMIFS(TB!X:X,TB!$J:$J,$C10)</f>
        <v>240.38410999999999</v>
      </c>
      <c r="S10" s="14">
        <f>SUMIFS(TB!Y:Y,TB!$J:$J,$C10)</f>
        <v>278.73410999999999</v>
      </c>
      <c r="T10" s="14">
        <f>SUMIFS(TB!Z:Z,TB!$J:$J,$C10)</f>
        <v>312.08411000000001</v>
      </c>
      <c r="U10" s="14">
        <f>SUMIFS(TB!AA:AA,TB!$J:$J,$C10)</f>
        <v>312.08411000000001</v>
      </c>
      <c r="V10" s="14">
        <f>SUMIFS(TB!AB:AB,TB!$J:$J,$C10)</f>
        <v>312.08411000000001</v>
      </c>
      <c r="W10" s="14">
        <f>SUMIFS(TB!AC:AC,TB!$J:$J,$C10)</f>
        <v>312.08411000000001</v>
      </c>
      <c r="X10" s="14">
        <f>SUMIFS(TB!AD:AD,TB!$J:$J,$C10)</f>
        <v>312.08411000000001</v>
      </c>
      <c r="Y10" s="14">
        <f>SUMIFS(TB!AE:AE,TB!$J:$J,$C10)</f>
        <v>312.08411000000001</v>
      </c>
      <c r="Z10" s="14">
        <f>SUMIFS(TB!AF:AF,TB!$J:$J,$C10)</f>
        <v>312.08411000000001</v>
      </c>
      <c r="AA10" s="14">
        <f>SUMIFS(TB!AG:AG,TB!$J:$J,$C10)</f>
        <v>312.08411000000001</v>
      </c>
      <c r="AB10" s="14">
        <f>SUMIFS(TB!AH:AH,TB!$J:$J,$C10)</f>
        <v>312.08411000000001</v>
      </c>
      <c r="AC10" s="14">
        <f>SUMIFS(TB!AI:AI,TB!$J:$J,$C10)</f>
        <v>312.05552</v>
      </c>
      <c r="AD10" s="14">
        <f>SUMIFS(TB!AJ:AJ,TB!$J:$J,$C10)</f>
        <v>312.05552</v>
      </c>
      <c r="AE10" s="14">
        <f>SUMIFS(TB!AK:AK,TB!$J:$J,$C10)</f>
        <v>365.15552000000002</v>
      </c>
      <c r="AF10" s="14">
        <f>SUMIFS(TB!AL:AL,TB!$J:$J,$C10)</f>
        <v>365.15552000000002</v>
      </c>
      <c r="AG10" s="14">
        <f>SUMIFS(TB!AM:AM,TB!$J:$J,$C10)</f>
        <v>403.25552000000005</v>
      </c>
      <c r="AH10" s="14">
        <f>SUMIFS(TB!AN:AN,TB!$J:$J,$C10)</f>
        <v>403.25552000000005</v>
      </c>
      <c r="AI10" s="14">
        <f>SUMIFS(TB!AO:AO,TB!$J:$J,$C10)</f>
        <v>403.25552000000005</v>
      </c>
      <c r="AJ10" s="14"/>
      <c r="AK10" s="14">
        <f>P10</f>
        <v>240.40911</v>
      </c>
      <c r="AL10" s="14">
        <f>AB10</f>
        <v>312.08411000000001</v>
      </c>
      <c r="AM10" s="14">
        <f>AI10</f>
        <v>403.25552000000005</v>
      </c>
      <c r="AN10" s="14"/>
      <c r="AO10" s="14">
        <f>IFERROR(AVERAGE(AG10:AI10),0)</f>
        <v>403.25551999999999</v>
      </c>
      <c r="AP10" s="14">
        <f>IFERROR(AVERAGE(AD10:AI10),0)</f>
        <v>375.35552000000007</v>
      </c>
      <c r="AQ10" s="14">
        <f>IFERROR(AVERAGE(AA10:AI10),0)</f>
        <v>354.26187333333337</v>
      </c>
      <c r="AR10" s="14">
        <f>IFERROR(AVERAGE(X10:AI10),0)</f>
        <v>343.71743250000003</v>
      </c>
    </row>
    <row r="11" spans="1:44" ht="11.25" customHeight="1" x14ac:dyDescent="0.2">
      <c r="C11" t="s">
        <v>146</v>
      </c>
      <c r="D11" s="4"/>
      <c r="E11" s="29">
        <f>SUM(E9:E10)</f>
        <v>1634.4889000000001</v>
      </c>
      <c r="F11" s="29">
        <f>SUM(F9:F10)</f>
        <v>1515.8343100000002</v>
      </c>
      <c r="G11" s="29">
        <f>SUM(G9:G10)</f>
        <v>1285.8185500000002</v>
      </c>
      <c r="H11" s="29">
        <f>SUM(H9:H10)</f>
        <v>1744.66732</v>
      </c>
      <c r="I11" s="29">
        <f>SUM(I9:I10)</f>
        <v>1893.5655899999999</v>
      </c>
      <c r="J11" s="29">
        <f>SUM(J9:J10)</f>
        <v>1712.3810799999999</v>
      </c>
      <c r="K11" s="29">
        <f>SUM(K9:K10)</f>
        <v>1802.0490499999999</v>
      </c>
      <c r="L11" s="29">
        <f>SUM(L9:L10)</f>
        <v>1828.55198</v>
      </c>
      <c r="M11" s="29">
        <f>SUM(M9:M10)</f>
        <v>2956.0589800000002</v>
      </c>
      <c r="N11" s="29">
        <f>SUM(N9:N10)</f>
        <v>3328.94526</v>
      </c>
      <c r="O11" s="29">
        <f>SUM(O9:O10)</f>
        <v>3360.91174</v>
      </c>
      <c r="P11" s="29">
        <f>SUM(P9:P10)</f>
        <v>2467.13717</v>
      </c>
      <c r="Q11" s="29">
        <f>SUM(Q9:Q10)</f>
        <v>2552.3519000000001</v>
      </c>
      <c r="R11" s="29">
        <f>SUM(R9:R10)</f>
        <v>2457.46513</v>
      </c>
      <c r="S11" s="29">
        <f>SUM(S9:S10)</f>
        <v>2590.8992799999996</v>
      </c>
      <c r="T11" s="29">
        <f>SUM(T9:T10)</f>
        <v>2431.6507199999996</v>
      </c>
      <c r="U11" s="29">
        <f>SUM(U9:U10)</f>
        <v>2430.7370000000001</v>
      </c>
      <c r="V11" s="29">
        <f>SUM(V9:V10)</f>
        <v>2168.6964600000001</v>
      </c>
      <c r="W11" s="29">
        <f>SUM(W9:W10)</f>
        <v>2132.2815499999997</v>
      </c>
      <c r="X11" s="29">
        <f>SUM(X9:X10)</f>
        <v>2394.8332499999997</v>
      </c>
      <c r="Y11" s="29">
        <f>SUM(Y9:Y10)</f>
        <v>2701.4361799999997</v>
      </c>
      <c r="Z11" s="29">
        <f>SUM(Z9:Z10)</f>
        <v>3318.5348999999997</v>
      </c>
      <c r="AA11" s="29">
        <f>SUM(AA9:AA10)</f>
        <v>2791.1657299999997</v>
      </c>
      <c r="AB11" s="29">
        <f>SUM(AB9:AB10)</f>
        <v>2857.098</v>
      </c>
      <c r="AC11" s="29">
        <f>SUM(AC9:AC10)</f>
        <v>2540.75189</v>
      </c>
      <c r="AD11" s="29">
        <f>SUM(AD9:AD10)</f>
        <v>2423.83347</v>
      </c>
      <c r="AE11" s="29">
        <f>SUM(AE9:AE10)</f>
        <v>2106.0055499999999</v>
      </c>
      <c r="AF11" s="29">
        <f>SUM(AF9:AF10)</f>
        <v>2154.0578599999999</v>
      </c>
      <c r="AG11" s="29">
        <f>SUM(AG9:AG10)</f>
        <v>2093.9210800000001</v>
      </c>
      <c r="AH11" s="29">
        <f>SUM(AH9:AH10)</f>
        <v>2007.01935</v>
      </c>
      <c r="AI11" s="29">
        <f>SUM(AI9:AI10)</f>
        <v>1764.08347</v>
      </c>
      <c r="AJ11" s="29"/>
      <c r="AK11" s="29">
        <f>SUM(AK9:AK10)</f>
        <v>2467.13717</v>
      </c>
      <c r="AL11" s="29">
        <f>SUM(AL9:AL10)</f>
        <v>2857.098</v>
      </c>
      <c r="AM11" s="29">
        <f>SUM(AM9:AM10)</f>
        <v>1764.08347</v>
      </c>
      <c r="AN11" s="29"/>
      <c r="AO11" s="29">
        <f>SUM(AO9:AO10)</f>
        <v>1955.0079666666666</v>
      </c>
      <c r="AP11" s="29">
        <f>SUM(AP9:AP10)</f>
        <v>2091.486796666667</v>
      </c>
      <c r="AQ11" s="29">
        <f>SUM(AQ9:AQ10)</f>
        <v>2304.2151555555556</v>
      </c>
      <c r="AR11" s="29">
        <f>SUM(AR9:AR10)</f>
        <v>2429.3950608333334</v>
      </c>
    </row>
    <row r="12" spans="1:44" s="58" customFormat="1" ht="6" customHeight="1" outlineLevel="1" x14ac:dyDescent="0.2">
      <c r="D12" s="60"/>
      <c r="E12" s="59"/>
      <c r="F12" s="59"/>
      <c r="G12" s="59"/>
      <c r="H12" s="59"/>
      <c r="I12" s="59"/>
      <c r="J12" s="59"/>
      <c r="K12" s="59"/>
      <c r="L12" s="59"/>
      <c r="M12" s="59"/>
      <c r="N12" s="59"/>
      <c r="O12" s="59"/>
      <c r="P12" s="59"/>
      <c r="Q12" s="59"/>
      <c r="R12" s="59"/>
      <c r="S12" s="59"/>
      <c r="T12" s="59"/>
      <c r="U12" s="59"/>
      <c r="V12" s="59"/>
      <c r="W12" s="59"/>
      <c r="X12" s="59"/>
      <c r="Y12" s="59"/>
      <c r="Z12" s="59"/>
      <c r="AA12" s="59"/>
      <c r="AB12" s="59"/>
      <c r="AC12" s="59"/>
      <c r="AD12" s="59"/>
      <c r="AE12" s="59"/>
      <c r="AF12" s="59"/>
      <c r="AG12" s="59"/>
      <c r="AH12" s="59"/>
      <c r="AI12" s="59"/>
      <c r="AJ12" s="59"/>
      <c r="AK12" s="59"/>
      <c r="AL12" s="59"/>
      <c r="AM12" s="59"/>
      <c r="AN12" s="59"/>
      <c r="AO12" s="59"/>
      <c r="AP12" s="59"/>
      <c r="AQ12" s="59"/>
      <c r="AR12" s="59"/>
    </row>
    <row r="13" spans="1:44" ht="11.25" customHeight="1" outlineLevel="1" x14ac:dyDescent="0.2">
      <c r="C13" s="17" t="s">
        <v>176</v>
      </c>
      <c r="D13" s="15"/>
      <c r="E13" s="14">
        <f>SUMIFS(TB!K:K,TB!$J:$J,$C13)</f>
        <v>298.09100000000001</v>
      </c>
      <c r="F13" s="14">
        <f>SUMIFS(TB!L:L,TB!$J:$J,$C13)</f>
        <v>347.89449999999999</v>
      </c>
      <c r="G13" s="14">
        <f>SUMIFS(TB!M:M,TB!$J:$J,$C13)</f>
        <v>766.23199999999997</v>
      </c>
      <c r="H13" s="14">
        <f>SUMIFS(TB!N:N,TB!$J:$J,$C13)</f>
        <v>528.95699999999999</v>
      </c>
      <c r="I13" s="14">
        <f>SUMIFS(TB!O:O,TB!$J:$J,$C13)</f>
        <v>459.32799999999997</v>
      </c>
      <c r="J13" s="14">
        <f>SUMIFS(TB!P:P,TB!$J:$J,$C13)</f>
        <v>637.95600000000002</v>
      </c>
      <c r="K13" s="14">
        <f>SUMIFS(TB!Q:Q,TB!$J:$J,$C13)</f>
        <v>751.57500000000005</v>
      </c>
      <c r="L13" s="14">
        <f>SUMIFS(TB!R:R,TB!$J:$J,$C13)</f>
        <v>1371.4255000000001</v>
      </c>
      <c r="M13" s="14">
        <f>SUMIFS(TB!S:S,TB!$J:$J,$C13)</f>
        <v>911.52850000000001</v>
      </c>
      <c r="N13" s="14">
        <f>SUMIFS(TB!T:T,TB!$J:$J,$C13)</f>
        <v>371.55950000000001</v>
      </c>
      <c r="O13" s="14">
        <f>SUMIFS(TB!U:U,TB!$J:$J,$C13)</f>
        <v>371.72050000000002</v>
      </c>
      <c r="P13" s="14">
        <f>SUMIFS(TB!V:V,TB!$J:$J,$C13)</f>
        <v>636.87599999999998</v>
      </c>
      <c r="Q13" s="14">
        <f>SUMIFS(TB!W:W,TB!$J:$J,$C13)</f>
        <v>542.14649999999995</v>
      </c>
      <c r="R13" s="14">
        <f>SUMIFS(TB!X:X,TB!$J:$J,$C13)</f>
        <v>717.08450000000005</v>
      </c>
      <c r="S13" s="14">
        <f>SUMIFS(TB!Y:Y,TB!$J:$J,$C13)</f>
        <v>468.52699999999999</v>
      </c>
      <c r="T13" s="14">
        <f>SUMIFS(TB!Z:Z,TB!$J:$J,$C13)</f>
        <v>427.88400000000001</v>
      </c>
      <c r="U13" s="14">
        <f>SUMIFS(TB!AA:AA,TB!$J:$J,$C13)</f>
        <v>521.29499999999996</v>
      </c>
      <c r="V13" s="14">
        <f>SUMIFS(TB!AB:AB,TB!$J:$J,$C13)</f>
        <v>547.44899999999996</v>
      </c>
      <c r="W13" s="14">
        <f>SUMIFS(TB!AC:AC,TB!$J:$J,$C13)</f>
        <v>471.65699999999998</v>
      </c>
      <c r="X13" s="14">
        <f>SUMIFS(TB!AD:AD,TB!$J:$J,$C13)</f>
        <v>917.83900000000006</v>
      </c>
      <c r="Y13" s="14">
        <f>SUMIFS(TB!AE:AE,TB!$J:$J,$C13)</f>
        <v>1105.5360000000001</v>
      </c>
      <c r="Z13" s="14">
        <f>SUMIFS(TB!AF:AF,TB!$J:$J,$C13)</f>
        <v>329.661</v>
      </c>
      <c r="AA13" s="14">
        <f>SUMIFS(TB!AG:AG,TB!$J:$J,$C13)</f>
        <v>727.59749999999997</v>
      </c>
      <c r="AB13" s="14">
        <f>SUMIFS(TB!AH:AH,TB!$J:$J,$C13)</f>
        <v>597.9</v>
      </c>
      <c r="AC13" s="14">
        <f>SUMIFS(TB!AI:AI,TB!$J:$J,$C13)</f>
        <v>557.57299999999998</v>
      </c>
      <c r="AD13" s="14">
        <f>SUMIFS(TB!AJ:AJ,TB!$J:$J,$C13)</f>
        <v>512</v>
      </c>
      <c r="AE13" s="14">
        <f>SUMIFS(TB!AK:AK,TB!$J:$J,$C13)</f>
        <v>996.39009999999996</v>
      </c>
      <c r="AF13" s="14">
        <f>SUMIFS(TB!AL:AL,TB!$J:$J,$C13)</f>
        <v>636.00360000000001</v>
      </c>
      <c r="AG13" s="14">
        <f>SUMIFS(TB!AM:AM,TB!$J:$J,$C13)</f>
        <v>608.91700000000003</v>
      </c>
      <c r="AH13" s="14">
        <f>SUMIFS(TB!AN:AN,TB!$J:$J,$C13)</f>
        <v>836.82</v>
      </c>
      <c r="AI13" s="14">
        <f>SUMIFS(TB!AO:AO,TB!$J:$J,$C13)</f>
        <v>770.76300000000003</v>
      </c>
      <c r="AJ13" s="14"/>
      <c r="AK13" s="14">
        <f>P13</f>
        <v>636.87599999999998</v>
      </c>
      <c r="AL13" s="14">
        <f>AB13</f>
        <v>597.9</v>
      </c>
      <c r="AM13" s="14">
        <f>AI13</f>
        <v>770.76300000000003</v>
      </c>
      <c r="AN13" s="14"/>
      <c r="AO13" s="14">
        <f>IFERROR(AVERAGE(AG13:AI13),0)</f>
        <v>738.83333333333337</v>
      </c>
      <c r="AP13" s="14">
        <f>IFERROR(AVERAGE(AD13:AI13),0)</f>
        <v>726.81561666666676</v>
      </c>
      <c r="AQ13" s="14">
        <f>IFERROR(AVERAGE(AA13:AI13),0)</f>
        <v>693.77379999999994</v>
      </c>
      <c r="AR13" s="14">
        <f>IFERROR(AVERAGE(X13:AI13),0)</f>
        <v>716.41668333333337</v>
      </c>
    </row>
    <row r="14" spans="1:44" ht="11.25" customHeight="1" x14ac:dyDescent="0.2">
      <c r="C14" t="s">
        <v>175</v>
      </c>
      <c r="D14" s="4"/>
      <c r="E14" s="2">
        <f>SUM(E13:E13)</f>
        <v>298.09100000000001</v>
      </c>
      <c r="F14" s="2">
        <f>SUM(F13:F13)</f>
        <v>347.89449999999999</v>
      </c>
      <c r="G14" s="2">
        <f>SUM(G13:G13)</f>
        <v>766.23199999999997</v>
      </c>
      <c r="H14" s="2">
        <f>SUM(H13:H13)</f>
        <v>528.95699999999999</v>
      </c>
      <c r="I14" s="2">
        <f>SUM(I13:I13)</f>
        <v>459.32799999999997</v>
      </c>
      <c r="J14" s="2">
        <f>SUM(J13:J13)</f>
        <v>637.95600000000002</v>
      </c>
      <c r="K14" s="2">
        <f>SUM(K13:K13)</f>
        <v>751.57500000000005</v>
      </c>
      <c r="L14" s="2">
        <f>SUM(L13:L13)</f>
        <v>1371.4255000000001</v>
      </c>
      <c r="M14" s="2">
        <f>SUM(M13:M13)</f>
        <v>911.52850000000001</v>
      </c>
      <c r="N14" s="2">
        <f>SUM(N13:N13)</f>
        <v>371.55950000000001</v>
      </c>
      <c r="O14" s="2">
        <f>SUM(O13:O13)</f>
        <v>371.72050000000002</v>
      </c>
      <c r="P14" s="2">
        <f>SUM(P13:P13)</f>
        <v>636.87599999999998</v>
      </c>
      <c r="Q14" s="2">
        <f>SUM(Q13:Q13)</f>
        <v>542.14649999999995</v>
      </c>
      <c r="R14" s="2">
        <f>SUM(R13:R13)</f>
        <v>717.08450000000005</v>
      </c>
      <c r="S14" s="2">
        <f>SUM(S13:S13)</f>
        <v>468.52699999999999</v>
      </c>
      <c r="T14" s="2">
        <f>SUM(T13:T13)</f>
        <v>427.88400000000001</v>
      </c>
      <c r="U14" s="2">
        <f>SUM(U13:U13)</f>
        <v>521.29499999999996</v>
      </c>
      <c r="V14" s="2">
        <f>SUM(V13:V13)</f>
        <v>547.44899999999996</v>
      </c>
      <c r="W14" s="2">
        <f>SUM(W13:W13)</f>
        <v>471.65699999999998</v>
      </c>
      <c r="X14" s="2">
        <f>SUM(X13:X13)</f>
        <v>917.83900000000006</v>
      </c>
      <c r="Y14" s="2">
        <f>SUM(Y13:Y13)</f>
        <v>1105.5360000000001</v>
      </c>
      <c r="Z14" s="2">
        <f>SUM(Z13:Z13)</f>
        <v>329.661</v>
      </c>
      <c r="AA14" s="2">
        <f>SUM(AA13:AA13)</f>
        <v>727.59749999999997</v>
      </c>
      <c r="AB14" s="2">
        <f>SUM(AB13:AB13)</f>
        <v>597.9</v>
      </c>
      <c r="AC14" s="2">
        <f>SUM(AC13:AC13)</f>
        <v>557.57299999999998</v>
      </c>
      <c r="AD14" s="2">
        <f>SUM(AD13:AD13)</f>
        <v>512</v>
      </c>
      <c r="AE14" s="2">
        <f>SUM(AE13:AE13)</f>
        <v>996.39009999999996</v>
      </c>
      <c r="AF14" s="2">
        <f>SUM(AF13:AF13)</f>
        <v>636.00360000000001</v>
      </c>
      <c r="AG14" s="2">
        <f>SUM(AG13:AG13)</f>
        <v>608.91700000000003</v>
      </c>
      <c r="AH14" s="2">
        <f>SUM(AH13:AH13)</f>
        <v>836.82</v>
      </c>
      <c r="AI14" s="2">
        <f>SUM(AI13:AI13)</f>
        <v>770.76300000000003</v>
      </c>
      <c r="AJ14" s="2"/>
      <c r="AK14" s="2">
        <f>SUM(AK13:AK13)</f>
        <v>636.87599999999998</v>
      </c>
      <c r="AL14" s="2">
        <f>SUM(AL13:AL13)</f>
        <v>597.9</v>
      </c>
      <c r="AM14" s="2">
        <f>SUM(AM13:AM13)</f>
        <v>770.76300000000003</v>
      </c>
      <c r="AN14" s="2"/>
      <c r="AO14" s="2">
        <f>SUM(AO13:AO13)</f>
        <v>738.83333333333337</v>
      </c>
      <c r="AP14" s="2">
        <f>SUM(AP13:AP13)</f>
        <v>726.81561666666676</v>
      </c>
      <c r="AQ14" s="2">
        <f>SUM(AQ13:AQ13)</f>
        <v>693.77379999999994</v>
      </c>
      <c r="AR14" s="2">
        <f>SUM(AR13:AR13)</f>
        <v>716.41668333333337</v>
      </c>
    </row>
    <row r="15" spans="1:44" ht="6" customHeight="1" outlineLevel="1" x14ac:dyDescent="0.2">
      <c r="D15" s="4"/>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row>
    <row r="16" spans="1:44" ht="11.25" customHeight="1" outlineLevel="1" x14ac:dyDescent="0.2">
      <c r="C16" t="s">
        <v>174</v>
      </c>
      <c r="D16" s="4"/>
      <c r="E16" s="2">
        <f>SUMIFS(TB!K:K,TB!$J:$J,$C16)</f>
        <v>0.3</v>
      </c>
      <c r="F16" s="2">
        <f>SUMIFS(TB!L:L,TB!$J:$J,$C16)</f>
        <v>0.3</v>
      </c>
      <c r="G16" s="2">
        <f>SUMIFS(TB!M:M,TB!$J:$J,$C16)</f>
        <v>0.3</v>
      </c>
      <c r="H16" s="2">
        <f>SUMIFS(TB!N:N,TB!$J:$J,$C16)</f>
        <v>0.3</v>
      </c>
      <c r="I16" s="2">
        <f>SUMIFS(TB!O:O,TB!$J:$J,$C16)</f>
        <v>0.3</v>
      </c>
      <c r="J16" s="2">
        <f>SUMIFS(TB!P:P,TB!$J:$J,$C16)</f>
        <v>0.3</v>
      </c>
      <c r="K16" s="2">
        <f>SUMIFS(TB!Q:Q,TB!$J:$J,$C16)</f>
        <v>0.3</v>
      </c>
      <c r="L16" s="2">
        <f>SUMIFS(TB!R:R,TB!$J:$J,$C16)</f>
        <v>0.3</v>
      </c>
      <c r="M16" s="2">
        <f>SUMIFS(TB!S:S,TB!$J:$J,$C16)</f>
        <v>0.3</v>
      </c>
      <c r="N16" s="2">
        <f>SUMIFS(TB!T:T,TB!$J:$J,$C16)</f>
        <v>0.3</v>
      </c>
      <c r="O16" s="2">
        <f>SUMIFS(TB!U:U,TB!$J:$J,$C16)</f>
        <v>0.3</v>
      </c>
      <c r="P16" s="2">
        <f>SUMIFS(TB!V:V,TB!$J:$J,$C16)</f>
        <v>0.3</v>
      </c>
      <c r="Q16" s="2">
        <f>SUMIFS(TB!W:W,TB!$J:$J,$C16)</f>
        <v>0.3</v>
      </c>
      <c r="R16" s="2">
        <f>SUMIFS(TB!X:X,TB!$J:$J,$C16)</f>
        <v>0.3</v>
      </c>
      <c r="S16" s="2">
        <f>SUMIFS(TB!Y:Y,TB!$J:$J,$C16)</f>
        <v>0.3</v>
      </c>
      <c r="T16" s="2">
        <f>SUMIFS(TB!Z:Z,TB!$J:$J,$C16)</f>
        <v>0.3</v>
      </c>
      <c r="U16" s="2">
        <f>SUMIFS(TB!AA:AA,TB!$J:$J,$C16)</f>
        <v>0.3</v>
      </c>
      <c r="V16" s="2">
        <f>SUMIFS(TB!AB:AB,TB!$J:$J,$C16)</f>
        <v>2.9390000000000001</v>
      </c>
      <c r="W16" s="2">
        <f>SUMIFS(TB!AC:AC,TB!$J:$J,$C16)</f>
        <v>2.9390000000000001</v>
      </c>
      <c r="X16" s="2">
        <f>SUMIFS(TB!AD:AD,TB!$J:$J,$C16)</f>
        <v>2.9390000000000001</v>
      </c>
      <c r="Y16" s="2">
        <f>SUMIFS(TB!AE:AE,TB!$J:$J,$C16)</f>
        <v>2.9390000000000001</v>
      </c>
      <c r="Z16" s="2">
        <f>SUMIFS(TB!AF:AF,TB!$J:$J,$C16)</f>
        <v>2.9390000000000001</v>
      </c>
      <c r="AA16" s="2">
        <f>SUMIFS(TB!AG:AG,TB!$J:$J,$C16)</f>
        <v>2.9390000000000001</v>
      </c>
      <c r="AB16" s="2">
        <f>SUMIFS(TB!AH:AH,TB!$J:$J,$C16)</f>
        <v>2.9390000000000001</v>
      </c>
      <c r="AC16" s="2">
        <f>SUMIFS(TB!AI:AI,TB!$J:$J,$C16)</f>
        <v>2.9390000000000001</v>
      </c>
      <c r="AD16" s="2">
        <f>SUMIFS(TB!AJ:AJ,TB!$J:$J,$C16)</f>
        <v>2.9390000000000001</v>
      </c>
      <c r="AE16" s="2">
        <f>SUMIFS(TB!AK:AK,TB!$J:$J,$C16)</f>
        <v>2.9390000000000001</v>
      </c>
      <c r="AF16" s="2">
        <f>SUMIFS(TB!AL:AL,TB!$J:$J,$C16)</f>
        <v>2.9390000000000001</v>
      </c>
      <c r="AG16" s="2">
        <f>SUMIFS(TB!AM:AM,TB!$J:$J,$C16)</f>
        <v>2.9390000000000001</v>
      </c>
      <c r="AH16" s="2">
        <f>SUMIFS(TB!AN:AN,TB!$J:$J,$C16)</f>
        <v>2.9390000000000001</v>
      </c>
      <c r="AI16" s="2">
        <f>SUMIFS(TB!AO:AO,TB!$J:$J,$C16)</f>
        <v>2.9390000000000001</v>
      </c>
      <c r="AJ16" s="2"/>
      <c r="AK16" s="2">
        <f>P16</f>
        <v>0.3</v>
      </c>
      <c r="AL16" s="2">
        <f>AB16</f>
        <v>2.9390000000000001</v>
      </c>
      <c r="AM16" s="2">
        <f>AI16</f>
        <v>2.9390000000000001</v>
      </c>
      <c r="AN16" s="2"/>
      <c r="AO16" s="2">
        <f>IFERROR(AVERAGE(AG16:AI16),0)</f>
        <v>2.9390000000000001</v>
      </c>
      <c r="AP16" s="2">
        <f>IFERROR(AVERAGE(AD16:AI16),0)</f>
        <v>2.9390000000000001</v>
      </c>
      <c r="AQ16" s="2">
        <f>IFERROR(AVERAGE(AA16:AI16),0)</f>
        <v>2.9390000000000001</v>
      </c>
      <c r="AR16" s="2">
        <f>IFERROR(AVERAGE(X16:AI16),0)</f>
        <v>2.9390000000000001</v>
      </c>
    </row>
    <row r="17" spans="3:44" ht="11.25" customHeight="1" outlineLevel="1" x14ac:dyDescent="0.2">
      <c r="C17" t="s">
        <v>173</v>
      </c>
      <c r="D17" s="4"/>
      <c r="E17" s="2">
        <f>SUMIFS(TB!K:K,TB!$J:$J,$C17)</f>
        <v>0</v>
      </c>
      <c r="F17" s="2">
        <f>SUMIFS(TB!L:L,TB!$J:$J,$C17)</f>
        <v>0</v>
      </c>
      <c r="G17" s="2">
        <f>SUMIFS(TB!M:M,TB!$J:$J,$C17)</f>
        <v>0</v>
      </c>
      <c r="H17" s="2">
        <f>SUMIFS(TB!N:N,TB!$J:$J,$C17)</f>
        <v>0</v>
      </c>
      <c r="I17" s="2">
        <f>SUMIFS(TB!O:O,TB!$J:$J,$C17)</f>
        <v>0</v>
      </c>
      <c r="J17" s="2">
        <f>SUMIFS(TB!P:P,TB!$J:$J,$C17)</f>
        <v>0</v>
      </c>
      <c r="K17" s="2">
        <f>SUMIFS(TB!Q:Q,TB!$J:$J,$C17)</f>
        <v>0</v>
      </c>
      <c r="L17" s="2">
        <f>SUMIFS(TB!R:R,TB!$J:$J,$C17)</f>
        <v>0</v>
      </c>
      <c r="M17" s="2">
        <f>SUMIFS(TB!S:S,TB!$J:$J,$C17)</f>
        <v>0</v>
      </c>
      <c r="N17" s="2">
        <f>SUMIFS(TB!T:T,TB!$J:$J,$C17)</f>
        <v>0</v>
      </c>
      <c r="O17" s="2">
        <f>SUMIFS(TB!U:U,TB!$J:$J,$C17)</f>
        <v>0</v>
      </c>
      <c r="P17" s="2">
        <f>SUMIFS(TB!V:V,TB!$J:$J,$C17)</f>
        <v>0</v>
      </c>
      <c r="Q17" s="2">
        <f>SUMIFS(TB!W:W,TB!$J:$J,$C17)</f>
        <v>0</v>
      </c>
      <c r="R17" s="2">
        <f>SUMIFS(TB!X:X,TB!$J:$J,$C17)</f>
        <v>0</v>
      </c>
      <c r="S17" s="2">
        <f>SUMIFS(TB!Y:Y,TB!$J:$J,$C17)</f>
        <v>0</v>
      </c>
      <c r="T17" s="2">
        <f>SUMIFS(TB!Z:Z,TB!$J:$J,$C17)</f>
        <v>0</v>
      </c>
      <c r="U17" s="2">
        <f>SUMIFS(TB!AA:AA,TB!$J:$J,$C17)</f>
        <v>0</v>
      </c>
      <c r="V17" s="2">
        <f>SUMIFS(TB!AB:AB,TB!$J:$J,$C17)</f>
        <v>0</v>
      </c>
      <c r="W17" s="2">
        <f>SUMIFS(TB!AC:AC,TB!$J:$J,$C17)</f>
        <v>0</v>
      </c>
      <c r="X17" s="2">
        <f>SUMIFS(TB!AD:AD,TB!$J:$J,$C17)</f>
        <v>0</v>
      </c>
      <c r="Y17" s="2">
        <f>SUMIFS(TB!AE:AE,TB!$J:$J,$C17)</f>
        <v>0</v>
      </c>
      <c r="Z17" s="2">
        <f>SUMIFS(TB!AF:AF,TB!$J:$J,$C17)</f>
        <v>0</v>
      </c>
      <c r="AA17" s="2">
        <f>SUMIFS(TB!AG:AG,TB!$J:$J,$C17)</f>
        <v>1.3</v>
      </c>
      <c r="AB17" s="2">
        <f>SUMIFS(TB!AH:AH,TB!$J:$J,$C17)</f>
        <v>1.3</v>
      </c>
      <c r="AC17" s="2">
        <f>SUMIFS(TB!AI:AI,TB!$J:$J,$C17)</f>
        <v>1.3</v>
      </c>
      <c r="AD17" s="2">
        <f>SUMIFS(TB!AJ:AJ,TB!$J:$J,$C17)</f>
        <v>1.3</v>
      </c>
      <c r="AE17" s="2">
        <f>SUMIFS(TB!AK:AK,TB!$J:$J,$C17)</f>
        <v>1.3</v>
      </c>
      <c r="AF17" s="2">
        <f>SUMIFS(TB!AL:AL,TB!$J:$J,$C17)</f>
        <v>1.3</v>
      </c>
      <c r="AG17" s="2">
        <f>SUMIFS(TB!AM:AM,TB!$J:$J,$C17)</f>
        <v>1.3</v>
      </c>
      <c r="AH17" s="2">
        <f>SUMIFS(TB!AN:AN,TB!$J:$J,$C17)</f>
        <v>1.3</v>
      </c>
      <c r="AI17" s="2">
        <f>SUMIFS(TB!AO:AO,TB!$J:$J,$C17)</f>
        <v>1.3</v>
      </c>
      <c r="AJ17" s="2"/>
      <c r="AK17" s="2">
        <f>P17</f>
        <v>0</v>
      </c>
      <c r="AL17" s="2">
        <f>AB17</f>
        <v>1.3</v>
      </c>
      <c r="AM17" s="2">
        <f>AI17</f>
        <v>1.3</v>
      </c>
      <c r="AN17" s="2"/>
      <c r="AO17" s="2">
        <f>IFERROR(AVERAGE(AG17:AI17),0)</f>
        <v>1.3</v>
      </c>
      <c r="AP17" s="2">
        <f>IFERROR(AVERAGE(AD17:AI17),0)</f>
        <v>1.3</v>
      </c>
      <c r="AQ17" s="2">
        <f>IFERROR(AVERAGE(AA17:AI17),0)</f>
        <v>1.3</v>
      </c>
      <c r="AR17" s="2">
        <f>IFERROR(AVERAGE(X17:AI17),0)</f>
        <v>0.97500000000000009</v>
      </c>
    </row>
    <row r="18" spans="3:44" ht="11.25" customHeight="1" outlineLevel="1" x14ac:dyDescent="0.2">
      <c r="C18" t="s">
        <v>172</v>
      </c>
      <c r="D18" s="4"/>
      <c r="E18" s="2">
        <f>SUMIFS(TB!K:K,TB!$J:$J,$C18)</f>
        <v>0</v>
      </c>
      <c r="F18" s="2">
        <f>SUMIFS(TB!L:L,TB!$J:$J,$C18)</f>
        <v>0</v>
      </c>
      <c r="G18" s="2">
        <f>SUMIFS(TB!M:M,TB!$J:$J,$C18)</f>
        <v>0</v>
      </c>
      <c r="H18" s="2">
        <f>SUMIFS(TB!N:N,TB!$J:$J,$C18)</f>
        <v>5.2520000000000004E-2</v>
      </c>
      <c r="I18" s="2">
        <f>SUMIFS(TB!O:O,TB!$J:$J,$C18)</f>
        <v>5.2520000000000004E-2</v>
      </c>
      <c r="J18" s="2">
        <f>SUMIFS(TB!P:P,TB!$J:$J,$C18)</f>
        <v>5.2520000000000004E-2</v>
      </c>
      <c r="K18" s="2">
        <f>SUMIFS(TB!Q:Q,TB!$J:$J,$C18)</f>
        <v>5.2520000000000004E-2</v>
      </c>
      <c r="L18" s="2">
        <f>SUMIFS(TB!R:R,TB!$J:$J,$C18)</f>
        <v>5.2520000000000004E-2</v>
      </c>
      <c r="M18" s="2">
        <f>SUMIFS(TB!S:S,TB!$J:$J,$C18)</f>
        <v>5.2520000000000004E-2</v>
      </c>
      <c r="N18" s="2">
        <f>SUMIFS(TB!T:T,TB!$J:$J,$C18)</f>
        <v>5.2520000000000004E-2</v>
      </c>
      <c r="O18" s="2">
        <f>SUMIFS(TB!U:U,TB!$J:$J,$C18)</f>
        <v>5.2520000000000004E-2</v>
      </c>
      <c r="P18" s="2">
        <f>SUMIFS(TB!V:V,TB!$J:$J,$C18)</f>
        <v>5.2520000000000004E-2</v>
      </c>
      <c r="Q18" s="2">
        <f>SUMIFS(TB!W:W,TB!$J:$J,$C18)</f>
        <v>5.2520000000000004E-2</v>
      </c>
      <c r="R18" s="2">
        <f>SUMIFS(TB!X:X,TB!$J:$J,$C18)</f>
        <v>5.2520000000000004E-2</v>
      </c>
      <c r="S18" s="2">
        <f>SUMIFS(TB!Y:Y,TB!$J:$J,$C18)</f>
        <v>5.2520000000000004E-2</v>
      </c>
      <c r="T18" s="2">
        <f>SUMIFS(TB!Z:Z,TB!$J:$J,$C18)</f>
        <v>5.2520000000000004E-2</v>
      </c>
      <c r="U18" s="2">
        <f>SUMIFS(TB!AA:AA,TB!$J:$J,$C18)</f>
        <v>5.2520000000000004E-2</v>
      </c>
      <c r="V18" s="2">
        <f>SUMIFS(TB!AB:AB,TB!$J:$J,$C18)</f>
        <v>5.2520000000000004E-2</v>
      </c>
      <c r="W18" s="2">
        <f>SUMIFS(TB!AC:AC,TB!$J:$J,$C18)</f>
        <v>5.2520000000000004E-2</v>
      </c>
      <c r="X18" s="2">
        <f>SUMIFS(TB!AD:AD,TB!$J:$J,$C18)</f>
        <v>5.2520000000000004E-2</v>
      </c>
      <c r="Y18" s="2">
        <f>SUMIFS(TB!AE:AE,TB!$J:$J,$C18)</f>
        <v>5.2520000000000004E-2</v>
      </c>
      <c r="Z18" s="2">
        <f>SUMIFS(TB!AF:AF,TB!$J:$J,$C18)</f>
        <v>5.2520000000000004E-2</v>
      </c>
      <c r="AA18" s="2">
        <f>SUMIFS(TB!AG:AG,TB!$J:$J,$C18)</f>
        <v>5.2520000000000004E-2</v>
      </c>
      <c r="AB18" s="2">
        <f>SUMIFS(TB!AH:AH,TB!$J:$J,$C18)</f>
        <v>5.2520000000000004E-2</v>
      </c>
      <c r="AC18" s="2">
        <f>SUMIFS(TB!AI:AI,TB!$J:$J,$C18)</f>
        <v>5.2520000000000004E-2</v>
      </c>
      <c r="AD18" s="2">
        <f>SUMIFS(TB!AJ:AJ,TB!$J:$J,$C18)</f>
        <v>5.2520000000000004E-2</v>
      </c>
      <c r="AE18" s="2">
        <f>SUMIFS(TB!AK:AK,TB!$J:$J,$C18)</f>
        <v>5.2520000000000004E-2</v>
      </c>
      <c r="AF18" s="2">
        <f>SUMIFS(TB!AL:AL,TB!$J:$J,$C18)</f>
        <v>5.2520000000000004E-2</v>
      </c>
      <c r="AG18" s="2">
        <f>SUMIFS(TB!AM:AM,TB!$J:$J,$C18)</f>
        <v>5.2520000000000004E-2</v>
      </c>
      <c r="AH18" s="2">
        <f>SUMIFS(TB!AN:AN,TB!$J:$J,$C18)</f>
        <v>5.2520000000000004E-2</v>
      </c>
      <c r="AI18" s="2">
        <f>SUMIFS(TB!AO:AO,TB!$J:$J,$C18)</f>
        <v>5.2520000000000004E-2</v>
      </c>
      <c r="AJ18" s="2"/>
      <c r="AK18" s="2">
        <f>P18</f>
        <v>5.2520000000000004E-2</v>
      </c>
      <c r="AL18" s="2">
        <f>AB18</f>
        <v>5.2520000000000004E-2</v>
      </c>
      <c r="AM18" s="2">
        <f>AI18</f>
        <v>5.2520000000000004E-2</v>
      </c>
      <c r="AN18" s="2"/>
      <c r="AO18" s="2">
        <f>IFERROR(AVERAGE(AG18:AI18),0)</f>
        <v>5.2520000000000004E-2</v>
      </c>
      <c r="AP18" s="2">
        <f>IFERROR(AVERAGE(AD18:AI18),0)</f>
        <v>5.2520000000000004E-2</v>
      </c>
      <c r="AQ18" s="2">
        <f>IFERROR(AVERAGE(AA18:AI18),0)</f>
        <v>5.2520000000000004E-2</v>
      </c>
      <c r="AR18" s="2">
        <f>IFERROR(AVERAGE(X18:AI18),0)</f>
        <v>5.2520000000000004E-2</v>
      </c>
    </row>
    <row r="19" spans="3:44" ht="11.25" customHeight="1" outlineLevel="1" x14ac:dyDescent="0.2">
      <c r="C19" t="s">
        <v>171</v>
      </c>
      <c r="D19" s="4"/>
      <c r="E19" s="2">
        <f>SUMIFS(TB!K:K,TB!$J:$J,$C19)</f>
        <v>2.887E-2</v>
      </c>
      <c r="F19" s="2">
        <f>SUMIFS(TB!L:L,TB!$J:$J,$C19)</f>
        <v>2.887E-2</v>
      </c>
      <c r="G19" s="2">
        <f>SUMIFS(TB!M:M,TB!$J:$J,$C19)</f>
        <v>2.887E-2</v>
      </c>
      <c r="H19" s="2">
        <f>SUMIFS(TB!N:N,TB!$J:$J,$C19)</f>
        <v>2.887E-2</v>
      </c>
      <c r="I19" s="2">
        <f>SUMIFS(TB!O:O,TB!$J:$J,$C19)</f>
        <v>2.887E-2</v>
      </c>
      <c r="J19" s="2">
        <f>SUMIFS(TB!P:P,TB!$J:$J,$C19)</f>
        <v>2.887E-2</v>
      </c>
      <c r="K19" s="2">
        <f>SUMIFS(TB!Q:Q,TB!$J:$J,$C19)</f>
        <v>0</v>
      </c>
      <c r="L19" s="2">
        <f>SUMIFS(TB!R:R,TB!$J:$J,$C19)</f>
        <v>0</v>
      </c>
      <c r="M19" s="2">
        <f>SUMIFS(TB!S:S,TB!$J:$J,$C19)</f>
        <v>0</v>
      </c>
      <c r="N19" s="2">
        <f>SUMIFS(TB!T:T,TB!$J:$J,$C19)</f>
        <v>0</v>
      </c>
      <c r="O19" s="2">
        <f>SUMIFS(TB!U:U,TB!$J:$J,$C19)</f>
        <v>0</v>
      </c>
      <c r="P19" s="2">
        <f>SUMIFS(TB!V:V,TB!$J:$J,$C19)</f>
        <v>0</v>
      </c>
      <c r="Q19" s="2">
        <f>SUMIFS(TB!W:W,TB!$J:$J,$C19)</f>
        <v>0</v>
      </c>
      <c r="R19" s="2">
        <f>SUMIFS(TB!X:X,TB!$J:$J,$C19)</f>
        <v>0</v>
      </c>
      <c r="S19" s="2">
        <f>SUMIFS(TB!Y:Y,TB!$J:$J,$C19)</f>
        <v>0</v>
      </c>
      <c r="T19" s="2">
        <f>SUMIFS(TB!Z:Z,TB!$J:$J,$C19)</f>
        <v>0</v>
      </c>
      <c r="U19" s="2">
        <f>SUMIFS(TB!AA:AA,TB!$J:$J,$C19)</f>
        <v>0</v>
      </c>
      <c r="V19" s="2">
        <f>SUMIFS(TB!AB:AB,TB!$J:$J,$C19)</f>
        <v>0</v>
      </c>
      <c r="W19" s="2">
        <f>SUMIFS(TB!AC:AC,TB!$J:$J,$C19)</f>
        <v>0</v>
      </c>
      <c r="X19" s="2">
        <f>SUMIFS(TB!AD:AD,TB!$J:$J,$C19)</f>
        <v>0</v>
      </c>
      <c r="Y19" s="2">
        <f>SUMIFS(TB!AE:AE,TB!$J:$J,$C19)</f>
        <v>0</v>
      </c>
      <c r="Z19" s="2">
        <f>SUMIFS(TB!AF:AF,TB!$J:$J,$C19)</f>
        <v>0</v>
      </c>
      <c r="AA19" s="2">
        <f>SUMIFS(TB!AG:AG,TB!$J:$J,$C19)</f>
        <v>0</v>
      </c>
      <c r="AB19" s="2">
        <f>SUMIFS(TB!AH:AH,TB!$J:$J,$C19)</f>
        <v>0</v>
      </c>
      <c r="AC19" s="2">
        <f>SUMIFS(TB!AI:AI,TB!$J:$J,$C19)</f>
        <v>0</v>
      </c>
      <c r="AD19" s="2">
        <f>SUMIFS(TB!AJ:AJ,TB!$J:$J,$C19)</f>
        <v>0</v>
      </c>
      <c r="AE19" s="2">
        <f>SUMIFS(TB!AK:AK,TB!$J:$J,$C19)</f>
        <v>0</v>
      </c>
      <c r="AF19" s="2">
        <f>SUMIFS(TB!AL:AL,TB!$J:$J,$C19)</f>
        <v>0</v>
      </c>
      <c r="AG19" s="2">
        <f>SUMIFS(TB!AM:AM,TB!$J:$J,$C19)</f>
        <v>0</v>
      </c>
      <c r="AH19" s="2">
        <f>SUMIFS(TB!AN:AN,TB!$J:$J,$C19)</f>
        <v>0</v>
      </c>
      <c r="AI19" s="2">
        <f>SUMIFS(TB!AO:AO,TB!$J:$J,$C19)</f>
        <v>0</v>
      </c>
      <c r="AJ19" s="2"/>
      <c r="AK19" s="2">
        <f>P19</f>
        <v>0</v>
      </c>
      <c r="AL19" s="2">
        <f>AB19</f>
        <v>0</v>
      </c>
      <c r="AM19" s="2">
        <f>AI19</f>
        <v>0</v>
      </c>
      <c r="AN19" s="2"/>
      <c r="AO19" s="2">
        <f>IFERROR(AVERAGE(AG19:AI19),0)</f>
        <v>0</v>
      </c>
      <c r="AP19" s="2">
        <f>IFERROR(AVERAGE(AD19:AI19),0)</f>
        <v>0</v>
      </c>
      <c r="AQ19" s="2">
        <f>IFERROR(AVERAGE(AA19:AI19),0)</f>
        <v>0</v>
      </c>
      <c r="AR19" s="2">
        <f>IFERROR(AVERAGE(X19:AI19),0)</f>
        <v>0</v>
      </c>
    </row>
    <row r="20" spans="3:44" ht="11.25" customHeight="1" outlineLevel="1" x14ac:dyDescent="0.2">
      <c r="C20" t="s">
        <v>170</v>
      </c>
      <c r="D20" s="4"/>
      <c r="E20" s="2">
        <f>SUMIFS(TB!K:K,TB!$J:$J,$C20)</f>
        <v>4.1930000000000002E-2</v>
      </c>
      <c r="F20" s="2">
        <f>SUMIFS(TB!L:L,TB!$J:$J,$C20)</f>
        <v>4.1930000000000002E-2</v>
      </c>
      <c r="G20" s="2">
        <f>SUMIFS(TB!M:M,TB!$J:$J,$C20)</f>
        <v>4.1930000000000002E-2</v>
      </c>
      <c r="H20" s="2">
        <f>SUMIFS(TB!N:N,TB!$J:$J,$C20)</f>
        <v>4.1930000000000002E-2</v>
      </c>
      <c r="I20" s="2">
        <f>SUMIFS(TB!O:O,TB!$J:$J,$C20)</f>
        <v>4.1930000000000002E-2</v>
      </c>
      <c r="J20" s="2">
        <f>SUMIFS(TB!P:P,TB!$J:$J,$C20)</f>
        <v>4.1930000000000002E-2</v>
      </c>
      <c r="K20" s="2">
        <f>SUMIFS(TB!Q:Q,TB!$J:$J,$C20)</f>
        <v>0</v>
      </c>
      <c r="L20" s="2">
        <f>SUMIFS(TB!R:R,TB!$J:$J,$C20)</f>
        <v>0</v>
      </c>
      <c r="M20" s="2">
        <f>SUMIFS(TB!S:S,TB!$J:$J,$C20)</f>
        <v>0</v>
      </c>
      <c r="N20" s="2">
        <f>SUMIFS(TB!T:T,TB!$J:$J,$C20)</f>
        <v>0</v>
      </c>
      <c r="O20" s="2">
        <f>SUMIFS(TB!U:U,TB!$J:$J,$C20)</f>
        <v>0</v>
      </c>
      <c r="P20" s="2">
        <f>SUMIFS(TB!V:V,TB!$J:$J,$C20)</f>
        <v>0</v>
      </c>
      <c r="Q20" s="2">
        <f>SUMIFS(TB!W:W,TB!$J:$J,$C20)</f>
        <v>0</v>
      </c>
      <c r="R20" s="2">
        <f>SUMIFS(TB!X:X,TB!$J:$J,$C20)</f>
        <v>0</v>
      </c>
      <c r="S20" s="2">
        <f>SUMIFS(TB!Y:Y,TB!$J:$J,$C20)</f>
        <v>0</v>
      </c>
      <c r="T20" s="2">
        <f>SUMIFS(TB!Z:Z,TB!$J:$J,$C20)</f>
        <v>0</v>
      </c>
      <c r="U20" s="2">
        <f>SUMIFS(TB!AA:AA,TB!$J:$J,$C20)</f>
        <v>0</v>
      </c>
      <c r="V20" s="2">
        <f>SUMIFS(TB!AB:AB,TB!$J:$J,$C20)</f>
        <v>0</v>
      </c>
      <c r="W20" s="2">
        <f>SUMIFS(TB!AC:AC,TB!$J:$J,$C20)</f>
        <v>0</v>
      </c>
      <c r="X20" s="2">
        <f>SUMIFS(TB!AD:AD,TB!$J:$J,$C20)</f>
        <v>0</v>
      </c>
      <c r="Y20" s="2">
        <f>SUMIFS(TB!AE:AE,TB!$J:$J,$C20)</f>
        <v>0</v>
      </c>
      <c r="Z20" s="2">
        <f>SUMIFS(TB!AF:AF,TB!$J:$J,$C20)</f>
        <v>0</v>
      </c>
      <c r="AA20" s="2">
        <f>SUMIFS(TB!AG:AG,TB!$J:$J,$C20)</f>
        <v>0</v>
      </c>
      <c r="AB20" s="2">
        <f>SUMIFS(TB!AH:AH,TB!$J:$J,$C20)</f>
        <v>0</v>
      </c>
      <c r="AC20" s="2">
        <f>SUMIFS(TB!AI:AI,TB!$J:$J,$C20)</f>
        <v>0</v>
      </c>
      <c r="AD20" s="2">
        <f>SUMIFS(TB!AJ:AJ,TB!$J:$J,$C20)</f>
        <v>0</v>
      </c>
      <c r="AE20" s="2">
        <f>SUMIFS(TB!AK:AK,TB!$J:$J,$C20)</f>
        <v>0</v>
      </c>
      <c r="AF20" s="2">
        <f>SUMIFS(TB!AL:AL,TB!$J:$J,$C20)</f>
        <v>0</v>
      </c>
      <c r="AG20" s="2">
        <f>SUMIFS(TB!AM:AM,TB!$J:$J,$C20)</f>
        <v>0</v>
      </c>
      <c r="AH20" s="2">
        <f>SUMIFS(TB!AN:AN,TB!$J:$J,$C20)</f>
        <v>0</v>
      </c>
      <c r="AI20" s="2">
        <f>SUMIFS(TB!AO:AO,TB!$J:$J,$C20)</f>
        <v>0</v>
      </c>
      <c r="AJ20" s="2"/>
      <c r="AK20" s="2">
        <f>P20</f>
        <v>0</v>
      </c>
      <c r="AL20" s="2">
        <f>AB20</f>
        <v>0</v>
      </c>
      <c r="AM20" s="2">
        <f>AI20</f>
        <v>0</v>
      </c>
      <c r="AN20" s="2"/>
      <c r="AO20" s="2">
        <f>IFERROR(AVERAGE(AG20:AI20),0)</f>
        <v>0</v>
      </c>
      <c r="AP20" s="2">
        <f>IFERROR(AVERAGE(AD20:AI20),0)</f>
        <v>0</v>
      </c>
      <c r="AQ20" s="2">
        <f>IFERROR(AVERAGE(AA20:AI20),0)</f>
        <v>0</v>
      </c>
      <c r="AR20" s="2">
        <f>IFERROR(AVERAGE(X20:AI20),0)</f>
        <v>0</v>
      </c>
    </row>
    <row r="21" spans="3:44" ht="11.25" customHeight="1" outlineLevel="1" x14ac:dyDescent="0.2">
      <c r="C21" s="17" t="s">
        <v>169</v>
      </c>
      <c r="D21" s="15"/>
      <c r="E21" s="14">
        <f>SUMIFS(TB!K:K,TB!$J:$J,$C21)</f>
        <v>0</v>
      </c>
      <c r="F21" s="14">
        <f>SUMIFS(TB!L:L,TB!$J:$J,$C21)</f>
        <v>0</v>
      </c>
      <c r="G21" s="14">
        <f>SUMIFS(TB!M:M,TB!$J:$J,$C21)</f>
        <v>0</v>
      </c>
      <c r="H21" s="14">
        <f>SUMIFS(TB!N:N,TB!$J:$J,$C21)</f>
        <v>0</v>
      </c>
      <c r="I21" s="14">
        <f>SUMIFS(TB!O:O,TB!$J:$J,$C21)</f>
        <v>0</v>
      </c>
      <c r="J21" s="14">
        <f>SUMIFS(TB!P:P,TB!$J:$J,$C21)</f>
        <v>0</v>
      </c>
      <c r="K21" s="14">
        <f>SUMIFS(TB!Q:Q,TB!$J:$J,$C21)</f>
        <v>0</v>
      </c>
      <c r="L21" s="14">
        <f>SUMIFS(TB!R:R,TB!$J:$J,$C21)</f>
        <v>0</v>
      </c>
      <c r="M21" s="14">
        <f>SUMIFS(TB!S:S,TB!$J:$J,$C21)</f>
        <v>0</v>
      </c>
      <c r="N21" s="14">
        <f>SUMIFS(TB!T:T,TB!$J:$J,$C21)</f>
        <v>0</v>
      </c>
      <c r="O21" s="14">
        <f>SUMIFS(TB!U:U,TB!$J:$J,$C21)</f>
        <v>0</v>
      </c>
      <c r="P21" s="14">
        <f>SUMIFS(TB!V:V,TB!$J:$J,$C21)</f>
        <v>0</v>
      </c>
      <c r="Q21" s="14">
        <f>SUMIFS(TB!W:W,TB!$J:$J,$C21)</f>
        <v>0</v>
      </c>
      <c r="R21" s="14">
        <f>SUMIFS(TB!X:X,TB!$J:$J,$C21)</f>
        <v>0</v>
      </c>
      <c r="S21" s="14">
        <f>SUMIFS(TB!Y:Y,TB!$J:$J,$C21)</f>
        <v>0</v>
      </c>
      <c r="T21" s="14">
        <f>SUMIFS(TB!Z:Z,TB!$J:$J,$C21)</f>
        <v>0</v>
      </c>
      <c r="U21" s="14">
        <f>SUMIFS(TB!AA:AA,TB!$J:$J,$C21)</f>
        <v>0.02</v>
      </c>
      <c r="V21" s="14">
        <f>SUMIFS(TB!AB:AB,TB!$J:$J,$C21)</f>
        <v>0</v>
      </c>
      <c r="W21" s="14">
        <f>SUMIFS(TB!AC:AC,TB!$J:$J,$C21)</f>
        <v>0</v>
      </c>
      <c r="X21" s="14">
        <f>SUMIFS(TB!AD:AD,TB!$J:$J,$C21)</f>
        <v>0</v>
      </c>
      <c r="Y21" s="14">
        <f>SUMIFS(TB!AE:AE,TB!$J:$J,$C21)</f>
        <v>0</v>
      </c>
      <c r="Z21" s="14">
        <f>SUMIFS(TB!AF:AF,TB!$J:$J,$C21)</f>
        <v>0</v>
      </c>
      <c r="AA21" s="14">
        <f>SUMIFS(TB!AG:AG,TB!$J:$J,$C21)</f>
        <v>0</v>
      </c>
      <c r="AB21" s="14">
        <f>SUMIFS(TB!AH:AH,TB!$J:$J,$C21)</f>
        <v>0</v>
      </c>
      <c r="AC21" s="14">
        <f>SUMIFS(TB!AI:AI,TB!$J:$J,$C21)</f>
        <v>0</v>
      </c>
      <c r="AD21" s="14">
        <f>SUMIFS(TB!AJ:AJ,TB!$J:$J,$C21)</f>
        <v>0</v>
      </c>
      <c r="AE21" s="14">
        <f>SUMIFS(TB!AK:AK,TB!$J:$J,$C21)</f>
        <v>0</v>
      </c>
      <c r="AF21" s="14">
        <f>SUMIFS(TB!AL:AL,TB!$J:$J,$C21)</f>
        <v>0</v>
      </c>
      <c r="AG21" s="14">
        <f>SUMIFS(TB!AM:AM,TB!$J:$J,$C21)</f>
        <v>0</v>
      </c>
      <c r="AH21" s="14">
        <f>SUMIFS(TB!AN:AN,TB!$J:$J,$C21)</f>
        <v>0</v>
      </c>
      <c r="AI21" s="14">
        <f>SUMIFS(TB!AO:AO,TB!$J:$J,$C21)</f>
        <v>0</v>
      </c>
      <c r="AJ21" s="14"/>
      <c r="AK21" s="14">
        <f>P21</f>
        <v>0</v>
      </c>
      <c r="AL21" s="14">
        <f>AB21</f>
        <v>0</v>
      </c>
      <c r="AM21" s="14">
        <f>AI21</f>
        <v>0</v>
      </c>
      <c r="AN21" s="14"/>
      <c r="AO21" s="14">
        <f>IFERROR(AVERAGE(AG21:AI21),0)</f>
        <v>0</v>
      </c>
      <c r="AP21" s="14">
        <f>IFERROR(AVERAGE(AD21:AI21),0)</f>
        <v>0</v>
      </c>
      <c r="AQ21" s="14">
        <f>IFERROR(AVERAGE(AA21:AI21),0)</f>
        <v>0</v>
      </c>
      <c r="AR21" s="14">
        <f>IFERROR(AVERAGE(X21:AI21),0)</f>
        <v>0</v>
      </c>
    </row>
    <row r="22" spans="3:44" ht="11.25" customHeight="1" x14ac:dyDescent="0.2">
      <c r="C22" t="s">
        <v>168</v>
      </c>
      <c r="D22" s="4"/>
      <c r="E22" s="2">
        <f>SUM(E16:E21)</f>
        <v>0.37080000000000002</v>
      </c>
      <c r="F22" s="2">
        <f>SUM(F16:F21)</f>
        <v>0.37080000000000002</v>
      </c>
      <c r="G22" s="2">
        <f>SUM(G16:G21)</f>
        <v>0.37080000000000002</v>
      </c>
      <c r="H22" s="2">
        <f>SUM(H16:H21)</f>
        <v>0.42332000000000003</v>
      </c>
      <c r="I22" s="2">
        <f>SUM(I16:I21)</f>
        <v>0.42332000000000003</v>
      </c>
      <c r="J22" s="2">
        <f>SUM(J16:J21)</f>
        <v>0.42332000000000003</v>
      </c>
      <c r="K22" s="2">
        <f>SUM(K16:K21)</f>
        <v>0.35252</v>
      </c>
      <c r="L22" s="2">
        <f>SUM(L16:L21)</f>
        <v>0.35252</v>
      </c>
      <c r="M22" s="2">
        <f>SUM(M16:M21)</f>
        <v>0.35252</v>
      </c>
      <c r="N22" s="2">
        <f>SUM(N16:N21)</f>
        <v>0.35252</v>
      </c>
      <c r="O22" s="2">
        <f>SUM(O16:O21)</f>
        <v>0.35252</v>
      </c>
      <c r="P22" s="2">
        <f>SUM(P16:P21)</f>
        <v>0.35252</v>
      </c>
      <c r="Q22" s="2">
        <f>SUM(Q16:Q21)</f>
        <v>0.35252</v>
      </c>
      <c r="R22" s="2">
        <f>SUM(R16:R21)</f>
        <v>0.35252</v>
      </c>
      <c r="S22" s="2">
        <f>SUM(S16:S21)</f>
        <v>0.35252</v>
      </c>
      <c r="T22" s="2">
        <f>SUM(T16:T21)</f>
        <v>0.35252</v>
      </c>
      <c r="U22" s="2">
        <f>SUM(U16:U21)</f>
        <v>0.37252000000000002</v>
      </c>
      <c r="V22" s="2">
        <f>SUM(V16:V21)</f>
        <v>2.99152</v>
      </c>
      <c r="W22" s="2">
        <f>SUM(W16:W21)</f>
        <v>2.99152</v>
      </c>
      <c r="X22" s="2">
        <f>SUM(X16:X21)</f>
        <v>2.99152</v>
      </c>
      <c r="Y22" s="2">
        <f>SUM(Y16:Y21)</f>
        <v>2.99152</v>
      </c>
      <c r="Z22" s="2">
        <f>SUM(Z16:Z21)</f>
        <v>2.99152</v>
      </c>
      <c r="AA22" s="2">
        <f>SUM(AA16:AA21)</f>
        <v>4.2915200000000002</v>
      </c>
      <c r="AB22" s="2">
        <f>SUM(AB16:AB21)</f>
        <v>4.2915200000000002</v>
      </c>
      <c r="AC22" s="2">
        <f>SUM(AC16:AC21)</f>
        <v>4.2915200000000002</v>
      </c>
      <c r="AD22" s="2">
        <f>SUM(AD16:AD21)</f>
        <v>4.2915200000000002</v>
      </c>
      <c r="AE22" s="2">
        <f>SUM(AE16:AE21)</f>
        <v>4.2915200000000002</v>
      </c>
      <c r="AF22" s="2">
        <f>SUM(AF16:AF21)</f>
        <v>4.2915200000000002</v>
      </c>
      <c r="AG22" s="2">
        <f>SUM(AG16:AG21)</f>
        <v>4.2915200000000002</v>
      </c>
      <c r="AH22" s="2">
        <f>SUM(AH16:AH21)</f>
        <v>4.2915200000000002</v>
      </c>
      <c r="AI22" s="2">
        <f>SUM(AI16:AI21)</f>
        <v>4.2915200000000002</v>
      </c>
      <c r="AJ22" s="2"/>
      <c r="AK22" s="2">
        <f>SUM(AK16:AK21)</f>
        <v>0.35252</v>
      </c>
      <c r="AL22" s="2">
        <f>SUM(AL16:AL21)</f>
        <v>4.2915200000000002</v>
      </c>
      <c r="AM22" s="2">
        <f>SUM(AM16:AM21)</f>
        <v>4.2915200000000002</v>
      </c>
      <c r="AN22" s="2"/>
      <c r="AO22" s="2">
        <f>SUM(AO16:AO21)</f>
        <v>4.2915200000000002</v>
      </c>
      <c r="AP22" s="2">
        <f>SUM(AP16:AP21)</f>
        <v>4.2915200000000002</v>
      </c>
      <c r="AQ22" s="2">
        <f>SUM(AQ16:AQ21)</f>
        <v>4.2915200000000002</v>
      </c>
      <c r="AR22" s="2">
        <f>SUM(AR16:AR21)</f>
        <v>3.96652</v>
      </c>
    </row>
    <row r="23" spans="3:44" ht="6" customHeight="1" outlineLevel="1" x14ac:dyDescent="0.2">
      <c r="D23" s="4"/>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row>
    <row r="24" spans="3:44" ht="11.25" customHeight="1" outlineLevel="1" x14ac:dyDescent="0.2">
      <c r="C24" s="17" t="s">
        <v>167</v>
      </c>
      <c r="D24" s="15"/>
      <c r="E24" s="14">
        <f>SUMIFS(TB!K:K,TB!$J:$J,$C24)</f>
        <v>0</v>
      </c>
      <c r="F24" s="14">
        <f>SUMIFS(TB!L:L,TB!$J:$J,$C24)</f>
        <v>0</v>
      </c>
      <c r="G24" s="14">
        <f>SUMIFS(TB!M:M,TB!$J:$J,$C24)</f>
        <v>0</v>
      </c>
      <c r="H24" s="14">
        <f>SUMIFS(TB!N:N,TB!$J:$J,$C24)</f>
        <v>0</v>
      </c>
      <c r="I24" s="14">
        <f>SUMIFS(TB!O:O,TB!$J:$J,$C24)</f>
        <v>0</v>
      </c>
      <c r="J24" s="14">
        <f>SUMIFS(TB!P:P,TB!$J:$J,$C24)</f>
        <v>0</v>
      </c>
      <c r="K24" s="14">
        <f>SUMIFS(TB!Q:Q,TB!$J:$J,$C24)</f>
        <v>0</v>
      </c>
      <c r="L24" s="14">
        <f>SUMIFS(TB!R:R,TB!$J:$J,$C24)</f>
        <v>0</v>
      </c>
      <c r="M24" s="14">
        <f>SUMIFS(TB!S:S,TB!$J:$J,$C24)</f>
        <v>-5</v>
      </c>
      <c r="N24" s="14">
        <f>SUMIFS(TB!T:T,TB!$J:$J,$C24)</f>
        <v>-5</v>
      </c>
      <c r="O24" s="14">
        <f>SUMIFS(TB!U:U,TB!$J:$J,$C24)</f>
        <v>-5</v>
      </c>
      <c r="P24" s="14">
        <f>SUMIFS(TB!V:V,TB!$J:$J,$C24)</f>
        <v>-5</v>
      </c>
      <c r="Q24" s="14">
        <f>SUMIFS(TB!W:W,TB!$J:$J,$C24)</f>
        <v>0</v>
      </c>
      <c r="R24" s="14">
        <f>SUMIFS(TB!X:X,TB!$J:$J,$C24)</f>
        <v>0</v>
      </c>
      <c r="S24" s="14">
        <f>SUMIFS(TB!Y:Y,TB!$J:$J,$C24)</f>
        <v>0</v>
      </c>
      <c r="T24" s="14">
        <f>SUMIFS(TB!Z:Z,TB!$J:$J,$C24)</f>
        <v>0</v>
      </c>
      <c r="U24" s="14">
        <f>SUMIFS(TB!AA:AA,TB!$J:$J,$C24)</f>
        <v>0</v>
      </c>
      <c r="V24" s="14">
        <f>SUMIFS(TB!AB:AB,TB!$J:$J,$C24)</f>
        <v>0</v>
      </c>
      <c r="W24" s="14">
        <f>SUMIFS(TB!AC:AC,TB!$J:$J,$C24)</f>
        <v>0</v>
      </c>
      <c r="X24" s="14">
        <f>SUMIFS(TB!AD:AD,TB!$J:$J,$C24)</f>
        <v>0</v>
      </c>
      <c r="Y24" s="14">
        <f>SUMIFS(TB!AE:AE,TB!$J:$J,$C24)</f>
        <v>0</v>
      </c>
      <c r="Z24" s="14">
        <f>SUMIFS(TB!AF:AF,TB!$J:$J,$C24)</f>
        <v>0</v>
      </c>
      <c r="AA24" s="14">
        <f>SUMIFS(TB!AG:AG,TB!$J:$J,$C24)</f>
        <v>0</v>
      </c>
      <c r="AB24" s="14">
        <f>SUMIFS(TB!AH:AH,TB!$J:$J,$C24)</f>
        <v>0</v>
      </c>
      <c r="AC24" s="14">
        <f>SUMIFS(TB!AI:AI,TB!$J:$J,$C24)</f>
        <v>0</v>
      </c>
      <c r="AD24" s="14">
        <f>SUMIFS(TB!AJ:AJ,TB!$J:$J,$C24)</f>
        <v>0</v>
      </c>
      <c r="AE24" s="14">
        <f>SUMIFS(TB!AK:AK,TB!$J:$J,$C24)</f>
        <v>0</v>
      </c>
      <c r="AF24" s="14">
        <f>SUMIFS(TB!AL:AL,TB!$J:$J,$C24)</f>
        <v>0</v>
      </c>
      <c r="AG24" s="14">
        <f>SUMIFS(TB!AM:AM,TB!$J:$J,$C24)</f>
        <v>0</v>
      </c>
      <c r="AH24" s="14">
        <f>SUMIFS(TB!AN:AN,TB!$J:$J,$C24)</f>
        <v>0</v>
      </c>
      <c r="AI24" s="14">
        <f>SUMIFS(TB!AO:AO,TB!$J:$J,$C24)</f>
        <v>0</v>
      </c>
      <c r="AJ24" s="14"/>
      <c r="AK24" s="14">
        <f>P24</f>
        <v>-5</v>
      </c>
      <c r="AL24" s="14">
        <f>AB24</f>
        <v>0</v>
      </c>
      <c r="AM24" s="14">
        <f>AI24</f>
        <v>0</v>
      </c>
      <c r="AN24" s="14"/>
      <c r="AO24" s="14">
        <f>IFERROR(AVERAGE(AG24:AI24),0)</f>
        <v>0</v>
      </c>
      <c r="AP24" s="14">
        <f>IFERROR(AVERAGE(AD24:AI24),0)</f>
        <v>0</v>
      </c>
      <c r="AQ24" s="14">
        <f>IFERROR(AVERAGE(AA24:AI24),0)</f>
        <v>0</v>
      </c>
      <c r="AR24" s="14">
        <f>IFERROR(AVERAGE(X24:AI24),0)</f>
        <v>0</v>
      </c>
    </row>
    <row r="25" spans="3:44" ht="11.25" customHeight="1" x14ac:dyDescent="0.2">
      <c r="C25" t="s">
        <v>166</v>
      </c>
      <c r="D25" s="4"/>
      <c r="E25" s="2">
        <f>SUM(E24:E24)</f>
        <v>0</v>
      </c>
      <c r="F25" s="2">
        <f>SUM(F24:F24)</f>
        <v>0</v>
      </c>
      <c r="G25" s="2">
        <f>SUM(G24:G24)</f>
        <v>0</v>
      </c>
      <c r="H25" s="2">
        <f>SUM(H24:H24)</f>
        <v>0</v>
      </c>
      <c r="I25" s="2">
        <f>SUM(I24:I24)</f>
        <v>0</v>
      </c>
      <c r="J25" s="2">
        <f>SUM(J24:J24)</f>
        <v>0</v>
      </c>
      <c r="K25" s="2">
        <f>SUM(K24:K24)</f>
        <v>0</v>
      </c>
      <c r="L25" s="2">
        <f>SUM(L24:L24)</f>
        <v>0</v>
      </c>
      <c r="M25" s="2">
        <f>SUM(M24:M24)</f>
        <v>-5</v>
      </c>
      <c r="N25" s="2">
        <f>SUM(N24:N24)</f>
        <v>-5</v>
      </c>
      <c r="O25" s="2">
        <f>SUM(O24:O24)</f>
        <v>-5</v>
      </c>
      <c r="P25" s="2">
        <f>SUM(P24:P24)</f>
        <v>-5</v>
      </c>
      <c r="Q25" s="2">
        <f>SUM(Q24:Q24)</f>
        <v>0</v>
      </c>
      <c r="R25" s="2">
        <f>SUM(R24:R24)</f>
        <v>0</v>
      </c>
      <c r="S25" s="2">
        <f>SUM(S24:S24)</f>
        <v>0</v>
      </c>
      <c r="T25" s="2">
        <f>SUM(T24:T24)</f>
        <v>0</v>
      </c>
      <c r="U25" s="2">
        <f>SUM(U24:U24)</f>
        <v>0</v>
      </c>
      <c r="V25" s="2">
        <f>SUM(V24:V24)</f>
        <v>0</v>
      </c>
      <c r="W25" s="2">
        <f>SUM(W24:W24)</f>
        <v>0</v>
      </c>
      <c r="X25" s="2">
        <f>SUM(X24:X24)</f>
        <v>0</v>
      </c>
      <c r="Y25" s="2">
        <f>SUM(Y24:Y24)</f>
        <v>0</v>
      </c>
      <c r="Z25" s="2">
        <f>SUM(Z24:Z24)</f>
        <v>0</v>
      </c>
      <c r="AA25" s="2">
        <f>SUM(AA24:AA24)</f>
        <v>0</v>
      </c>
      <c r="AB25" s="2">
        <f>SUM(AB24:AB24)</f>
        <v>0</v>
      </c>
      <c r="AC25" s="2">
        <f>SUM(AC24:AC24)</f>
        <v>0</v>
      </c>
      <c r="AD25" s="2">
        <f>SUM(AD24:AD24)</f>
        <v>0</v>
      </c>
      <c r="AE25" s="2">
        <f>SUM(AE24:AE24)</f>
        <v>0</v>
      </c>
      <c r="AF25" s="2">
        <f>SUM(AF24:AF24)</f>
        <v>0</v>
      </c>
      <c r="AG25" s="2">
        <f>SUM(AG24:AG24)</f>
        <v>0</v>
      </c>
      <c r="AH25" s="2">
        <f>SUM(AH24:AH24)</f>
        <v>0</v>
      </c>
      <c r="AI25" s="2">
        <f>SUM(AI24:AI24)</f>
        <v>0</v>
      </c>
      <c r="AJ25" s="2"/>
      <c r="AK25" s="2">
        <f>SUM(AK24:AK24)</f>
        <v>-5</v>
      </c>
      <c r="AL25" s="2">
        <f>SUM(AL24:AL24)</f>
        <v>0</v>
      </c>
      <c r="AM25" s="2">
        <f>SUM(AM24:AM24)</f>
        <v>0</v>
      </c>
      <c r="AN25" s="2"/>
      <c r="AO25" s="2">
        <f>SUM(AO24:AO24)</f>
        <v>0</v>
      </c>
      <c r="AP25" s="2">
        <f>SUM(AP24:AP24)</f>
        <v>0</v>
      </c>
      <c r="AQ25" s="2">
        <f>SUM(AQ24:AQ24)</f>
        <v>0</v>
      </c>
      <c r="AR25" s="2">
        <f>SUM(AR24:AR24)</f>
        <v>0</v>
      </c>
    </row>
    <row r="26" spans="3:44" ht="11.25" customHeight="1" x14ac:dyDescent="0.25">
      <c r="C26" s="43" t="s">
        <v>165</v>
      </c>
      <c r="D26" s="56"/>
      <c r="E26" s="42">
        <f>E11+E14+E22+E25</f>
        <v>1932.9507000000001</v>
      </c>
      <c r="F26" s="42">
        <f>F11+F14+F22+F25</f>
        <v>1864.09961</v>
      </c>
      <c r="G26" s="42">
        <f>G11+G14+G22+G25</f>
        <v>2052.4213500000001</v>
      </c>
      <c r="H26" s="42">
        <f>H11+H14+H22+H25</f>
        <v>2274.0476399999998</v>
      </c>
      <c r="I26" s="42">
        <f>I11+I14+I22+I25</f>
        <v>2353.3169099999996</v>
      </c>
      <c r="J26" s="42">
        <f>J11+J14+J22+J25</f>
        <v>2350.7603999999997</v>
      </c>
      <c r="K26" s="42">
        <f>K11+K14+K22+K25</f>
        <v>2553.9765699999998</v>
      </c>
      <c r="L26" s="42">
        <f>L11+L14+L22+L25</f>
        <v>3200.33</v>
      </c>
      <c r="M26" s="42">
        <f>M11+M14+M22+M25</f>
        <v>3862.94</v>
      </c>
      <c r="N26" s="42">
        <f>N11+N14+N22+N25</f>
        <v>3695.8572799999997</v>
      </c>
      <c r="O26" s="42">
        <f>O11+O14+O22+O25</f>
        <v>3727.9847599999998</v>
      </c>
      <c r="P26" s="42">
        <f>P11+P14+P22+P25</f>
        <v>3099.3656900000001</v>
      </c>
      <c r="Q26" s="42">
        <f>Q11+Q14+Q22+Q25</f>
        <v>3094.8509199999999</v>
      </c>
      <c r="R26" s="42">
        <f>R11+R14+R22+R25</f>
        <v>3174.9021499999999</v>
      </c>
      <c r="S26" s="42">
        <f>S11+S14+S22+S25</f>
        <v>3059.7787999999996</v>
      </c>
      <c r="T26" s="42">
        <f>T11+T14+T22+T25</f>
        <v>2859.8872399999996</v>
      </c>
      <c r="U26" s="42">
        <f>U11+U14+U22+U25</f>
        <v>2952.40452</v>
      </c>
      <c r="V26" s="42">
        <f>V11+V14+V22+V25</f>
        <v>2719.1369800000002</v>
      </c>
      <c r="W26" s="42">
        <f>W11+W14+W22+W25</f>
        <v>2606.9300699999999</v>
      </c>
      <c r="X26" s="42">
        <f>X11+X14+X22+X25</f>
        <v>3315.6637699999997</v>
      </c>
      <c r="Y26" s="42">
        <f>Y11+Y14+Y22+Y25</f>
        <v>3809.9636999999998</v>
      </c>
      <c r="Z26" s="42">
        <f>Z11+Z14+Z22+Z25</f>
        <v>3651.1874199999997</v>
      </c>
      <c r="AA26" s="42">
        <f>AA11+AA14+AA22+AA25</f>
        <v>3523.0547499999998</v>
      </c>
      <c r="AB26" s="42">
        <f>AB11+AB14+AB22+AB25</f>
        <v>3459.2895200000003</v>
      </c>
      <c r="AC26" s="42">
        <f>AC11+AC14+AC22+AC25</f>
        <v>3102.6164100000001</v>
      </c>
      <c r="AD26" s="42">
        <f>AD11+AD14+AD22+AD25</f>
        <v>2940.1249900000003</v>
      </c>
      <c r="AE26" s="42">
        <f>AE11+AE14+AE22+AE25</f>
        <v>3106.6871700000002</v>
      </c>
      <c r="AF26" s="42">
        <f>AF11+AF14+AF22+AF25</f>
        <v>2794.3529800000001</v>
      </c>
      <c r="AG26" s="42">
        <f>AG11+AG14+AG22+AG25</f>
        <v>2707.1296000000002</v>
      </c>
      <c r="AH26" s="42">
        <f>AH11+AH14+AH22+AH25</f>
        <v>2848.1308700000004</v>
      </c>
      <c r="AI26" s="42">
        <f>AI11+AI14+AI22+AI25</f>
        <v>2539.1379900000002</v>
      </c>
      <c r="AJ26" s="42"/>
      <c r="AK26" s="42">
        <f>AK11+AK14+AK22+AK25</f>
        <v>3099.3656900000001</v>
      </c>
      <c r="AL26" s="42">
        <f>AL11+AL14+AL22+AL25</f>
        <v>3459.2895200000003</v>
      </c>
      <c r="AM26" s="42">
        <f>AM11+AM14+AM22+AM25</f>
        <v>2539.1379900000002</v>
      </c>
      <c r="AN26" s="42"/>
      <c r="AO26" s="42">
        <f>AO11+AO14+AO22+AO25</f>
        <v>2698.1328200000003</v>
      </c>
      <c r="AP26" s="42">
        <f>AP11+AP14+AP22+AP25</f>
        <v>2822.593933333334</v>
      </c>
      <c r="AQ26" s="42">
        <f>AQ11+AQ14+AQ22+AQ25</f>
        <v>3002.2804755555558</v>
      </c>
      <c r="AR26" s="42">
        <f>AR11+AR14+AR22+AR25</f>
        <v>3149.7782641666668</v>
      </c>
    </row>
    <row r="27" spans="3:44" ht="6" customHeight="1" x14ac:dyDescent="0.2">
      <c r="D27" s="4"/>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row>
    <row r="28" spans="3:44" ht="11.25" customHeight="1" outlineLevel="1" x14ac:dyDescent="0.2">
      <c r="C28" s="17" t="s">
        <v>164</v>
      </c>
      <c r="D28" s="15"/>
      <c r="E28" s="14">
        <f>-SUMIFS(TB!K:K,TB!$J:$J,$C28)</f>
        <v>102.97868</v>
      </c>
      <c r="F28" s="14">
        <f>-SUMIFS(TB!L:L,TB!$J:$J,$C28)</f>
        <v>125.28341999999999</v>
      </c>
      <c r="G28" s="14">
        <f>-SUMIFS(TB!M:M,TB!$J:$J,$C28)</f>
        <v>176.99108999999999</v>
      </c>
      <c r="H28" s="14">
        <f>-SUMIFS(TB!N:N,TB!$J:$J,$C28)</f>
        <v>66.261679999999998</v>
      </c>
      <c r="I28" s="14">
        <f>-SUMIFS(TB!O:O,TB!$J:$J,$C28)</f>
        <v>116.23258</v>
      </c>
      <c r="J28" s="14">
        <f>-SUMIFS(TB!P:P,TB!$J:$J,$C28)</f>
        <v>121.51022999999999</v>
      </c>
      <c r="K28" s="14">
        <f>-SUMIFS(TB!Q:Q,TB!$J:$J,$C28)</f>
        <v>187.83073000000002</v>
      </c>
      <c r="L28" s="14">
        <f>-SUMIFS(TB!R:R,TB!$J:$J,$C28)</f>
        <v>127.91239999999999</v>
      </c>
      <c r="M28" s="14">
        <f>-SUMIFS(TB!S:S,TB!$J:$J,$C28)</f>
        <v>-70.614460000000008</v>
      </c>
      <c r="N28" s="14">
        <f>-SUMIFS(TB!T:T,TB!$J:$J,$C28)</f>
        <v>-35.702379999999998</v>
      </c>
      <c r="O28" s="14">
        <f>-SUMIFS(TB!U:U,TB!$J:$J,$C28)</f>
        <v>175.42123999999998</v>
      </c>
      <c r="P28" s="14">
        <f>-SUMIFS(TB!V:V,TB!$J:$J,$C28)</f>
        <v>0</v>
      </c>
      <c r="Q28" s="14">
        <f>-SUMIFS(TB!W:W,TB!$J:$J,$C28)</f>
        <v>57.586829999999999</v>
      </c>
      <c r="R28" s="14">
        <f>-SUMIFS(TB!X:X,TB!$J:$J,$C28)</f>
        <v>5.61409</v>
      </c>
      <c r="S28" s="14">
        <f>-SUMIFS(TB!Y:Y,TB!$J:$J,$C28)</f>
        <v>95.67886</v>
      </c>
      <c r="T28" s="14">
        <f>-SUMIFS(TB!Z:Z,TB!$J:$J,$C28)</f>
        <v>10.043340000000001</v>
      </c>
      <c r="U28" s="14">
        <f>-SUMIFS(TB!AA:AA,TB!$J:$J,$C28)</f>
        <v>131.57436999999999</v>
      </c>
      <c r="V28" s="14">
        <f>-SUMIFS(TB!AB:AB,TB!$J:$J,$C28)</f>
        <v>51.048589999999997</v>
      </c>
      <c r="W28" s="14">
        <f>-SUMIFS(TB!AC:AC,TB!$J:$J,$C28)</f>
        <v>118.19169000000001</v>
      </c>
      <c r="X28" s="14">
        <f>-SUMIFS(TB!AD:AD,TB!$J:$J,$C28)</f>
        <v>169.12200000000001</v>
      </c>
      <c r="Y28" s="14">
        <f>-SUMIFS(TB!AE:AE,TB!$J:$J,$C28)</f>
        <v>118.87128999999999</v>
      </c>
      <c r="Z28" s="14">
        <f>-SUMIFS(TB!AF:AF,TB!$J:$J,$C28)</f>
        <v>222.63320000000002</v>
      </c>
      <c r="AA28" s="14">
        <f>-SUMIFS(TB!AG:AG,TB!$J:$J,$C28)</f>
        <v>96.150399999999991</v>
      </c>
      <c r="AB28" s="14">
        <f>-SUMIFS(TB!AH:AH,TB!$J:$J,$C28)</f>
        <v>66.373259999999988</v>
      </c>
      <c r="AC28" s="14">
        <f>-SUMIFS(TB!AI:AI,TB!$J:$J,$C28)</f>
        <v>111.65541999999999</v>
      </c>
      <c r="AD28" s="14">
        <f>-SUMIFS(TB!AJ:AJ,TB!$J:$J,$C28)</f>
        <v>144.52427</v>
      </c>
      <c r="AE28" s="14">
        <f>-SUMIFS(TB!AK:AK,TB!$J:$J,$C28)</f>
        <v>237.55035999999998</v>
      </c>
      <c r="AF28" s="14">
        <f>-SUMIFS(TB!AL:AL,TB!$J:$J,$C28)</f>
        <v>57.762129999999999</v>
      </c>
      <c r="AG28" s="14">
        <f>-SUMIFS(TB!AM:AM,TB!$J:$J,$C28)</f>
        <v>154.90525</v>
      </c>
      <c r="AH28" s="14">
        <f>-SUMIFS(TB!AN:AN,TB!$J:$J,$C28)</f>
        <v>105.925</v>
      </c>
      <c r="AI28" s="14">
        <f>-SUMIFS(TB!AO:AO,TB!$J:$J,$C28)</f>
        <v>95.755990000000011</v>
      </c>
      <c r="AJ28" s="14"/>
      <c r="AK28" s="14">
        <f>P28</f>
        <v>0</v>
      </c>
      <c r="AL28" s="14">
        <f>AB28</f>
        <v>66.373259999999988</v>
      </c>
      <c r="AM28" s="14">
        <f>AI28</f>
        <v>95.755990000000011</v>
      </c>
      <c r="AN28" s="14"/>
      <c r="AO28" s="14">
        <f>IFERROR(AVERAGE(AG28:AI28),0)</f>
        <v>118.86207999999999</v>
      </c>
      <c r="AP28" s="14">
        <f>IFERROR(AVERAGE(AD28:AI28),0)</f>
        <v>132.73716666666664</v>
      </c>
      <c r="AQ28" s="14">
        <f>IFERROR(AVERAGE(AA28:AI28),0)</f>
        <v>118.95578666666665</v>
      </c>
      <c r="AR28" s="14">
        <f>IFERROR(AVERAGE(X28:AI28),0)</f>
        <v>131.76904750000003</v>
      </c>
    </row>
    <row r="29" spans="3:44" ht="11.25" customHeight="1" x14ac:dyDescent="0.2">
      <c r="C29" t="s">
        <v>163</v>
      </c>
      <c r="D29" s="4"/>
      <c r="E29" s="2">
        <f>SUM(E28:E28)</f>
        <v>102.97868</v>
      </c>
      <c r="F29" s="2">
        <f>SUM(F28:F28)</f>
        <v>125.28341999999999</v>
      </c>
      <c r="G29" s="2">
        <f>SUM(G28:G28)</f>
        <v>176.99108999999999</v>
      </c>
      <c r="H29" s="2">
        <f>SUM(H28:H28)</f>
        <v>66.261679999999998</v>
      </c>
      <c r="I29" s="2">
        <f>SUM(I28:I28)</f>
        <v>116.23258</v>
      </c>
      <c r="J29" s="2">
        <f>SUM(J28:J28)</f>
        <v>121.51022999999999</v>
      </c>
      <c r="K29" s="2">
        <f>SUM(K28:K28)</f>
        <v>187.83073000000002</v>
      </c>
      <c r="L29" s="2">
        <f>SUM(L28:L28)</f>
        <v>127.91239999999999</v>
      </c>
      <c r="M29" s="2">
        <f>SUM(M28:M28)</f>
        <v>-70.614460000000008</v>
      </c>
      <c r="N29" s="2">
        <f>SUM(N28:N28)</f>
        <v>-35.702379999999998</v>
      </c>
      <c r="O29" s="2">
        <f>SUM(O28:O28)</f>
        <v>175.42123999999998</v>
      </c>
      <c r="P29" s="2">
        <f>SUM(P28:P28)</f>
        <v>0</v>
      </c>
      <c r="Q29" s="2">
        <f>SUM(Q28:Q28)</f>
        <v>57.586829999999999</v>
      </c>
      <c r="R29" s="2">
        <f>SUM(R28:R28)</f>
        <v>5.61409</v>
      </c>
      <c r="S29" s="2">
        <f>SUM(S28:S28)</f>
        <v>95.67886</v>
      </c>
      <c r="T29" s="2">
        <f>SUM(T28:T28)</f>
        <v>10.043340000000001</v>
      </c>
      <c r="U29" s="2">
        <f>SUM(U28:U28)</f>
        <v>131.57436999999999</v>
      </c>
      <c r="V29" s="2">
        <f>SUM(V28:V28)</f>
        <v>51.048589999999997</v>
      </c>
      <c r="W29" s="2">
        <f>SUM(W28:W28)</f>
        <v>118.19169000000001</v>
      </c>
      <c r="X29" s="2">
        <f>SUM(X28:X28)</f>
        <v>169.12200000000001</v>
      </c>
      <c r="Y29" s="2">
        <f>SUM(Y28:Y28)</f>
        <v>118.87128999999999</v>
      </c>
      <c r="Z29" s="2">
        <f>SUM(Z28:Z28)</f>
        <v>222.63320000000002</v>
      </c>
      <c r="AA29" s="2">
        <f>SUM(AA28:AA28)</f>
        <v>96.150399999999991</v>
      </c>
      <c r="AB29" s="2">
        <f>SUM(AB28:AB28)</f>
        <v>66.373259999999988</v>
      </c>
      <c r="AC29" s="2">
        <f>SUM(AC28:AC28)</f>
        <v>111.65541999999999</v>
      </c>
      <c r="AD29" s="2">
        <f>SUM(AD28:AD28)</f>
        <v>144.52427</v>
      </c>
      <c r="AE29" s="2">
        <f>SUM(AE28:AE28)</f>
        <v>237.55035999999998</v>
      </c>
      <c r="AF29" s="2">
        <f>SUM(AF28:AF28)</f>
        <v>57.762129999999999</v>
      </c>
      <c r="AG29" s="2">
        <f>SUM(AG28:AG28)</f>
        <v>154.90525</v>
      </c>
      <c r="AH29" s="2">
        <f>SUM(AH28:AH28)</f>
        <v>105.925</v>
      </c>
      <c r="AI29" s="2">
        <f>SUM(AI28:AI28)</f>
        <v>95.755990000000011</v>
      </c>
      <c r="AJ29" s="2"/>
      <c r="AK29" s="2">
        <f>SUM(AK28:AK28)</f>
        <v>0</v>
      </c>
      <c r="AL29" s="2">
        <f>SUM(AL28:AL28)</f>
        <v>66.373259999999988</v>
      </c>
      <c r="AM29" s="2">
        <f>SUM(AM28:AM28)</f>
        <v>95.755990000000011</v>
      </c>
      <c r="AN29" s="2"/>
      <c r="AO29" s="2">
        <f>SUM(AO28:AO28)</f>
        <v>118.86207999999999</v>
      </c>
      <c r="AP29" s="2">
        <f>SUM(AP28:AP28)</f>
        <v>132.73716666666664</v>
      </c>
      <c r="AQ29" s="2">
        <f>SUM(AQ28:AQ28)</f>
        <v>118.95578666666665</v>
      </c>
      <c r="AR29" s="2">
        <f>SUM(AR28:AR28)</f>
        <v>131.76904750000003</v>
      </c>
    </row>
    <row r="30" spans="3:44" ht="6" customHeight="1" outlineLevel="1" x14ac:dyDescent="0.2">
      <c r="D30" s="4"/>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row>
    <row r="31" spans="3:44" ht="11.25" customHeight="1" outlineLevel="1" x14ac:dyDescent="0.2">
      <c r="C31" t="s">
        <v>162</v>
      </c>
      <c r="D31" s="4"/>
      <c r="E31" s="2">
        <f>-SUMIFS(TB!K:K,TB!$J:$J,$C31)</f>
        <v>0</v>
      </c>
      <c r="F31" s="2">
        <f>-SUMIFS(TB!L:L,TB!$J:$J,$C31)</f>
        <v>0</v>
      </c>
      <c r="G31" s="2">
        <f>-SUMIFS(TB!M:M,TB!$J:$J,$C31)</f>
        <v>0</v>
      </c>
      <c r="H31" s="2">
        <f>-SUMIFS(TB!N:N,TB!$J:$J,$C31)</f>
        <v>0</v>
      </c>
      <c r="I31" s="2">
        <f>-SUMIFS(TB!O:O,TB!$J:$J,$C31)</f>
        <v>0</v>
      </c>
      <c r="J31" s="2">
        <f>-SUMIFS(TB!P:P,TB!$J:$J,$C31)</f>
        <v>0</v>
      </c>
      <c r="K31" s="2">
        <f>-SUMIFS(TB!Q:Q,TB!$J:$J,$C31)</f>
        <v>0</v>
      </c>
      <c r="L31" s="2">
        <f>-SUMIFS(TB!R:R,TB!$J:$J,$C31)</f>
        <v>0</v>
      </c>
      <c r="M31" s="2">
        <f>-SUMIFS(TB!S:S,TB!$J:$J,$C31)</f>
        <v>0</v>
      </c>
      <c r="N31" s="2">
        <f>-SUMIFS(TB!T:T,TB!$J:$J,$C31)</f>
        <v>0</v>
      </c>
      <c r="O31" s="2">
        <f>-SUMIFS(TB!U:U,TB!$J:$J,$C31)</f>
        <v>0</v>
      </c>
      <c r="P31" s="2">
        <f>-SUMIFS(TB!V:V,TB!$J:$J,$C31)</f>
        <v>0</v>
      </c>
      <c r="Q31" s="2">
        <f>-SUMIFS(TB!W:W,TB!$J:$J,$C31)</f>
        <v>0</v>
      </c>
      <c r="R31" s="2">
        <f>-SUMIFS(TB!X:X,TB!$J:$J,$C31)</f>
        <v>0</v>
      </c>
      <c r="S31" s="2">
        <f>-SUMIFS(TB!Y:Y,TB!$J:$J,$C31)</f>
        <v>0</v>
      </c>
      <c r="T31" s="2">
        <f>-SUMIFS(TB!Z:Z,TB!$J:$J,$C31)</f>
        <v>0</v>
      </c>
      <c r="U31" s="2">
        <f>-SUMIFS(TB!AA:AA,TB!$J:$J,$C31)</f>
        <v>0</v>
      </c>
      <c r="V31" s="2">
        <f>-SUMIFS(TB!AB:AB,TB!$J:$J,$C31)</f>
        <v>0</v>
      </c>
      <c r="W31" s="2">
        <f>-SUMIFS(TB!AC:AC,TB!$J:$J,$C31)</f>
        <v>15.654999999999999</v>
      </c>
      <c r="X31" s="2">
        <f>-SUMIFS(TB!AD:AD,TB!$J:$J,$C31)</f>
        <v>15.654999999999999</v>
      </c>
      <c r="Y31" s="2">
        <f>-SUMIFS(TB!AE:AE,TB!$J:$J,$C31)</f>
        <v>15.654999999999999</v>
      </c>
      <c r="Z31" s="2">
        <f>-SUMIFS(TB!AF:AF,TB!$J:$J,$C31)</f>
        <v>15.654999999999999</v>
      </c>
      <c r="AA31" s="2">
        <f>-SUMIFS(TB!AG:AG,TB!$J:$J,$C31)</f>
        <v>15.654999999999999</v>
      </c>
      <c r="AB31" s="2">
        <f>-SUMIFS(TB!AH:AH,TB!$J:$J,$C31)</f>
        <v>15.654999999999999</v>
      </c>
      <c r="AC31" s="2">
        <f>-SUMIFS(TB!AI:AI,TB!$J:$J,$C31)</f>
        <v>15.654999999999999</v>
      </c>
      <c r="AD31" s="2">
        <f>-SUMIFS(TB!AJ:AJ,TB!$J:$J,$C31)</f>
        <v>15.654999999999999</v>
      </c>
      <c r="AE31" s="2">
        <f>-SUMIFS(TB!AK:AK,TB!$J:$J,$C31)</f>
        <v>15.654999999999999</v>
      </c>
      <c r="AF31" s="2">
        <f>-SUMIFS(TB!AL:AL,TB!$J:$J,$C31)</f>
        <v>15.654999999999999</v>
      </c>
      <c r="AG31" s="2">
        <f>-SUMIFS(TB!AM:AM,TB!$J:$J,$C31)</f>
        <v>15.654999999999999</v>
      </c>
      <c r="AH31" s="2">
        <f>-SUMIFS(TB!AN:AN,TB!$J:$J,$C31)</f>
        <v>15.654999999999999</v>
      </c>
      <c r="AI31" s="2">
        <f>-SUMIFS(TB!AO:AO,TB!$J:$J,$C31)</f>
        <v>15.654999999999999</v>
      </c>
      <c r="AJ31" s="2"/>
      <c r="AK31" s="2">
        <f>P31</f>
        <v>0</v>
      </c>
      <c r="AL31" s="2">
        <f>AB31</f>
        <v>15.654999999999999</v>
      </c>
      <c r="AM31" s="2">
        <f>AI31</f>
        <v>15.654999999999999</v>
      </c>
      <c r="AN31" s="2"/>
      <c r="AO31" s="2">
        <f>IFERROR(AVERAGE(AG31:AI31),0)</f>
        <v>15.654999999999999</v>
      </c>
      <c r="AP31" s="2">
        <f>IFERROR(AVERAGE(AD31:AI31),0)</f>
        <v>15.654999999999999</v>
      </c>
      <c r="AQ31" s="2">
        <f>IFERROR(AVERAGE(AA31:AI31),0)</f>
        <v>15.654999999999998</v>
      </c>
      <c r="AR31" s="2">
        <f>IFERROR(AVERAGE(X31:AI31),0)</f>
        <v>15.654999999999999</v>
      </c>
    </row>
    <row r="32" spans="3:44" ht="11.25" customHeight="1" outlineLevel="1" x14ac:dyDescent="0.2">
      <c r="C32" t="s">
        <v>161</v>
      </c>
      <c r="D32" s="4"/>
      <c r="E32" s="2">
        <f>-SUMIFS(TB!K:K,TB!$J:$J,$C32)</f>
        <v>0</v>
      </c>
      <c r="F32" s="2">
        <f>-SUMIFS(TB!L:L,TB!$J:$J,$C32)</f>
        <v>0</v>
      </c>
      <c r="G32" s="2">
        <f>-SUMIFS(TB!M:M,TB!$J:$J,$C32)</f>
        <v>0</v>
      </c>
      <c r="H32" s="2">
        <f>-SUMIFS(TB!N:N,TB!$J:$J,$C32)</f>
        <v>0</v>
      </c>
      <c r="I32" s="2">
        <f>-SUMIFS(TB!O:O,TB!$J:$J,$C32)</f>
        <v>0</v>
      </c>
      <c r="J32" s="2">
        <f>-SUMIFS(TB!P:P,TB!$J:$J,$C32)</f>
        <v>0</v>
      </c>
      <c r="K32" s="2">
        <f>-SUMIFS(TB!Q:Q,TB!$J:$J,$C32)</f>
        <v>0</v>
      </c>
      <c r="L32" s="2">
        <f>-SUMIFS(TB!R:R,TB!$J:$J,$C32)</f>
        <v>0</v>
      </c>
      <c r="M32" s="2">
        <f>-SUMIFS(TB!S:S,TB!$J:$J,$C32)</f>
        <v>0</v>
      </c>
      <c r="N32" s="2">
        <f>-SUMIFS(TB!T:T,TB!$J:$J,$C32)</f>
        <v>0</v>
      </c>
      <c r="O32" s="2">
        <f>-SUMIFS(TB!U:U,TB!$J:$J,$C32)</f>
        <v>0</v>
      </c>
      <c r="P32" s="2">
        <f>-SUMIFS(TB!V:V,TB!$J:$J,$C32)</f>
        <v>0</v>
      </c>
      <c r="Q32" s="2">
        <f>-SUMIFS(TB!W:W,TB!$J:$J,$C32)</f>
        <v>0</v>
      </c>
      <c r="R32" s="2">
        <f>-SUMIFS(TB!X:X,TB!$J:$J,$C32)</f>
        <v>0</v>
      </c>
      <c r="S32" s="2">
        <f>-SUMIFS(TB!Y:Y,TB!$J:$J,$C32)</f>
        <v>0</v>
      </c>
      <c r="T32" s="2">
        <f>-SUMIFS(TB!Z:Z,TB!$J:$J,$C32)</f>
        <v>0</v>
      </c>
      <c r="U32" s="2">
        <f>-SUMIFS(TB!AA:AA,TB!$J:$J,$C32)</f>
        <v>0</v>
      </c>
      <c r="V32" s="2">
        <f>-SUMIFS(TB!AB:AB,TB!$J:$J,$C32)</f>
        <v>0</v>
      </c>
      <c r="W32" s="2">
        <f>-SUMIFS(TB!AC:AC,TB!$J:$J,$C32)</f>
        <v>0</v>
      </c>
      <c r="X32" s="2">
        <f>-SUMIFS(TB!AD:AD,TB!$J:$J,$C32)</f>
        <v>0</v>
      </c>
      <c r="Y32" s="2">
        <f>-SUMIFS(TB!AE:AE,TB!$J:$J,$C32)</f>
        <v>0</v>
      </c>
      <c r="Z32" s="2">
        <f>-SUMIFS(TB!AF:AF,TB!$J:$J,$C32)</f>
        <v>0</v>
      </c>
      <c r="AA32" s="2">
        <f>-SUMIFS(TB!AG:AG,TB!$J:$J,$C32)</f>
        <v>0</v>
      </c>
      <c r="AB32" s="2">
        <f>-SUMIFS(TB!AH:AH,TB!$J:$J,$C32)</f>
        <v>0</v>
      </c>
      <c r="AC32" s="2">
        <f>-SUMIFS(TB!AI:AI,TB!$J:$J,$C32)</f>
        <v>0</v>
      </c>
      <c r="AD32" s="2">
        <f>-SUMIFS(TB!AJ:AJ,TB!$J:$J,$C32)</f>
        <v>0</v>
      </c>
      <c r="AE32" s="2">
        <f>-SUMIFS(TB!AK:AK,TB!$J:$J,$C32)</f>
        <v>0</v>
      </c>
      <c r="AF32" s="2">
        <f>-SUMIFS(TB!AL:AL,TB!$J:$J,$C32)</f>
        <v>0</v>
      </c>
      <c r="AG32" s="2">
        <f>-SUMIFS(TB!AM:AM,TB!$J:$J,$C32)</f>
        <v>0</v>
      </c>
      <c r="AH32" s="2">
        <f>-SUMIFS(TB!AN:AN,TB!$J:$J,$C32)</f>
        <v>0.57999999999999996</v>
      </c>
      <c r="AI32" s="2">
        <f>-SUMIFS(TB!AO:AO,TB!$J:$J,$C32)</f>
        <v>0.57999999999999996</v>
      </c>
      <c r="AJ32" s="2"/>
      <c r="AK32" s="2">
        <f>P32</f>
        <v>0</v>
      </c>
      <c r="AL32" s="2">
        <f>AB32</f>
        <v>0</v>
      </c>
      <c r="AM32" s="2">
        <f>AI32</f>
        <v>0.57999999999999996</v>
      </c>
      <c r="AN32" s="2"/>
      <c r="AO32" s="2">
        <f>IFERROR(AVERAGE(AG32:AI32),0)</f>
        <v>0.38666666666666666</v>
      </c>
      <c r="AP32" s="2">
        <f>IFERROR(AVERAGE(AD32:AI32),0)</f>
        <v>0.19333333333333333</v>
      </c>
      <c r="AQ32" s="2">
        <f>IFERROR(AVERAGE(AA32:AI32),0)</f>
        <v>0.12888888888888889</v>
      </c>
      <c r="AR32" s="2">
        <f>IFERROR(AVERAGE(X32:AI32),0)</f>
        <v>9.6666666666666665E-2</v>
      </c>
    </row>
    <row r="33" spans="3:44" ht="11.25" customHeight="1" outlineLevel="1" x14ac:dyDescent="0.2">
      <c r="C33" t="s">
        <v>160</v>
      </c>
      <c r="D33" s="4"/>
      <c r="E33" s="2">
        <f>-SUMIFS(TB!K:K,TB!$J:$J,$C33)</f>
        <v>0</v>
      </c>
      <c r="F33" s="2">
        <f>-SUMIFS(TB!L:L,TB!$J:$J,$C33)</f>
        <v>0</v>
      </c>
      <c r="G33" s="2">
        <f>-SUMIFS(TB!M:M,TB!$J:$J,$C33)</f>
        <v>0</v>
      </c>
      <c r="H33" s="2">
        <f>-SUMIFS(TB!N:N,TB!$J:$J,$C33)</f>
        <v>0</v>
      </c>
      <c r="I33" s="2">
        <f>-SUMIFS(TB!O:O,TB!$J:$J,$C33)</f>
        <v>0</v>
      </c>
      <c r="J33" s="2">
        <f>-SUMIFS(TB!P:P,TB!$J:$J,$C33)</f>
        <v>0</v>
      </c>
      <c r="K33" s="2">
        <f>-SUMIFS(TB!Q:Q,TB!$J:$J,$C33)</f>
        <v>0</v>
      </c>
      <c r="L33" s="2">
        <f>-SUMIFS(TB!R:R,TB!$J:$J,$C33)</f>
        <v>0</v>
      </c>
      <c r="M33" s="2">
        <f>-SUMIFS(TB!S:S,TB!$J:$J,$C33)</f>
        <v>0</v>
      </c>
      <c r="N33" s="2">
        <f>-SUMIFS(TB!T:T,TB!$J:$J,$C33)</f>
        <v>0</v>
      </c>
      <c r="O33" s="2">
        <f>-SUMIFS(TB!U:U,TB!$J:$J,$C33)</f>
        <v>0</v>
      </c>
      <c r="P33" s="2">
        <f>-SUMIFS(TB!V:V,TB!$J:$J,$C33)</f>
        <v>1.2193800000000001</v>
      </c>
      <c r="Q33" s="2">
        <f>-SUMIFS(TB!W:W,TB!$J:$J,$C33)</f>
        <v>1.2193800000000001</v>
      </c>
      <c r="R33" s="2">
        <f>-SUMIFS(TB!X:X,TB!$J:$J,$C33)</f>
        <v>1.2193800000000001</v>
      </c>
      <c r="S33" s="2">
        <f>-SUMIFS(TB!Y:Y,TB!$J:$J,$C33)</f>
        <v>1.2193800000000001</v>
      </c>
      <c r="T33" s="2">
        <f>-SUMIFS(TB!Z:Z,TB!$J:$J,$C33)</f>
        <v>1.2193800000000001</v>
      </c>
      <c r="U33" s="2">
        <f>-SUMIFS(TB!AA:AA,TB!$J:$J,$C33)</f>
        <v>1.2193800000000001</v>
      </c>
      <c r="V33" s="2">
        <f>-SUMIFS(TB!AB:AB,TB!$J:$J,$C33)</f>
        <v>1.2193800000000001</v>
      </c>
      <c r="W33" s="2">
        <f>-SUMIFS(TB!AC:AC,TB!$J:$J,$C33)</f>
        <v>1.2193800000000001</v>
      </c>
      <c r="X33" s="2">
        <f>-SUMIFS(TB!AD:AD,TB!$J:$J,$C33)</f>
        <v>1.2193800000000001</v>
      </c>
      <c r="Y33" s="2">
        <f>-SUMIFS(TB!AE:AE,TB!$J:$J,$C33)</f>
        <v>1.2193800000000001</v>
      </c>
      <c r="Z33" s="2">
        <f>-SUMIFS(TB!AF:AF,TB!$J:$J,$C33)</f>
        <v>1.2193800000000001</v>
      </c>
      <c r="AA33" s="2">
        <f>-SUMIFS(TB!AG:AG,TB!$J:$J,$C33)</f>
        <v>0</v>
      </c>
      <c r="AB33" s="2">
        <f>-SUMIFS(TB!AH:AH,TB!$J:$J,$C33)</f>
        <v>67.845690000000005</v>
      </c>
      <c r="AC33" s="2">
        <f>-SUMIFS(TB!AI:AI,TB!$J:$J,$C33)</f>
        <v>67.845690000000005</v>
      </c>
      <c r="AD33" s="2">
        <f>-SUMIFS(TB!AJ:AJ,TB!$J:$J,$C33)</f>
        <v>67.845690000000005</v>
      </c>
      <c r="AE33" s="2">
        <f>-SUMIFS(TB!AK:AK,TB!$J:$J,$C33)</f>
        <v>67.845690000000005</v>
      </c>
      <c r="AF33" s="2">
        <f>-SUMIFS(TB!AL:AL,TB!$J:$J,$C33)</f>
        <v>0</v>
      </c>
      <c r="AG33" s="2">
        <f>-SUMIFS(TB!AM:AM,TB!$J:$J,$C33)</f>
        <v>0</v>
      </c>
      <c r="AH33" s="2">
        <f>-SUMIFS(TB!AN:AN,TB!$J:$J,$C33)</f>
        <v>0</v>
      </c>
      <c r="AI33" s="2">
        <f>-SUMIFS(TB!AO:AO,TB!$J:$J,$C33)</f>
        <v>0</v>
      </c>
      <c r="AJ33" s="2"/>
      <c r="AK33" s="2">
        <f>P33</f>
        <v>1.2193800000000001</v>
      </c>
      <c r="AL33" s="2">
        <f>AB33</f>
        <v>67.845690000000005</v>
      </c>
      <c r="AM33" s="2">
        <f>AI33</f>
        <v>0</v>
      </c>
      <c r="AN33" s="2"/>
      <c r="AO33" s="2">
        <f>IFERROR(AVERAGE(AG33:AI33),0)</f>
        <v>0</v>
      </c>
      <c r="AP33" s="2">
        <f>IFERROR(AVERAGE(AD33:AI33),0)</f>
        <v>22.61523</v>
      </c>
      <c r="AQ33" s="2">
        <f>IFERROR(AVERAGE(AA33:AI33),0)</f>
        <v>30.153640000000003</v>
      </c>
      <c r="AR33" s="2">
        <f>IFERROR(AVERAGE(X33:AI33),0)</f>
        <v>22.920075000000001</v>
      </c>
    </row>
    <row r="34" spans="3:44" ht="11.25" customHeight="1" outlineLevel="1" x14ac:dyDescent="0.2">
      <c r="C34" s="17" t="s">
        <v>159</v>
      </c>
      <c r="D34" s="15"/>
      <c r="E34" s="14">
        <f>-SUMIFS(TB!K:K,TB!$J:$J,$C34)</f>
        <v>15</v>
      </c>
      <c r="F34" s="14">
        <f>-SUMIFS(TB!L:L,TB!$J:$J,$C34)</f>
        <v>15</v>
      </c>
      <c r="G34" s="14">
        <f>-SUMIFS(TB!M:M,TB!$J:$J,$C34)</f>
        <v>15</v>
      </c>
      <c r="H34" s="14">
        <f>-SUMIFS(TB!N:N,TB!$J:$J,$C34)</f>
        <v>15</v>
      </c>
      <c r="I34" s="14">
        <f>-SUMIFS(TB!O:O,TB!$J:$J,$C34)</f>
        <v>15</v>
      </c>
      <c r="J34" s="14">
        <f>-SUMIFS(TB!P:P,TB!$J:$J,$C34)</f>
        <v>15</v>
      </c>
      <c r="K34" s="14">
        <f>-SUMIFS(TB!Q:Q,TB!$J:$J,$C34)</f>
        <v>15</v>
      </c>
      <c r="L34" s="14">
        <f>-SUMIFS(TB!R:R,TB!$J:$J,$C34)</f>
        <v>0</v>
      </c>
      <c r="M34" s="14">
        <f>-SUMIFS(TB!S:S,TB!$J:$J,$C34)</f>
        <v>0</v>
      </c>
      <c r="N34" s="14">
        <f>-SUMIFS(TB!T:T,TB!$J:$J,$C34)</f>
        <v>0</v>
      </c>
      <c r="O34" s="14">
        <f>-SUMIFS(TB!U:U,TB!$J:$J,$C34)</f>
        <v>0</v>
      </c>
      <c r="P34" s="14">
        <f>-SUMIFS(TB!V:V,TB!$J:$J,$C34)</f>
        <v>0</v>
      </c>
      <c r="Q34" s="14">
        <f>-SUMIFS(TB!W:W,TB!$J:$J,$C34)</f>
        <v>0</v>
      </c>
      <c r="R34" s="14">
        <f>-SUMIFS(TB!X:X,TB!$J:$J,$C34)</f>
        <v>0</v>
      </c>
      <c r="S34" s="14">
        <f>-SUMIFS(TB!Y:Y,TB!$J:$J,$C34)</f>
        <v>0</v>
      </c>
      <c r="T34" s="14">
        <f>-SUMIFS(TB!Z:Z,TB!$J:$J,$C34)</f>
        <v>0</v>
      </c>
      <c r="U34" s="14">
        <f>-SUMIFS(TB!AA:AA,TB!$J:$J,$C34)</f>
        <v>0</v>
      </c>
      <c r="V34" s="14">
        <f>-SUMIFS(TB!AB:AB,TB!$J:$J,$C34)</f>
        <v>0</v>
      </c>
      <c r="W34" s="14">
        <f>-SUMIFS(TB!AC:AC,TB!$J:$J,$C34)</f>
        <v>0</v>
      </c>
      <c r="X34" s="14">
        <f>-SUMIFS(TB!AD:AD,TB!$J:$J,$C34)</f>
        <v>0</v>
      </c>
      <c r="Y34" s="14">
        <f>-SUMIFS(TB!AE:AE,TB!$J:$J,$C34)</f>
        <v>0</v>
      </c>
      <c r="Z34" s="14">
        <f>-SUMIFS(TB!AF:AF,TB!$J:$J,$C34)</f>
        <v>0</v>
      </c>
      <c r="AA34" s="14">
        <f>-SUMIFS(TB!AG:AG,TB!$J:$J,$C34)</f>
        <v>0</v>
      </c>
      <c r="AB34" s="14">
        <f>-SUMIFS(TB!AH:AH,TB!$J:$J,$C34)</f>
        <v>0</v>
      </c>
      <c r="AC34" s="14">
        <f>-SUMIFS(TB!AI:AI,TB!$J:$J,$C34)</f>
        <v>0</v>
      </c>
      <c r="AD34" s="14">
        <f>-SUMIFS(TB!AJ:AJ,TB!$J:$J,$C34)</f>
        <v>0</v>
      </c>
      <c r="AE34" s="14">
        <f>-SUMIFS(TB!AK:AK,TB!$J:$J,$C34)</f>
        <v>0</v>
      </c>
      <c r="AF34" s="14">
        <f>-SUMIFS(TB!AL:AL,TB!$J:$J,$C34)</f>
        <v>0</v>
      </c>
      <c r="AG34" s="14">
        <f>-SUMIFS(TB!AM:AM,TB!$J:$J,$C34)</f>
        <v>0</v>
      </c>
      <c r="AH34" s="14">
        <f>-SUMIFS(TB!AN:AN,TB!$J:$J,$C34)</f>
        <v>0</v>
      </c>
      <c r="AI34" s="14">
        <f>-SUMIFS(TB!AO:AO,TB!$J:$J,$C34)</f>
        <v>0</v>
      </c>
      <c r="AJ34" s="14"/>
      <c r="AK34" s="14">
        <f>P34</f>
        <v>0</v>
      </c>
      <c r="AL34" s="14">
        <f>AB34</f>
        <v>0</v>
      </c>
      <c r="AM34" s="14">
        <f>AI34</f>
        <v>0</v>
      </c>
      <c r="AN34" s="14"/>
      <c r="AO34" s="14">
        <f>IFERROR(AVERAGE(AG34:AI34),0)</f>
        <v>0</v>
      </c>
      <c r="AP34" s="14">
        <f>IFERROR(AVERAGE(AD34:AI34),0)</f>
        <v>0</v>
      </c>
      <c r="AQ34" s="14">
        <f>IFERROR(AVERAGE(AA34:AI34),0)</f>
        <v>0</v>
      </c>
      <c r="AR34" s="14">
        <f>IFERROR(AVERAGE(X34:AI34),0)</f>
        <v>0</v>
      </c>
    </row>
    <row r="35" spans="3:44" ht="11.25" customHeight="1" x14ac:dyDescent="0.2">
      <c r="C35" t="s">
        <v>158</v>
      </c>
      <c r="D35" s="4"/>
      <c r="E35" s="2">
        <f>SUM(E31:E34)</f>
        <v>15</v>
      </c>
      <c r="F35" s="2">
        <f>SUM(F31:F34)</f>
        <v>15</v>
      </c>
      <c r="G35" s="2">
        <f>SUM(G31:G34)</f>
        <v>15</v>
      </c>
      <c r="H35" s="2">
        <f>SUM(H31:H34)</f>
        <v>15</v>
      </c>
      <c r="I35" s="2">
        <f>SUM(I31:I34)</f>
        <v>15</v>
      </c>
      <c r="J35" s="2">
        <f>SUM(J31:J34)</f>
        <v>15</v>
      </c>
      <c r="K35" s="2">
        <f>SUM(K31:K34)</f>
        <v>15</v>
      </c>
      <c r="L35" s="2">
        <f>SUM(L31:L34)</f>
        <v>0</v>
      </c>
      <c r="M35" s="2">
        <f>SUM(M31:M34)</f>
        <v>0</v>
      </c>
      <c r="N35" s="2">
        <f>SUM(N31:N34)</f>
        <v>0</v>
      </c>
      <c r="O35" s="2">
        <f>SUM(O31:O34)</f>
        <v>0</v>
      </c>
      <c r="P35" s="2">
        <f>SUM(P31:P34)</f>
        <v>1.2193800000000001</v>
      </c>
      <c r="Q35" s="2">
        <f>SUM(Q31:Q34)</f>
        <v>1.2193800000000001</v>
      </c>
      <c r="R35" s="2">
        <f>SUM(R31:R34)</f>
        <v>1.2193800000000001</v>
      </c>
      <c r="S35" s="2">
        <f>SUM(S31:S34)</f>
        <v>1.2193800000000001</v>
      </c>
      <c r="T35" s="2">
        <f>SUM(T31:T34)</f>
        <v>1.2193800000000001</v>
      </c>
      <c r="U35" s="2">
        <f>SUM(U31:U34)</f>
        <v>1.2193800000000001</v>
      </c>
      <c r="V35" s="2">
        <f>SUM(V31:V34)</f>
        <v>1.2193800000000001</v>
      </c>
      <c r="W35" s="2">
        <f>SUM(W31:W34)</f>
        <v>16.874379999999999</v>
      </c>
      <c r="X35" s="2">
        <f>SUM(X31:X34)</f>
        <v>16.874379999999999</v>
      </c>
      <c r="Y35" s="2">
        <f>SUM(Y31:Y34)</f>
        <v>16.874379999999999</v>
      </c>
      <c r="Z35" s="2">
        <f>SUM(Z31:Z34)</f>
        <v>16.874379999999999</v>
      </c>
      <c r="AA35" s="2">
        <f>SUM(AA31:AA34)</f>
        <v>15.654999999999999</v>
      </c>
      <c r="AB35" s="2">
        <f>SUM(AB31:AB34)</f>
        <v>83.500690000000006</v>
      </c>
      <c r="AC35" s="2">
        <f>SUM(AC31:AC34)</f>
        <v>83.500690000000006</v>
      </c>
      <c r="AD35" s="2">
        <f>SUM(AD31:AD34)</f>
        <v>83.500690000000006</v>
      </c>
      <c r="AE35" s="2">
        <f>SUM(AE31:AE34)</f>
        <v>83.500690000000006</v>
      </c>
      <c r="AF35" s="2">
        <f>SUM(AF31:AF34)</f>
        <v>15.654999999999999</v>
      </c>
      <c r="AG35" s="2">
        <f>SUM(AG31:AG34)</f>
        <v>15.654999999999999</v>
      </c>
      <c r="AH35" s="2">
        <f>SUM(AH31:AH34)</f>
        <v>16.234999999999999</v>
      </c>
      <c r="AI35" s="2">
        <f>SUM(AI31:AI34)</f>
        <v>16.234999999999999</v>
      </c>
      <c r="AJ35" s="2"/>
      <c r="AK35" s="2">
        <f>SUM(AK31:AK34)</f>
        <v>1.2193800000000001</v>
      </c>
      <c r="AL35" s="2">
        <f>SUM(AL31:AL34)</f>
        <v>83.500690000000006</v>
      </c>
      <c r="AM35" s="2">
        <f>SUM(AM31:AM34)</f>
        <v>16.234999999999999</v>
      </c>
      <c r="AN35" s="2"/>
      <c r="AO35" s="2">
        <f>SUM(AO31:AO34)</f>
        <v>16.041666666666664</v>
      </c>
      <c r="AP35" s="2">
        <f>SUM(AP31:AP34)</f>
        <v>38.463563333333333</v>
      </c>
      <c r="AQ35" s="2">
        <f>SUM(AQ31:AQ34)</f>
        <v>45.937528888888892</v>
      </c>
      <c r="AR35" s="2">
        <f>SUM(AR31:AR34)</f>
        <v>38.671741666666662</v>
      </c>
    </row>
    <row r="36" spans="3:44" ht="6" customHeight="1" outlineLevel="1" x14ac:dyDescent="0.2">
      <c r="D36" s="4"/>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row>
    <row r="37" spans="3:44" ht="11.25" customHeight="1" outlineLevel="1" x14ac:dyDescent="0.2">
      <c r="C37" s="17" t="s">
        <v>157</v>
      </c>
      <c r="D37" s="15"/>
      <c r="E37" s="14">
        <f>-SUMIFS(TB!K:K,TB!$J:$J,$C37)</f>
        <v>1166.1134999999999</v>
      </c>
      <c r="F37" s="14">
        <f>-SUMIFS(TB!L:L,TB!$J:$J,$C37)</f>
        <v>1166.1134999999999</v>
      </c>
      <c r="G37" s="14">
        <f>-SUMIFS(TB!M:M,TB!$J:$J,$C37)</f>
        <v>1166.1134999999999</v>
      </c>
      <c r="H37" s="14">
        <f>-SUMIFS(TB!N:N,TB!$J:$J,$C37)</f>
        <v>1166.1134999999999</v>
      </c>
      <c r="I37" s="14">
        <f>-SUMIFS(TB!O:O,TB!$J:$J,$C37)</f>
        <v>1166.1134999999999</v>
      </c>
      <c r="J37" s="14">
        <f>-SUMIFS(TB!P:P,TB!$J:$J,$C37)</f>
        <v>1166.1134999999999</v>
      </c>
      <c r="K37" s="14">
        <f>-SUMIFS(TB!Q:Q,TB!$J:$J,$C37)</f>
        <v>1166.1134999999999</v>
      </c>
      <c r="L37" s="14">
        <f>-SUMIFS(TB!R:R,TB!$J:$J,$C37)</f>
        <v>1166.1134999999999</v>
      </c>
      <c r="M37" s="14">
        <f>-SUMIFS(TB!S:S,TB!$J:$J,$C37)</f>
        <v>1166.1134999999999</v>
      </c>
      <c r="N37" s="14">
        <f>-SUMIFS(TB!T:T,TB!$J:$J,$C37)</f>
        <v>1166.1134999999999</v>
      </c>
      <c r="O37" s="14">
        <f>-SUMIFS(TB!U:U,TB!$J:$J,$C37)</f>
        <v>1166.1134999999999</v>
      </c>
      <c r="P37" s="14">
        <f>-SUMIFS(TB!V:V,TB!$J:$J,$C37)</f>
        <v>1112.5840000000001</v>
      </c>
      <c r="Q37" s="14">
        <f>-SUMIFS(TB!W:W,TB!$J:$J,$C37)</f>
        <v>1112.5840000000001</v>
      </c>
      <c r="R37" s="14">
        <f>-SUMIFS(TB!X:X,TB!$J:$J,$C37)</f>
        <v>1112.5840000000001</v>
      </c>
      <c r="S37" s="14">
        <f>-SUMIFS(TB!Y:Y,TB!$J:$J,$C37)</f>
        <v>1000.846</v>
      </c>
      <c r="T37" s="14">
        <f>-SUMIFS(TB!Z:Z,TB!$J:$J,$C37)</f>
        <v>1000.846</v>
      </c>
      <c r="U37" s="14">
        <f>-SUMIFS(TB!AA:AA,TB!$J:$J,$C37)</f>
        <v>1000.846</v>
      </c>
      <c r="V37" s="14">
        <f>-SUMIFS(TB!AB:AB,TB!$J:$J,$C37)</f>
        <v>1000.846</v>
      </c>
      <c r="W37" s="14">
        <f>-SUMIFS(TB!AC:AC,TB!$J:$J,$C37)</f>
        <v>933.346</v>
      </c>
      <c r="X37" s="14">
        <f>-SUMIFS(TB!AD:AD,TB!$J:$J,$C37)</f>
        <v>933.346</v>
      </c>
      <c r="Y37" s="14">
        <f>-SUMIFS(TB!AE:AE,TB!$J:$J,$C37)</f>
        <v>933.346</v>
      </c>
      <c r="Z37" s="14">
        <f>-SUMIFS(TB!AF:AF,TB!$J:$J,$C37)</f>
        <v>933.346</v>
      </c>
      <c r="AA37" s="14">
        <f>-SUMIFS(TB!AG:AG,TB!$J:$J,$C37)</f>
        <v>933.346</v>
      </c>
      <c r="AB37" s="14">
        <f>-SUMIFS(TB!AH:AH,TB!$J:$J,$C37)</f>
        <v>925.17</v>
      </c>
      <c r="AC37" s="14">
        <f>-SUMIFS(TB!AI:AI,TB!$J:$J,$C37)</f>
        <v>925.17</v>
      </c>
      <c r="AD37" s="14">
        <f>-SUMIFS(TB!AJ:AJ,TB!$J:$J,$C37)</f>
        <v>925.17</v>
      </c>
      <c r="AE37" s="14">
        <f>-SUMIFS(TB!AK:AK,TB!$J:$J,$C37)</f>
        <v>851.17</v>
      </c>
      <c r="AF37" s="14">
        <f>-SUMIFS(TB!AL:AL,TB!$J:$J,$C37)</f>
        <v>851.17</v>
      </c>
      <c r="AG37" s="14">
        <f>-SUMIFS(TB!AM:AM,TB!$J:$J,$C37)</f>
        <v>851.17</v>
      </c>
      <c r="AH37" s="14">
        <f>-SUMIFS(TB!AN:AN,TB!$J:$J,$C37)</f>
        <v>851.17</v>
      </c>
      <c r="AI37" s="14">
        <f>-SUMIFS(TB!AO:AO,TB!$J:$J,$C37)</f>
        <v>810.14499999999998</v>
      </c>
      <c r="AJ37" s="14"/>
      <c r="AK37" s="14">
        <f>P37</f>
        <v>1112.5840000000001</v>
      </c>
      <c r="AL37" s="14">
        <f>AB37</f>
        <v>925.17</v>
      </c>
      <c r="AM37" s="14">
        <f>AI37</f>
        <v>810.14499999999998</v>
      </c>
      <c r="AN37" s="14"/>
      <c r="AO37" s="14">
        <f>IFERROR(AVERAGE(AG37:AI37),0)</f>
        <v>837.49499999999989</v>
      </c>
      <c r="AP37" s="14">
        <f>IFERROR(AVERAGE(AD37:AI37),0)</f>
        <v>856.66583333333313</v>
      </c>
      <c r="AQ37" s="14">
        <f>IFERROR(AVERAGE(AA37:AI37),0)</f>
        <v>880.40900000000011</v>
      </c>
      <c r="AR37" s="14">
        <f>IFERROR(AVERAGE(X37:AI37),0)</f>
        <v>893.64325000000008</v>
      </c>
    </row>
    <row r="38" spans="3:44" ht="11.25" customHeight="1" x14ac:dyDescent="0.2">
      <c r="C38" t="s">
        <v>156</v>
      </c>
      <c r="D38" s="4"/>
      <c r="E38" s="2">
        <f>SUM(E37:E37)</f>
        <v>1166.1134999999999</v>
      </c>
      <c r="F38" s="2">
        <f>SUM(F37:F37)</f>
        <v>1166.1134999999999</v>
      </c>
      <c r="G38" s="2">
        <f>SUM(G37:G37)</f>
        <v>1166.1134999999999</v>
      </c>
      <c r="H38" s="2">
        <f>SUM(H37:H37)</f>
        <v>1166.1134999999999</v>
      </c>
      <c r="I38" s="2">
        <f>SUM(I37:I37)</f>
        <v>1166.1134999999999</v>
      </c>
      <c r="J38" s="2">
        <f>SUM(J37:J37)</f>
        <v>1166.1134999999999</v>
      </c>
      <c r="K38" s="2">
        <f>SUM(K37:K37)</f>
        <v>1166.1134999999999</v>
      </c>
      <c r="L38" s="2">
        <f>SUM(L37:L37)</f>
        <v>1166.1134999999999</v>
      </c>
      <c r="M38" s="2">
        <f>SUM(M37:M37)</f>
        <v>1166.1134999999999</v>
      </c>
      <c r="N38" s="2">
        <f>SUM(N37:N37)</f>
        <v>1166.1134999999999</v>
      </c>
      <c r="O38" s="2">
        <f>SUM(O37:O37)</f>
        <v>1166.1134999999999</v>
      </c>
      <c r="P38" s="2">
        <f>SUM(P37:P37)</f>
        <v>1112.5840000000001</v>
      </c>
      <c r="Q38" s="2">
        <f>SUM(Q37:Q37)</f>
        <v>1112.5840000000001</v>
      </c>
      <c r="R38" s="2">
        <f>SUM(R37:R37)</f>
        <v>1112.5840000000001</v>
      </c>
      <c r="S38" s="2">
        <f>SUM(S37:S37)</f>
        <v>1000.846</v>
      </c>
      <c r="T38" s="2">
        <f>SUM(T37:T37)</f>
        <v>1000.846</v>
      </c>
      <c r="U38" s="2">
        <f>SUM(U37:U37)</f>
        <v>1000.846</v>
      </c>
      <c r="V38" s="2">
        <f>SUM(V37:V37)</f>
        <v>1000.846</v>
      </c>
      <c r="W38" s="2">
        <f>SUM(W37:W37)</f>
        <v>933.346</v>
      </c>
      <c r="X38" s="2">
        <f>SUM(X37:X37)</f>
        <v>933.346</v>
      </c>
      <c r="Y38" s="2">
        <f>SUM(Y37:Y37)</f>
        <v>933.346</v>
      </c>
      <c r="Z38" s="2">
        <f>SUM(Z37:Z37)</f>
        <v>933.346</v>
      </c>
      <c r="AA38" s="2">
        <f>SUM(AA37:AA37)</f>
        <v>933.346</v>
      </c>
      <c r="AB38" s="2">
        <f>SUM(AB37:AB37)</f>
        <v>925.17</v>
      </c>
      <c r="AC38" s="2">
        <f>SUM(AC37:AC37)</f>
        <v>925.17</v>
      </c>
      <c r="AD38" s="2">
        <f>SUM(AD37:AD37)</f>
        <v>925.17</v>
      </c>
      <c r="AE38" s="2">
        <f>SUM(AE37:AE37)</f>
        <v>851.17</v>
      </c>
      <c r="AF38" s="2">
        <f>SUM(AF37:AF37)</f>
        <v>851.17</v>
      </c>
      <c r="AG38" s="2">
        <f>SUM(AG37:AG37)</f>
        <v>851.17</v>
      </c>
      <c r="AH38" s="2">
        <f>SUM(AH37:AH37)</f>
        <v>851.17</v>
      </c>
      <c r="AI38" s="2">
        <f>SUM(AI37:AI37)</f>
        <v>810.14499999999998</v>
      </c>
      <c r="AJ38" s="2"/>
      <c r="AK38" s="2">
        <f>SUM(AK37:AK37)</f>
        <v>1112.5840000000001</v>
      </c>
      <c r="AL38" s="2">
        <f>SUM(AL37:AL37)</f>
        <v>925.17</v>
      </c>
      <c r="AM38" s="2">
        <f>SUM(AM37:AM37)</f>
        <v>810.14499999999998</v>
      </c>
      <c r="AN38" s="2"/>
      <c r="AO38" s="2">
        <f>SUM(AO37:AO37)</f>
        <v>837.49499999999989</v>
      </c>
      <c r="AP38" s="2">
        <f>SUM(AP37:AP37)</f>
        <v>856.66583333333313</v>
      </c>
      <c r="AQ38" s="2">
        <f>SUM(AQ37:AQ37)</f>
        <v>880.40900000000011</v>
      </c>
      <c r="AR38" s="2">
        <f>SUM(AR37:AR37)</f>
        <v>893.64325000000008</v>
      </c>
    </row>
    <row r="39" spans="3:44" ht="6" customHeight="1" outlineLevel="1" x14ac:dyDescent="0.2">
      <c r="D39" s="4"/>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row>
    <row r="40" spans="3:44" ht="11.25" customHeight="1" outlineLevel="1" x14ac:dyDescent="0.2">
      <c r="C40" t="s">
        <v>155</v>
      </c>
      <c r="D40" s="4"/>
      <c r="E40" s="2">
        <f>-SUMIFS(TB!K:K,TB!$J:$J,$C40)</f>
        <v>48.5</v>
      </c>
      <c r="F40" s="2">
        <f>-SUMIFS(TB!L:L,TB!$J:$J,$C40)</f>
        <v>97</v>
      </c>
      <c r="G40" s="2">
        <f>-SUMIFS(TB!M:M,TB!$J:$J,$C40)</f>
        <v>145.5</v>
      </c>
      <c r="H40" s="2">
        <f>-SUMIFS(TB!N:N,TB!$J:$J,$C40)</f>
        <v>194</v>
      </c>
      <c r="I40" s="2">
        <f>-SUMIFS(TB!O:O,TB!$J:$J,$C40)</f>
        <v>242.5</v>
      </c>
      <c r="J40" s="2">
        <f>-SUMIFS(TB!P:P,TB!$J:$J,$C40)</f>
        <v>291</v>
      </c>
      <c r="K40" s="2">
        <f>-SUMIFS(TB!Q:Q,TB!$J:$J,$C40)</f>
        <v>339.5</v>
      </c>
      <c r="L40" s="2">
        <f>-SUMIFS(TB!R:R,TB!$J:$J,$C40)</f>
        <v>388</v>
      </c>
      <c r="M40" s="2">
        <f>-SUMIFS(TB!S:S,TB!$J:$J,$C40)</f>
        <v>436.5</v>
      </c>
      <c r="N40" s="2">
        <f>-SUMIFS(TB!T:T,TB!$J:$J,$C40)</f>
        <v>485</v>
      </c>
      <c r="O40" s="2">
        <f>-SUMIFS(TB!U:U,TB!$J:$J,$C40)</f>
        <v>533.5</v>
      </c>
      <c r="P40" s="2">
        <f>-SUMIFS(TB!V:V,TB!$J:$J,$C40)</f>
        <v>0</v>
      </c>
      <c r="Q40" s="2">
        <f>-SUMIFS(TB!W:W,TB!$J:$J,$C40)</f>
        <v>51.25</v>
      </c>
      <c r="R40" s="2">
        <f>-SUMIFS(TB!X:X,TB!$J:$J,$C40)</f>
        <v>102.5</v>
      </c>
      <c r="S40" s="2">
        <f>-SUMIFS(TB!Y:Y,TB!$J:$J,$C40)</f>
        <v>153.75</v>
      </c>
      <c r="T40" s="2">
        <f>-SUMIFS(TB!Z:Z,TB!$J:$J,$C40)</f>
        <v>205</v>
      </c>
      <c r="U40" s="2">
        <f>-SUMIFS(TB!AA:AA,TB!$J:$J,$C40)</f>
        <v>256.25</v>
      </c>
      <c r="V40" s="2">
        <f>-SUMIFS(TB!AB:AB,TB!$J:$J,$C40)</f>
        <v>307.5</v>
      </c>
      <c r="W40" s="2">
        <f>-SUMIFS(TB!AC:AC,TB!$J:$J,$C40)</f>
        <v>358.75</v>
      </c>
      <c r="X40" s="2">
        <f>-SUMIFS(TB!AD:AD,TB!$J:$J,$C40)</f>
        <v>410</v>
      </c>
      <c r="Y40" s="2">
        <f>-SUMIFS(TB!AE:AE,TB!$J:$J,$C40)</f>
        <v>461.25</v>
      </c>
      <c r="Z40" s="2">
        <f>-SUMIFS(TB!AF:AF,TB!$J:$J,$C40)</f>
        <v>0</v>
      </c>
      <c r="AA40" s="2">
        <f>-SUMIFS(TB!AG:AG,TB!$J:$J,$C40)</f>
        <v>0</v>
      </c>
      <c r="AB40" s="2">
        <f>-SUMIFS(TB!AH:AH,TB!$J:$J,$C40)</f>
        <v>0</v>
      </c>
      <c r="AC40" s="2">
        <f>-SUMIFS(TB!AI:AI,TB!$J:$J,$C40)</f>
        <v>0</v>
      </c>
      <c r="AD40" s="2">
        <f>-SUMIFS(TB!AJ:AJ,TB!$J:$J,$C40)</f>
        <v>102.5</v>
      </c>
      <c r="AE40" s="2">
        <f>-SUMIFS(TB!AK:AK,TB!$J:$J,$C40)</f>
        <v>153.75</v>
      </c>
      <c r="AF40" s="2">
        <f>-SUMIFS(TB!AL:AL,TB!$J:$J,$C40)</f>
        <v>205</v>
      </c>
      <c r="AG40" s="2">
        <f>-SUMIFS(TB!AM:AM,TB!$J:$J,$C40)</f>
        <v>256.25</v>
      </c>
      <c r="AH40" s="2">
        <f>-SUMIFS(TB!AN:AN,TB!$J:$J,$C40)</f>
        <v>307.5</v>
      </c>
      <c r="AI40" s="2">
        <f>-SUMIFS(TB!AO:AO,TB!$J:$J,$C40)</f>
        <v>358.75</v>
      </c>
      <c r="AJ40" s="2"/>
      <c r="AK40" s="2">
        <f>P40</f>
        <v>0</v>
      </c>
      <c r="AL40" s="2">
        <f>AB40</f>
        <v>0</v>
      </c>
      <c r="AM40" s="2">
        <f>AI40</f>
        <v>358.75</v>
      </c>
      <c r="AN40" s="2"/>
      <c r="AO40" s="2">
        <f>IFERROR(AVERAGE(AG40:AI40),0)</f>
        <v>307.5</v>
      </c>
      <c r="AP40" s="2">
        <f>IFERROR(AVERAGE(AD40:AI40),0)</f>
        <v>230.625</v>
      </c>
      <c r="AQ40" s="2">
        <f>IFERROR(AVERAGE(AA40:AI40),0)</f>
        <v>153.75</v>
      </c>
      <c r="AR40" s="2">
        <f>IFERROR(AVERAGE(X40:AI40),0)</f>
        <v>187.91666666666666</v>
      </c>
    </row>
    <row r="41" spans="3:44" ht="11.25" customHeight="1" outlineLevel="1" x14ac:dyDescent="0.2">
      <c r="C41" t="s">
        <v>154</v>
      </c>
      <c r="D41" s="4"/>
      <c r="E41" s="2">
        <f>-SUMIFS(TB!K:K,TB!$J:$J,$C41)</f>
        <v>103.44607000000001</v>
      </c>
      <c r="F41" s="2">
        <f>-SUMIFS(TB!L:L,TB!$J:$J,$C41)</f>
        <v>103.44607000000001</v>
      </c>
      <c r="G41" s="2">
        <f>-SUMIFS(TB!M:M,TB!$J:$J,$C41)</f>
        <v>103.44607000000001</v>
      </c>
      <c r="H41" s="2">
        <f>-SUMIFS(TB!N:N,TB!$J:$J,$C41)</f>
        <v>103.44607000000001</v>
      </c>
      <c r="I41" s="2">
        <f>-SUMIFS(TB!O:O,TB!$J:$J,$C41)</f>
        <v>0</v>
      </c>
      <c r="J41" s="2">
        <f>-SUMIFS(TB!P:P,TB!$J:$J,$C41)</f>
        <v>0</v>
      </c>
      <c r="K41" s="2">
        <f>-SUMIFS(TB!Q:Q,TB!$J:$J,$C41)</f>
        <v>0</v>
      </c>
      <c r="L41" s="2">
        <f>-SUMIFS(TB!R:R,TB!$J:$J,$C41)</f>
        <v>0</v>
      </c>
      <c r="M41" s="2">
        <f>-SUMIFS(TB!S:S,TB!$J:$J,$C41)</f>
        <v>0</v>
      </c>
      <c r="N41" s="2">
        <f>-SUMIFS(TB!T:T,TB!$J:$J,$C41)</f>
        <v>0</v>
      </c>
      <c r="O41" s="2">
        <f>-SUMIFS(TB!U:U,TB!$J:$J,$C41)</f>
        <v>0</v>
      </c>
      <c r="P41" s="2">
        <f>-SUMIFS(TB!V:V,TB!$J:$J,$C41)</f>
        <v>91.939139999999995</v>
      </c>
      <c r="Q41" s="2">
        <f>-SUMIFS(TB!W:W,TB!$J:$J,$C41)</f>
        <v>91.939139999999995</v>
      </c>
      <c r="R41" s="2">
        <f>-SUMIFS(TB!X:X,TB!$J:$J,$C41)</f>
        <v>91.939139999999995</v>
      </c>
      <c r="S41" s="2">
        <f>-SUMIFS(TB!Y:Y,TB!$J:$J,$C41)</f>
        <v>91.939139999999995</v>
      </c>
      <c r="T41" s="2">
        <f>-SUMIFS(TB!Z:Z,TB!$J:$J,$C41)</f>
        <v>91.939139999999995</v>
      </c>
      <c r="U41" s="2">
        <f>-SUMIFS(TB!AA:AA,TB!$J:$J,$C41)</f>
        <v>0</v>
      </c>
      <c r="V41" s="2">
        <f>-SUMIFS(TB!AB:AB,TB!$J:$J,$C41)</f>
        <v>0</v>
      </c>
      <c r="W41" s="2">
        <f>-SUMIFS(TB!AC:AC,TB!$J:$J,$C41)</f>
        <v>0</v>
      </c>
      <c r="X41" s="2">
        <f>-SUMIFS(TB!AD:AD,TB!$J:$J,$C41)</f>
        <v>0</v>
      </c>
      <c r="Y41" s="2">
        <f>-SUMIFS(TB!AE:AE,TB!$J:$J,$C41)</f>
        <v>0</v>
      </c>
      <c r="Z41" s="2">
        <f>-SUMIFS(TB!AF:AF,TB!$J:$J,$C41)</f>
        <v>0</v>
      </c>
      <c r="AA41" s="2">
        <f>-SUMIFS(TB!AG:AG,TB!$J:$J,$C41)</f>
        <v>0</v>
      </c>
      <c r="AB41" s="2">
        <f>-SUMIFS(TB!AH:AH,TB!$J:$J,$C41)</f>
        <v>87.325890000000001</v>
      </c>
      <c r="AC41" s="2">
        <f>-SUMIFS(TB!AI:AI,TB!$J:$J,$C41)</f>
        <v>87.325890000000001</v>
      </c>
      <c r="AD41" s="2">
        <f>-SUMIFS(TB!AJ:AJ,TB!$J:$J,$C41)</f>
        <v>87.325890000000001</v>
      </c>
      <c r="AE41" s="2">
        <f>-SUMIFS(TB!AK:AK,TB!$J:$J,$C41)</f>
        <v>87.325890000000001</v>
      </c>
      <c r="AF41" s="2">
        <f>-SUMIFS(TB!AL:AL,TB!$J:$J,$C41)</f>
        <v>0</v>
      </c>
      <c r="AG41" s="2">
        <f>-SUMIFS(TB!AM:AM,TB!$J:$J,$C41)</f>
        <v>0</v>
      </c>
      <c r="AH41" s="2">
        <f>-SUMIFS(TB!AN:AN,TB!$J:$J,$C41)</f>
        <v>0</v>
      </c>
      <c r="AI41" s="2">
        <f>-SUMIFS(TB!AO:AO,TB!$J:$J,$C41)</f>
        <v>0</v>
      </c>
      <c r="AJ41" s="2"/>
      <c r="AK41" s="2">
        <f>P41</f>
        <v>91.939139999999995</v>
      </c>
      <c r="AL41" s="2">
        <f>AB41</f>
        <v>87.325890000000001</v>
      </c>
      <c r="AM41" s="2">
        <f>AI41</f>
        <v>0</v>
      </c>
      <c r="AN41" s="2"/>
      <c r="AO41" s="2">
        <f>IFERROR(AVERAGE(AG41:AI41),0)</f>
        <v>0</v>
      </c>
      <c r="AP41" s="2">
        <f>IFERROR(AVERAGE(AD41:AI41),0)</f>
        <v>29.108630000000002</v>
      </c>
      <c r="AQ41" s="2">
        <f>IFERROR(AVERAGE(AA41:AI41),0)</f>
        <v>38.811506666666666</v>
      </c>
      <c r="AR41" s="2">
        <f>IFERROR(AVERAGE(X41:AI41),0)</f>
        <v>29.108630000000002</v>
      </c>
    </row>
    <row r="42" spans="3:44" ht="11.25" customHeight="1" outlineLevel="1" x14ac:dyDescent="0.2">
      <c r="C42" s="17" t="s">
        <v>153</v>
      </c>
      <c r="D42" s="15"/>
      <c r="E42" s="14">
        <f>-SUMIFS(TB!K:K,TB!$J:$J,$C42)</f>
        <v>8.0588800000000003</v>
      </c>
      <c r="F42" s="14">
        <f>-SUMIFS(TB!L:L,TB!$J:$J,$C42)</f>
        <v>8.8410200000000003</v>
      </c>
      <c r="G42" s="14">
        <f>-SUMIFS(TB!M:M,TB!$J:$J,$C42)</f>
        <v>8.8410200000000003</v>
      </c>
      <c r="H42" s="14">
        <f>-SUMIFS(TB!N:N,TB!$J:$J,$C42)</f>
        <v>8.8810200000000012</v>
      </c>
      <c r="I42" s="14">
        <f>-SUMIFS(TB!O:O,TB!$J:$J,$C42)</f>
        <v>8.7560200000000012</v>
      </c>
      <c r="J42" s="14">
        <f>-SUMIFS(TB!P:P,TB!$J:$J,$C42)</f>
        <v>8.7560200000000012</v>
      </c>
      <c r="K42" s="14">
        <f>-SUMIFS(TB!Q:Q,TB!$J:$J,$C42)</f>
        <v>8.2840799999999994</v>
      </c>
      <c r="L42" s="14">
        <f>-SUMIFS(TB!R:R,TB!$J:$J,$C42)</f>
        <v>8.2840799999999994</v>
      </c>
      <c r="M42" s="14">
        <f>-SUMIFS(TB!S:S,TB!$J:$J,$C42)</f>
        <v>6.2965799999999996</v>
      </c>
      <c r="N42" s="14">
        <f>-SUMIFS(TB!T:T,TB!$J:$J,$C42)</f>
        <v>9.0425799999999992</v>
      </c>
      <c r="O42" s="14">
        <f>-SUMIFS(TB!U:U,TB!$J:$J,$C42)</f>
        <v>9.0425799999999992</v>
      </c>
      <c r="P42" s="14">
        <f>-SUMIFS(TB!V:V,TB!$J:$J,$C42)</f>
        <v>34.044519999999999</v>
      </c>
      <c r="Q42" s="14">
        <f>-SUMIFS(TB!W:W,TB!$J:$J,$C42)</f>
        <v>9.0425799999999992</v>
      </c>
      <c r="R42" s="14">
        <f>-SUMIFS(TB!X:X,TB!$J:$J,$C42)</f>
        <v>9.2625799999999998</v>
      </c>
      <c r="S42" s="14">
        <f>-SUMIFS(TB!Y:Y,TB!$J:$J,$C42)</f>
        <v>9.2625799999999998</v>
      </c>
      <c r="T42" s="14">
        <f>-SUMIFS(TB!Z:Z,TB!$J:$J,$C42)</f>
        <v>9.2701100000000007</v>
      </c>
      <c r="U42" s="14">
        <f>-SUMIFS(TB!AA:AA,TB!$J:$J,$C42)</f>
        <v>9.2701100000000007</v>
      </c>
      <c r="V42" s="14">
        <f>-SUMIFS(TB!AB:AB,TB!$J:$J,$C42)</f>
        <v>9.2625799999999998</v>
      </c>
      <c r="W42" s="14">
        <f>-SUMIFS(TB!AC:AC,TB!$J:$J,$C42)</f>
        <v>9.2701100000000007</v>
      </c>
      <c r="X42" s="14">
        <f>-SUMIFS(TB!AD:AD,TB!$J:$J,$C42)</f>
        <v>9.2701100000000007</v>
      </c>
      <c r="Y42" s="14">
        <f>-SUMIFS(TB!AE:AE,TB!$J:$J,$C42)</f>
        <v>9.2701100000000007</v>
      </c>
      <c r="Z42" s="14">
        <f>-SUMIFS(TB!AF:AF,TB!$J:$J,$C42)</f>
        <v>9.3978400000000004</v>
      </c>
      <c r="AA42" s="14">
        <f>-SUMIFS(TB!AG:AG,TB!$J:$J,$C42)</f>
        <v>7.6471599999999995</v>
      </c>
      <c r="AB42" s="14">
        <f>-SUMIFS(TB!AH:AH,TB!$J:$J,$C42)</f>
        <v>7.9801599999999997</v>
      </c>
      <c r="AC42" s="14">
        <f>-SUMIFS(TB!AI:AI,TB!$J:$J,$C42)</f>
        <v>8.0094200000000004</v>
      </c>
      <c r="AD42" s="14">
        <f>-SUMIFS(TB!AJ:AJ,TB!$J:$J,$C42)</f>
        <v>8.0094200000000004</v>
      </c>
      <c r="AE42" s="14">
        <f>-SUMIFS(TB!AK:AK,TB!$J:$J,$C42)</f>
        <v>17.013450000000002</v>
      </c>
      <c r="AF42" s="14">
        <f>-SUMIFS(TB!AL:AL,TB!$J:$J,$C42)</f>
        <v>8.5094200000000004</v>
      </c>
      <c r="AG42" s="14">
        <f>-SUMIFS(TB!AM:AM,TB!$J:$J,$C42)</f>
        <v>8.3867199999999986</v>
      </c>
      <c r="AH42" s="14">
        <f>-SUMIFS(TB!AN:AN,TB!$J:$J,$C42)</f>
        <v>8.3867199999999986</v>
      </c>
      <c r="AI42" s="14">
        <f>-SUMIFS(TB!AO:AO,TB!$J:$J,$C42)</f>
        <v>0</v>
      </c>
      <c r="AJ42" s="14"/>
      <c r="AK42" s="14">
        <f>P42</f>
        <v>34.044519999999999</v>
      </c>
      <c r="AL42" s="14">
        <f>AB42</f>
        <v>7.9801599999999997</v>
      </c>
      <c r="AM42" s="14">
        <f>AI42</f>
        <v>0</v>
      </c>
      <c r="AN42" s="14"/>
      <c r="AO42" s="14">
        <f>IFERROR(AVERAGE(AG42:AI42),0)</f>
        <v>5.591146666666666</v>
      </c>
      <c r="AP42" s="14">
        <f>IFERROR(AVERAGE(AD42:AI42),0)</f>
        <v>8.3842883333333322</v>
      </c>
      <c r="AQ42" s="14">
        <f>IFERROR(AVERAGE(AA42:AI42),0)</f>
        <v>8.2158300000000004</v>
      </c>
      <c r="AR42" s="14">
        <f>IFERROR(AVERAGE(X42:AI42),0)</f>
        <v>8.4900441666666655</v>
      </c>
    </row>
    <row r="43" spans="3:44" ht="11.25" customHeight="1" x14ac:dyDescent="0.2">
      <c r="C43" t="s">
        <v>152</v>
      </c>
      <c r="D43" s="4"/>
      <c r="E43" s="2">
        <f>SUM(E40:E42)</f>
        <v>160.00495000000001</v>
      </c>
      <c r="F43" s="2">
        <f>SUM(F40:F42)</f>
        <v>209.28709000000003</v>
      </c>
      <c r="G43" s="2">
        <f>SUM(G40:G42)</f>
        <v>257.78709000000003</v>
      </c>
      <c r="H43" s="2">
        <f>SUM(H40:H42)</f>
        <v>306.32709</v>
      </c>
      <c r="I43" s="2">
        <f>SUM(I40:I42)</f>
        <v>251.25602000000001</v>
      </c>
      <c r="J43" s="2">
        <f>SUM(J40:J42)</f>
        <v>299.75601999999998</v>
      </c>
      <c r="K43" s="2">
        <f>SUM(K40:K42)</f>
        <v>347.78408000000002</v>
      </c>
      <c r="L43" s="2">
        <f>SUM(L40:L42)</f>
        <v>396.28408000000002</v>
      </c>
      <c r="M43" s="2">
        <f>SUM(M40:M42)</f>
        <v>442.79658000000001</v>
      </c>
      <c r="N43" s="2">
        <f>SUM(N40:N42)</f>
        <v>494.04257999999999</v>
      </c>
      <c r="O43" s="2">
        <f>SUM(O40:O42)</f>
        <v>542.54258000000004</v>
      </c>
      <c r="P43" s="2">
        <f>SUM(P40:P42)</f>
        <v>125.98365999999999</v>
      </c>
      <c r="Q43" s="2">
        <f>SUM(Q40:Q42)</f>
        <v>152.23172</v>
      </c>
      <c r="R43" s="2">
        <f>SUM(R40:R42)</f>
        <v>203.70172000000002</v>
      </c>
      <c r="S43" s="2">
        <f>SUM(S40:S42)</f>
        <v>254.95172000000002</v>
      </c>
      <c r="T43" s="2">
        <f>SUM(T40:T42)</f>
        <v>306.20925</v>
      </c>
      <c r="U43" s="2">
        <f>SUM(U40:U42)</f>
        <v>265.52010999999999</v>
      </c>
      <c r="V43" s="2">
        <f>SUM(V40:V42)</f>
        <v>316.76258000000001</v>
      </c>
      <c r="W43" s="2">
        <f>SUM(W40:W42)</f>
        <v>368.02010999999999</v>
      </c>
      <c r="X43" s="2">
        <f>SUM(X40:X42)</f>
        <v>419.27010999999999</v>
      </c>
      <c r="Y43" s="2">
        <f>SUM(Y40:Y42)</f>
        <v>470.52010999999999</v>
      </c>
      <c r="Z43" s="2">
        <f>SUM(Z40:Z42)</f>
        <v>9.3978400000000004</v>
      </c>
      <c r="AA43" s="2">
        <f>SUM(AA40:AA42)</f>
        <v>7.6471599999999995</v>
      </c>
      <c r="AB43" s="2">
        <f>SUM(AB40:AB42)</f>
        <v>95.306049999999999</v>
      </c>
      <c r="AC43" s="2">
        <f>SUM(AC40:AC42)</f>
        <v>95.335310000000007</v>
      </c>
      <c r="AD43" s="2">
        <f>SUM(AD40:AD42)</f>
        <v>197.83531000000002</v>
      </c>
      <c r="AE43" s="2">
        <f>SUM(AE40:AE42)</f>
        <v>258.08933999999999</v>
      </c>
      <c r="AF43" s="2">
        <f>SUM(AF40:AF42)</f>
        <v>213.50942000000001</v>
      </c>
      <c r="AG43" s="2">
        <f>SUM(AG40:AG42)</f>
        <v>264.63672000000003</v>
      </c>
      <c r="AH43" s="2">
        <f>SUM(AH40:AH42)</f>
        <v>315.88672000000003</v>
      </c>
      <c r="AI43" s="2">
        <f>SUM(AI40:AI42)</f>
        <v>358.75</v>
      </c>
      <c r="AJ43" s="2"/>
      <c r="AK43" s="2">
        <f>SUM(AK40:AK42)</f>
        <v>125.98365999999999</v>
      </c>
      <c r="AL43" s="2">
        <f>SUM(AL40:AL42)</f>
        <v>95.306049999999999</v>
      </c>
      <c r="AM43" s="2">
        <f>SUM(AM40:AM42)</f>
        <v>358.75</v>
      </c>
      <c r="AN43" s="2"/>
      <c r="AO43" s="2">
        <f>SUM(AO40:AO42)</f>
        <v>313.09114666666665</v>
      </c>
      <c r="AP43" s="2">
        <f>SUM(AP40:AP42)</f>
        <v>268.11791833333336</v>
      </c>
      <c r="AQ43" s="2">
        <f>SUM(AQ40:AQ42)</f>
        <v>200.77733666666668</v>
      </c>
      <c r="AR43" s="2">
        <f>SUM(AR40:AR42)</f>
        <v>225.51534083333334</v>
      </c>
    </row>
    <row r="44" spans="3:44" ht="6" customHeight="1" outlineLevel="1" x14ac:dyDescent="0.2">
      <c r="D44" s="4"/>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row>
    <row r="45" spans="3:44" ht="11.25" customHeight="1" outlineLevel="1" x14ac:dyDescent="0.2">
      <c r="C45" s="17" t="s">
        <v>151</v>
      </c>
      <c r="D45" s="15"/>
      <c r="E45" s="14">
        <f>-SUMIFS(TB!K:K,TB!$J:$J,$C45)</f>
        <v>4.9988900000000003</v>
      </c>
      <c r="F45" s="14">
        <f>-SUMIFS(TB!L:L,TB!$J:$J,$C45)</f>
        <v>11.54903</v>
      </c>
      <c r="G45" s="14">
        <f>-SUMIFS(TB!M:M,TB!$J:$J,$C45)</f>
        <v>0.10635</v>
      </c>
      <c r="H45" s="14">
        <f>-SUMIFS(TB!N:N,TB!$J:$J,$C45)</f>
        <v>5.72126</v>
      </c>
      <c r="I45" s="14">
        <f>-SUMIFS(TB!O:O,TB!$J:$J,$C45)</f>
        <v>1.63473</v>
      </c>
      <c r="J45" s="14">
        <f>-SUMIFS(TB!P:P,TB!$J:$J,$C45)</f>
        <v>1.6259700000000001</v>
      </c>
      <c r="K45" s="14">
        <f>-SUMIFS(TB!Q:Q,TB!$J:$J,$C45)</f>
        <v>2.9461200000000001</v>
      </c>
      <c r="L45" s="14">
        <f>-SUMIFS(TB!R:R,TB!$J:$J,$C45)</f>
        <v>1.3489899999999999</v>
      </c>
      <c r="M45" s="14">
        <f>-SUMIFS(TB!S:S,TB!$J:$J,$C45)</f>
        <v>0.21380000000000002</v>
      </c>
      <c r="N45" s="14">
        <f>-SUMIFS(TB!T:T,TB!$J:$J,$C45)</f>
        <v>0.66918</v>
      </c>
      <c r="O45" s="14">
        <f>-SUMIFS(TB!U:U,TB!$J:$J,$C45)</f>
        <v>5.4251300000000002</v>
      </c>
      <c r="P45" s="14">
        <f>-SUMIFS(TB!V:V,TB!$J:$J,$C45)</f>
        <v>5.6001400000000006</v>
      </c>
      <c r="Q45" s="14">
        <f>-SUMIFS(TB!W:W,TB!$J:$J,$C45)</f>
        <v>4.8886799999999999</v>
      </c>
      <c r="R45" s="14">
        <f>-SUMIFS(TB!X:X,TB!$J:$J,$C45)</f>
        <v>1.1119000000000001</v>
      </c>
      <c r="S45" s="14">
        <f>-SUMIFS(TB!Y:Y,TB!$J:$J,$C45)</f>
        <v>5.43933</v>
      </c>
      <c r="T45" s="14">
        <f>-SUMIFS(TB!Z:Z,TB!$J:$J,$C45)</f>
        <v>3.8437899999999998</v>
      </c>
      <c r="U45" s="14">
        <f>-SUMIFS(TB!AA:AA,TB!$J:$J,$C45)</f>
        <v>0.43463999999999997</v>
      </c>
      <c r="V45" s="14">
        <f>-SUMIFS(TB!AB:AB,TB!$J:$J,$C45)</f>
        <v>5.4978899999999999</v>
      </c>
      <c r="W45" s="14">
        <f>-SUMIFS(TB!AC:AC,TB!$J:$J,$C45)</f>
        <v>4.1983300000000003</v>
      </c>
      <c r="X45" s="14">
        <f>-SUMIFS(TB!AD:AD,TB!$J:$J,$C45)</f>
        <v>4.02806</v>
      </c>
      <c r="Y45" s="14">
        <f>-SUMIFS(TB!AE:AE,TB!$J:$J,$C45)</f>
        <v>0</v>
      </c>
      <c r="Z45" s="14">
        <f>-SUMIFS(TB!AF:AF,TB!$J:$J,$C45)</f>
        <v>3.4602199999999996</v>
      </c>
      <c r="AA45" s="14">
        <f>-SUMIFS(TB!AG:AG,TB!$J:$J,$C45)</f>
        <v>4.3994300000000006</v>
      </c>
      <c r="AB45" s="14">
        <f>-SUMIFS(TB!AH:AH,TB!$J:$J,$C45)</f>
        <v>3.9042500000000002</v>
      </c>
      <c r="AC45" s="14">
        <f>-SUMIFS(TB!AI:AI,TB!$J:$J,$C45)</f>
        <v>3.98306</v>
      </c>
      <c r="AD45" s="14">
        <f>-SUMIFS(TB!AJ:AJ,TB!$J:$J,$C45)</f>
        <v>2.3029799999999998</v>
      </c>
      <c r="AE45" s="14">
        <f>-SUMIFS(TB!AK:AK,TB!$J:$J,$C45)</f>
        <v>3.4098800000000002</v>
      </c>
      <c r="AF45" s="14">
        <f>-SUMIFS(TB!AL:AL,TB!$J:$J,$C45)</f>
        <v>5.76356</v>
      </c>
      <c r="AG45" s="14">
        <f>-SUMIFS(TB!AM:AM,TB!$J:$J,$C45)</f>
        <v>3.0628200000000003</v>
      </c>
      <c r="AH45" s="14">
        <f>-SUMIFS(TB!AN:AN,TB!$J:$J,$C45)</f>
        <v>3.1991900000000002</v>
      </c>
      <c r="AI45" s="14">
        <f>-SUMIFS(TB!AO:AO,TB!$J:$J,$C45)</f>
        <v>4.8542200000000006</v>
      </c>
      <c r="AJ45" s="14"/>
      <c r="AK45" s="14">
        <f>P45</f>
        <v>5.6001400000000006</v>
      </c>
      <c r="AL45" s="14">
        <f>AB45</f>
        <v>3.9042500000000002</v>
      </c>
      <c r="AM45" s="14">
        <f>AI45</f>
        <v>4.8542200000000006</v>
      </c>
      <c r="AN45" s="14"/>
      <c r="AO45" s="14">
        <f>IFERROR(AVERAGE(AG45:AI45),0)</f>
        <v>3.7054100000000005</v>
      </c>
      <c r="AP45" s="14">
        <f>IFERROR(AVERAGE(AD45:AI45),0)</f>
        <v>3.7654416666666672</v>
      </c>
      <c r="AQ45" s="14">
        <f>IFERROR(AVERAGE(AA45:AI45),0)</f>
        <v>3.8754877777777779</v>
      </c>
      <c r="AR45" s="14">
        <f>IFERROR(AVERAGE(X45:AI45),0)</f>
        <v>3.5306391666666666</v>
      </c>
    </row>
    <row r="46" spans="3:44" ht="11.25" customHeight="1" x14ac:dyDescent="0.2">
      <c r="C46" t="s">
        <v>150</v>
      </c>
      <c r="D46" s="4"/>
      <c r="E46" s="2">
        <f>SUM(E45:E45)</f>
        <v>4.9988900000000003</v>
      </c>
      <c r="F46" s="2">
        <f>SUM(F45:F45)</f>
        <v>11.54903</v>
      </c>
      <c r="G46" s="2">
        <f>SUM(G45:G45)</f>
        <v>0.10635</v>
      </c>
      <c r="H46" s="2">
        <f>SUM(H45:H45)</f>
        <v>5.72126</v>
      </c>
      <c r="I46" s="2">
        <f>SUM(I45:I45)</f>
        <v>1.63473</v>
      </c>
      <c r="J46" s="2">
        <f>SUM(J45:J45)</f>
        <v>1.6259700000000001</v>
      </c>
      <c r="K46" s="2">
        <f>SUM(K45:K45)</f>
        <v>2.9461200000000001</v>
      </c>
      <c r="L46" s="2">
        <f>SUM(L45:L45)</f>
        <v>1.3489899999999999</v>
      </c>
      <c r="M46" s="2">
        <f>SUM(M45:M45)</f>
        <v>0.21380000000000002</v>
      </c>
      <c r="N46" s="2">
        <f>SUM(N45:N45)</f>
        <v>0.66918</v>
      </c>
      <c r="O46" s="2">
        <f>SUM(O45:O45)</f>
        <v>5.4251300000000002</v>
      </c>
      <c r="P46" s="2">
        <f>SUM(P45:P45)</f>
        <v>5.6001400000000006</v>
      </c>
      <c r="Q46" s="2">
        <f>SUM(Q45:Q45)</f>
        <v>4.8886799999999999</v>
      </c>
      <c r="R46" s="2">
        <f>SUM(R45:R45)</f>
        <v>1.1119000000000001</v>
      </c>
      <c r="S46" s="2">
        <f>SUM(S45:S45)</f>
        <v>5.43933</v>
      </c>
      <c r="T46" s="2">
        <f>SUM(T45:T45)</f>
        <v>3.8437899999999998</v>
      </c>
      <c r="U46" s="2">
        <f>SUM(U45:U45)</f>
        <v>0.43463999999999997</v>
      </c>
      <c r="V46" s="2">
        <f>SUM(V45:V45)</f>
        <v>5.4978899999999999</v>
      </c>
      <c r="W46" s="2">
        <f>SUM(W45:W45)</f>
        <v>4.1983300000000003</v>
      </c>
      <c r="X46" s="2">
        <f>SUM(X45:X45)</f>
        <v>4.02806</v>
      </c>
      <c r="Y46" s="2">
        <f>SUM(Y45:Y45)</f>
        <v>0</v>
      </c>
      <c r="Z46" s="2">
        <f>SUM(Z45:Z45)</f>
        <v>3.4602199999999996</v>
      </c>
      <c r="AA46" s="2">
        <f>SUM(AA45:AA45)</f>
        <v>4.3994300000000006</v>
      </c>
      <c r="AB46" s="2">
        <f>SUM(AB45:AB45)</f>
        <v>3.9042500000000002</v>
      </c>
      <c r="AC46" s="2">
        <f>SUM(AC45:AC45)</f>
        <v>3.98306</v>
      </c>
      <c r="AD46" s="2">
        <f>SUM(AD45:AD45)</f>
        <v>2.3029799999999998</v>
      </c>
      <c r="AE46" s="2">
        <f>SUM(AE45:AE45)</f>
        <v>3.4098800000000002</v>
      </c>
      <c r="AF46" s="2">
        <f>SUM(AF45:AF45)</f>
        <v>5.76356</v>
      </c>
      <c r="AG46" s="2">
        <f>SUM(AG45:AG45)</f>
        <v>3.0628200000000003</v>
      </c>
      <c r="AH46" s="2">
        <f>SUM(AH45:AH45)</f>
        <v>3.1991900000000002</v>
      </c>
      <c r="AI46" s="2">
        <f>SUM(AI45:AI45)</f>
        <v>4.8542200000000006</v>
      </c>
      <c r="AJ46" s="2"/>
      <c r="AK46" s="2">
        <f>SUM(AK45:AK45)</f>
        <v>5.6001400000000006</v>
      </c>
      <c r="AL46" s="2">
        <f>SUM(AL45:AL45)</f>
        <v>3.9042500000000002</v>
      </c>
      <c r="AM46" s="2">
        <f>SUM(AM45:AM45)</f>
        <v>4.8542200000000006</v>
      </c>
      <c r="AN46" s="2"/>
      <c r="AO46" s="2">
        <f>SUM(AO45:AO45)</f>
        <v>3.7054100000000005</v>
      </c>
      <c r="AP46" s="2">
        <f>SUM(AP45:AP45)</f>
        <v>3.7654416666666672</v>
      </c>
      <c r="AQ46" s="2">
        <f>SUM(AQ45:AQ45)</f>
        <v>3.8754877777777779</v>
      </c>
      <c r="AR46" s="2">
        <f>SUM(AR45:AR45)</f>
        <v>3.5306391666666666</v>
      </c>
    </row>
    <row r="47" spans="3:44" ht="11.25" customHeight="1" x14ac:dyDescent="0.25">
      <c r="C47" s="43" t="s">
        <v>149</v>
      </c>
      <c r="D47" s="56"/>
      <c r="E47" s="42">
        <f>E29+E35+E38+E46+E43</f>
        <v>1449.09602</v>
      </c>
      <c r="F47" s="42">
        <f>F29+F35+F38+F46+F43</f>
        <v>1527.2330399999998</v>
      </c>
      <c r="G47" s="42">
        <f>G29+G35+G38+G46+G43</f>
        <v>1615.99803</v>
      </c>
      <c r="H47" s="42">
        <f>H29+H35+H38+H46+H43</f>
        <v>1559.42353</v>
      </c>
      <c r="I47" s="42">
        <f>I29+I35+I38+I46+I43</f>
        <v>1550.2368299999998</v>
      </c>
      <c r="J47" s="42">
        <f>J29+J35+J38+J46+J43</f>
        <v>1604.0057199999999</v>
      </c>
      <c r="K47" s="42">
        <f>K29+K35+K38+K46+K43</f>
        <v>1719.67443</v>
      </c>
      <c r="L47" s="42">
        <f>L29+L35+L38+L46+L43</f>
        <v>1691.65897</v>
      </c>
      <c r="M47" s="42">
        <f>M29+M35+M38+M46+M43</f>
        <v>1538.5094199999999</v>
      </c>
      <c r="N47" s="42">
        <f>N29+N35+N38+N46+N43</f>
        <v>1625.1228800000001</v>
      </c>
      <c r="O47" s="42">
        <f>O29+O35+O38+O46+O43</f>
        <v>1889.50245</v>
      </c>
      <c r="P47" s="42">
        <f>P29+P35+P38+P46+P43</f>
        <v>1245.3871800000002</v>
      </c>
      <c r="Q47" s="42">
        <f>Q29+Q35+Q38+Q46+Q43</f>
        <v>1328.51061</v>
      </c>
      <c r="R47" s="42">
        <f>R29+R35+R38+R46+R43</f>
        <v>1324.2310900000002</v>
      </c>
      <c r="S47" s="42">
        <f>S29+S35+S38+S46+S43</f>
        <v>1358.1352899999999</v>
      </c>
      <c r="T47" s="42">
        <f>T29+T35+T38+T46+T43</f>
        <v>1322.16176</v>
      </c>
      <c r="U47" s="42">
        <f>U29+U35+U38+U46+U43</f>
        <v>1399.5944999999999</v>
      </c>
      <c r="V47" s="42">
        <f>V29+V35+V38+V46+V43</f>
        <v>1375.3744400000003</v>
      </c>
      <c r="W47" s="42">
        <f>W29+W35+W38+W46+W43</f>
        <v>1440.63051</v>
      </c>
      <c r="X47" s="42">
        <f>X29+X35+X38+X46+X43</f>
        <v>1542.6405500000001</v>
      </c>
      <c r="Y47" s="42">
        <f>Y29+Y35+Y38+Y46+Y43</f>
        <v>1539.61178</v>
      </c>
      <c r="Z47" s="42">
        <f>Z29+Z35+Z38+Z46+Z43</f>
        <v>1185.71164</v>
      </c>
      <c r="AA47" s="42">
        <f>AA29+AA35+AA38+AA46+AA43</f>
        <v>1057.1979899999999</v>
      </c>
      <c r="AB47" s="42">
        <f>AB29+AB35+AB38+AB46+AB43</f>
        <v>1174.25425</v>
      </c>
      <c r="AC47" s="42">
        <f>AC29+AC35+AC38+AC46+AC43</f>
        <v>1219.6444799999999</v>
      </c>
      <c r="AD47" s="42">
        <f>AD29+AD35+AD38+AD46+AD43</f>
        <v>1353.3332499999999</v>
      </c>
      <c r="AE47" s="42">
        <f>AE29+AE35+AE38+AE46+AE43</f>
        <v>1433.7202699999998</v>
      </c>
      <c r="AF47" s="42">
        <f>AF29+AF35+AF38+AF46+AF43</f>
        <v>1143.8601100000001</v>
      </c>
      <c r="AG47" s="42">
        <f>AG29+AG35+AG38+AG46+AG43</f>
        <v>1289.4297899999999</v>
      </c>
      <c r="AH47" s="42">
        <f>AH29+AH35+AH38+AH46+AH43</f>
        <v>1292.4159099999999</v>
      </c>
      <c r="AI47" s="42">
        <f>AI29+AI35+AI38+AI46+AI43</f>
        <v>1285.7402099999999</v>
      </c>
      <c r="AJ47" s="42"/>
      <c r="AK47" s="42">
        <f>AK29+AK35+AK38+AK46+AK43</f>
        <v>1245.3871800000002</v>
      </c>
      <c r="AL47" s="42">
        <f>AL29+AL35+AL38+AL46+AL43</f>
        <v>1174.25425</v>
      </c>
      <c r="AM47" s="42">
        <f>AM29+AM35+AM38+AM46+AM43</f>
        <v>1285.7402099999999</v>
      </c>
      <c r="AN47" s="42"/>
      <c r="AO47" s="42">
        <f>AO29+AO35+AO38+AO46+AO43</f>
        <v>1289.1953033333332</v>
      </c>
      <c r="AP47" s="42">
        <f>AP29+AP35+AP38+AP46+AP43</f>
        <v>1299.7499233333331</v>
      </c>
      <c r="AQ47" s="42">
        <f>AQ29+AQ35+AQ38+AQ46+AQ43</f>
        <v>1249.9551400000003</v>
      </c>
      <c r="AR47" s="42">
        <f>AR29+AR35+AR38+AR46+AR43</f>
        <v>1293.1300191666667</v>
      </c>
    </row>
    <row r="48" spans="3:44" ht="12" customHeight="1" thickBot="1" x14ac:dyDescent="0.3">
      <c r="C48" s="40" t="s">
        <v>148</v>
      </c>
      <c r="D48" s="49"/>
      <c r="E48" s="51">
        <f>E26-E47</f>
        <v>483.85468000000014</v>
      </c>
      <c r="F48" s="51">
        <f>F26-F47</f>
        <v>336.86657000000014</v>
      </c>
      <c r="G48" s="51">
        <f>G26-G47</f>
        <v>436.4233200000001</v>
      </c>
      <c r="H48" s="51">
        <f>H26-H47</f>
        <v>714.62410999999975</v>
      </c>
      <c r="I48" s="51">
        <f>I26-I47</f>
        <v>803.08007999999973</v>
      </c>
      <c r="J48" s="51">
        <f>J26-J47</f>
        <v>746.75467999999978</v>
      </c>
      <c r="K48" s="51">
        <f>K26-K47</f>
        <v>834.30213999999978</v>
      </c>
      <c r="L48" s="51">
        <f>L26-L47</f>
        <v>1508.67103</v>
      </c>
      <c r="M48" s="51">
        <f>M26-M47</f>
        <v>2324.4305800000002</v>
      </c>
      <c r="N48" s="51">
        <f>N26-N47</f>
        <v>2070.7343999999994</v>
      </c>
      <c r="O48" s="51">
        <f>O26-O47</f>
        <v>1838.4823099999999</v>
      </c>
      <c r="P48" s="51">
        <f>P26-P47</f>
        <v>1853.9785099999999</v>
      </c>
      <c r="Q48" s="51">
        <f>Q26-Q47</f>
        <v>1766.3403099999998</v>
      </c>
      <c r="R48" s="51">
        <f>R26-R47</f>
        <v>1850.6710599999997</v>
      </c>
      <c r="S48" s="51">
        <f>S26-S47</f>
        <v>1701.6435099999997</v>
      </c>
      <c r="T48" s="51">
        <f>T26-T47</f>
        <v>1537.7254799999996</v>
      </c>
      <c r="U48" s="51">
        <f>U26-U47</f>
        <v>1552.8100200000001</v>
      </c>
      <c r="V48" s="51">
        <f>V26-V47</f>
        <v>1343.7625399999999</v>
      </c>
      <c r="W48" s="51">
        <f>W26-W47</f>
        <v>1166.2995599999999</v>
      </c>
      <c r="X48" s="51">
        <f>X26-X47</f>
        <v>1773.0232199999996</v>
      </c>
      <c r="Y48" s="51">
        <f>Y26-Y47</f>
        <v>2270.3519200000001</v>
      </c>
      <c r="Z48" s="51">
        <f>Z26-Z47</f>
        <v>2465.4757799999998</v>
      </c>
      <c r="AA48" s="51">
        <f>AA26-AA47</f>
        <v>2465.8567599999997</v>
      </c>
      <c r="AB48" s="51">
        <f>AB26-AB47</f>
        <v>2285.0352700000003</v>
      </c>
      <c r="AC48" s="51">
        <f>AC26-AC47</f>
        <v>1882.9719300000002</v>
      </c>
      <c r="AD48" s="51">
        <f>AD26-AD47</f>
        <v>1586.7917400000003</v>
      </c>
      <c r="AE48" s="51">
        <f>AE26-AE47</f>
        <v>1672.9669000000004</v>
      </c>
      <c r="AF48" s="51">
        <f>AF26-AF47</f>
        <v>1650.49287</v>
      </c>
      <c r="AG48" s="51">
        <f>AG26-AG47</f>
        <v>1417.6998100000003</v>
      </c>
      <c r="AH48" s="51">
        <f>AH26-AH47</f>
        <v>1555.7149600000005</v>
      </c>
      <c r="AI48" s="51">
        <f>AI26-AI47</f>
        <v>1253.3977800000002</v>
      </c>
      <c r="AJ48" s="51"/>
      <c r="AK48" s="51">
        <f>AK26-AK47</f>
        <v>1853.9785099999999</v>
      </c>
      <c r="AL48" s="51">
        <f>AL26-AL47</f>
        <v>2285.0352700000003</v>
      </c>
      <c r="AM48" s="51">
        <f>AM26-AM47</f>
        <v>1253.3977800000002</v>
      </c>
      <c r="AN48" s="51"/>
      <c r="AO48" s="51">
        <f>AO26-AO47</f>
        <v>1408.9375166666671</v>
      </c>
      <c r="AP48" s="51">
        <f>AP26-AP47</f>
        <v>1522.8440100000009</v>
      </c>
      <c r="AQ48" s="51">
        <f>AQ26-AQ47</f>
        <v>1752.3253355555555</v>
      </c>
      <c r="AR48" s="51">
        <f>AR26-AR47</f>
        <v>1856.6482450000001</v>
      </c>
    </row>
    <row r="49" spans="3:44" ht="6" customHeight="1" x14ac:dyDescent="0.2">
      <c r="D49" s="4"/>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row>
    <row r="50" spans="3:44" ht="11.25" customHeight="1" x14ac:dyDescent="0.2">
      <c r="C50" s="7" t="s">
        <v>147</v>
      </c>
      <c r="D50" s="4"/>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row>
    <row r="51" spans="3:44" ht="11.25" customHeight="1" x14ac:dyDescent="0.2">
      <c r="C51" t="s">
        <v>146</v>
      </c>
      <c r="D51" s="4"/>
      <c r="E51" s="2">
        <f>-E11</f>
        <v>-1634.4889000000001</v>
      </c>
      <c r="F51" s="2">
        <f>-F11</f>
        <v>-1515.8343100000002</v>
      </c>
      <c r="G51" s="2">
        <f>-G11</f>
        <v>-1285.8185500000002</v>
      </c>
      <c r="H51" s="2">
        <f>-H11</f>
        <v>-1744.66732</v>
      </c>
      <c r="I51" s="2">
        <f>-I11</f>
        <v>-1893.5655899999999</v>
      </c>
      <c r="J51" s="2">
        <f>-J11</f>
        <v>-1712.3810799999999</v>
      </c>
      <c r="K51" s="2">
        <f>-K11</f>
        <v>-1802.0490499999999</v>
      </c>
      <c r="L51" s="2">
        <f>-L11</f>
        <v>-1828.55198</v>
      </c>
      <c r="M51" s="2">
        <f>-M11</f>
        <v>-2956.0589800000002</v>
      </c>
      <c r="N51" s="2">
        <f>-N11</f>
        <v>-3328.94526</v>
      </c>
      <c r="O51" s="2">
        <f>-O11</f>
        <v>-3360.91174</v>
      </c>
      <c r="P51" s="2">
        <f>-P11</f>
        <v>-2467.13717</v>
      </c>
      <c r="Q51" s="2">
        <f>-Q11</f>
        <v>-2552.3519000000001</v>
      </c>
      <c r="R51" s="2">
        <f>-R11</f>
        <v>-2457.46513</v>
      </c>
      <c r="S51" s="2">
        <f>-S11</f>
        <v>-2590.8992799999996</v>
      </c>
      <c r="T51" s="2">
        <f>-T11</f>
        <v>-2431.6507199999996</v>
      </c>
      <c r="U51" s="2">
        <f>-U11</f>
        <v>-2430.7370000000001</v>
      </c>
      <c r="V51" s="2">
        <f>-V11</f>
        <v>-2168.6964600000001</v>
      </c>
      <c r="W51" s="2">
        <f>-W11</f>
        <v>-2132.2815499999997</v>
      </c>
      <c r="X51" s="2">
        <f>-X11</f>
        <v>-2394.8332499999997</v>
      </c>
      <c r="Y51" s="2">
        <f>-Y11</f>
        <v>-2701.4361799999997</v>
      </c>
      <c r="Z51" s="2">
        <f>-Z11</f>
        <v>-3318.5348999999997</v>
      </c>
      <c r="AA51" s="2">
        <f>-AA11</f>
        <v>-2791.1657299999997</v>
      </c>
      <c r="AB51" s="2">
        <f>-AB11</f>
        <v>-2857.098</v>
      </c>
      <c r="AC51" s="2">
        <f>-AC11</f>
        <v>-2540.75189</v>
      </c>
      <c r="AD51" s="2">
        <f>-AD11</f>
        <v>-2423.83347</v>
      </c>
      <c r="AE51" s="2">
        <f>-AE11</f>
        <v>-2106.0055499999999</v>
      </c>
      <c r="AF51" s="2">
        <f>-AF11</f>
        <v>-2154.0578599999999</v>
      </c>
      <c r="AG51" s="2">
        <f>-AG11</f>
        <v>-2093.9210800000001</v>
      </c>
      <c r="AH51" s="2">
        <f>-AH11</f>
        <v>-2007.01935</v>
      </c>
      <c r="AI51" s="2">
        <f>-AI11</f>
        <v>-1764.08347</v>
      </c>
      <c r="AJ51" s="2"/>
      <c r="AK51" s="2">
        <f>P51</f>
        <v>-2467.13717</v>
      </c>
      <c r="AL51" s="2">
        <f>AB51</f>
        <v>-2857.098</v>
      </c>
      <c r="AM51" s="2">
        <f>AI51</f>
        <v>-1764.08347</v>
      </c>
      <c r="AN51" s="2"/>
      <c r="AO51" s="2">
        <f>IFERROR(AVERAGE(AG51:AI51),0)</f>
        <v>-1955.0079666666668</v>
      </c>
      <c r="AP51" s="2">
        <f>IFERROR(AVERAGE(AD51:AI51),0)</f>
        <v>-2091.4867966666666</v>
      </c>
      <c r="AQ51" s="2">
        <f>IFERROR(AVERAGE(AA51:AI51),0)</f>
        <v>-2304.2151555555556</v>
      </c>
      <c r="AR51" s="2">
        <f>IFERROR(AVERAGE(X51:AI51),0)</f>
        <v>-2429.3950608333339</v>
      </c>
    </row>
    <row r="52" spans="3:44" ht="11.25" customHeight="1" x14ac:dyDescent="0.2">
      <c r="C52" t="s">
        <v>145</v>
      </c>
      <c r="D52" s="4"/>
      <c r="E52" s="2">
        <v>0</v>
      </c>
      <c r="F52" s="2">
        <v>0</v>
      </c>
      <c r="G52" s="2">
        <v>0</v>
      </c>
      <c r="H52" s="2">
        <v>0</v>
      </c>
      <c r="I52" s="2">
        <v>0</v>
      </c>
      <c r="J52" s="2">
        <v>0</v>
      </c>
      <c r="K52" s="2">
        <v>0</v>
      </c>
      <c r="L52" s="2">
        <v>0</v>
      </c>
      <c r="M52" s="2">
        <v>0</v>
      </c>
      <c r="N52" s="2">
        <v>0</v>
      </c>
      <c r="O52" s="2">
        <v>0</v>
      </c>
      <c r="P52" s="2">
        <v>0</v>
      </c>
      <c r="Q52" s="2">
        <v>0</v>
      </c>
      <c r="R52" s="2">
        <v>0</v>
      </c>
      <c r="S52" s="2">
        <v>0</v>
      </c>
      <c r="T52" s="2">
        <v>0</v>
      </c>
      <c r="U52" s="2">
        <v>0</v>
      </c>
      <c r="V52" s="2">
        <v>0</v>
      </c>
      <c r="W52" s="2">
        <v>0</v>
      </c>
      <c r="X52" s="2">
        <v>0</v>
      </c>
      <c r="Y52" s="2">
        <v>0</v>
      </c>
      <c r="Z52" s="2">
        <v>0</v>
      </c>
      <c r="AA52" s="2">
        <v>0</v>
      </c>
      <c r="AB52" s="2">
        <v>0</v>
      </c>
      <c r="AC52" s="2">
        <v>0</v>
      </c>
      <c r="AD52" s="2">
        <v>0</v>
      </c>
      <c r="AE52" s="2">
        <v>0</v>
      </c>
      <c r="AF52" s="2">
        <v>0</v>
      </c>
      <c r="AG52" s="2">
        <v>0</v>
      </c>
      <c r="AH52" s="2">
        <v>0</v>
      </c>
      <c r="AI52" s="2">
        <v>0</v>
      </c>
      <c r="AJ52" s="2"/>
      <c r="AK52" s="2">
        <f>P52</f>
        <v>0</v>
      </c>
      <c r="AL52" s="2">
        <f>AB52</f>
        <v>0</v>
      </c>
      <c r="AM52" s="2">
        <f>AI52</f>
        <v>0</v>
      </c>
      <c r="AN52" s="2"/>
      <c r="AO52" s="2">
        <f>IFERROR(AVERAGE(AG52:AI52),0)</f>
        <v>0</v>
      </c>
      <c r="AP52" s="2">
        <f>IFERROR(AVERAGE(AD52:AI52),0)</f>
        <v>0</v>
      </c>
      <c r="AQ52" s="2">
        <f>IFERROR(AVERAGE(AA52:AI52),0)</f>
        <v>0</v>
      </c>
      <c r="AR52" s="2">
        <f>IFERROR(AVERAGE(X52:AI52),0)</f>
        <v>0</v>
      </c>
    </row>
    <row r="53" spans="3:44" ht="11.25" customHeight="1" x14ac:dyDescent="0.2">
      <c r="C53" t="s">
        <v>144</v>
      </c>
      <c r="D53" s="4"/>
      <c r="E53" s="2">
        <v>0</v>
      </c>
      <c r="F53" s="2">
        <v>0</v>
      </c>
      <c r="G53" s="2">
        <v>0</v>
      </c>
      <c r="H53" s="2">
        <v>0</v>
      </c>
      <c r="I53" s="2">
        <v>0</v>
      </c>
      <c r="J53" s="2">
        <v>0</v>
      </c>
      <c r="K53" s="2">
        <v>0</v>
      </c>
      <c r="L53" s="2">
        <v>0</v>
      </c>
      <c r="M53" s="2">
        <v>0</v>
      </c>
      <c r="N53" s="2">
        <v>0</v>
      </c>
      <c r="O53" s="2">
        <v>0</v>
      </c>
      <c r="P53" s="2">
        <v>0</v>
      </c>
      <c r="Q53" s="2">
        <v>0</v>
      </c>
      <c r="R53" s="2">
        <v>0</v>
      </c>
      <c r="S53" s="2">
        <v>0</v>
      </c>
      <c r="T53" s="2">
        <v>0</v>
      </c>
      <c r="U53" s="2">
        <v>0</v>
      </c>
      <c r="V53" s="2">
        <v>0</v>
      </c>
      <c r="W53" s="2">
        <v>0</v>
      </c>
      <c r="X53" s="2">
        <v>0</v>
      </c>
      <c r="Y53" s="2">
        <v>0</v>
      </c>
      <c r="Z53" s="2">
        <v>0</v>
      </c>
      <c r="AA53" s="2">
        <v>0</v>
      </c>
      <c r="AB53" s="2">
        <v>0</v>
      </c>
      <c r="AC53" s="2">
        <v>0</v>
      </c>
      <c r="AD53" s="2">
        <v>0</v>
      </c>
      <c r="AE53" s="2">
        <v>0</v>
      </c>
      <c r="AF53" s="2">
        <v>0</v>
      </c>
      <c r="AG53" s="2">
        <v>0</v>
      </c>
      <c r="AH53" s="2">
        <v>0</v>
      </c>
      <c r="AI53" s="2">
        <v>0</v>
      </c>
      <c r="AJ53" s="2"/>
      <c r="AK53" s="2">
        <f>P53</f>
        <v>0</v>
      </c>
      <c r="AL53" s="2">
        <f>AB53</f>
        <v>0</v>
      </c>
      <c r="AM53" s="2">
        <f>AI53</f>
        <v>0</v>
      </c>
      <c r="AN53" s="2"/>
      <c r="AO53" s="2">
        <f>IFERROR(AVERAGE(AG53:AI53),0)</f>
        <v>0</v>
      </c>
      <c r="AP53" s="2">
        <f>IFERROR(AVERAGE(AD53:AI53),0)</f>
        <v>0</v>
      </c>
      <c r="AQ53" s="2">
        <f>IFERROR(AVERAGE(AA53:AI53),0)</f>
        <v>0</v>
      </c>
      <c r="AR53" s="2">
        <f>IFERROR(AVERAGE(X53:AI53),0)</f>
        <v>0</v>
      </c>
    </row>
    <row r="54" spans="3:44" ht="11.25" customHeight="1" x14ac:dyDescent="0.2">
      <c r="C54" t="s">
        <v>143</v>
      </c>
      <c r="D54" s="4"/>
      <c r="E54" s="2">
        <v>0</v>
      </c>
      <c r="F54" s="2">
        <v>0</v>
      </c>
      <c r="G54" s="2">
        <v>0</v>
      </c>
      <c r="H54" s="2">
        <v>0</v>
      </c>
      <c r="I54" s="2">
        <v>0</v>
      </c>
      <c r="J54" s="2">
        <v>0</v>
      </c>
      <c r="K54" s="2">
        <v>0</v>
      </c>
      <c r="L54" s="2">
        <v>0</v>
      </c>
      <c r="M54" s="2">
        <v>0</v>
      </c>
      <c r="N54" s="2">
        <v>0</v>
      </c>
      <c r="O54" s="2">
        <v>0</v>
      </c>
      <c r="P54" s="2">
        <v>0</v>
      </c>
      <c r="Q54" s="2">
        <v>0</v>
      </c>
      <c r="R54" s="2">
        <v>0</v>
      </c>
      <c r="S54" s="2">
        <v>0</v>
      </c>
      <c r="T54" s="2">
        <v>0</v>
      </c>
      <c r="U54" s="2">
        <v>0</v>
      </c>
      <c r="V54" s="2">
        <v>0</v>
      </c>
      <c r="W54" s="2">
        <v>0</v>
      </c>
      <c r="X54" s="2">
        <v>0</v>
      </c>
      <c r="Y54" s="2">
        <v>0</v>
      </c>
      <c r="Z54" s="2">
        <v>0</v>
      </c>
      <c r="AA54" s="2">
        <v>0</v>
      </c>
      <c r="AB54" s="2">
        <v>0</v>
      </c>
      <c r="AC54" s="2">
        <v>0</v>
      </c>
      <c r="AD54" s="2">
        <v>0</v>
      </c>
      <c r="AE54" s="2">
        <v>0</v>
      </c>
      <c r="AF54" s="2">
        <v>0</v>
      </c>
      <c r="AG54" s="2">
        <v>0</v>
      </c>
      <c r="AH54" s="2">
        <v>0</v>
      </c>
      <c r="AI54" s="2">
        <v>0</v>
      </c>
      <c r="AJ54" s="2"/>
      <c r="AK54" s="14">
        <f>P54</f>
        <v>0</v>
      </c>
      <c r="AL54" s="14">
        <f>AB54</f>
        <v>0</v>
      </c>
      <c r="AM54" s="14">
        <f>AI54</f>
        <v>0</v>
      </c>
      <c r="AN54" s="2"/>
      <c r="AO54" s="14">
        <f>IFERROR(AVERAGE(AG54:AI54),0)</f>
        <v>0</v>
      </c>
      <c r="AP54" s="14">
        <f>IFERROR(AVERAGE(AD54:AI54),0)</f>
        <v>0</v>
      </c>
      <c r="AQ54" s="14">
        <f>IFERROR(AVERAGE(AA54:AI54),0)</f>
        <v>0</v>
      </c>
      <c r="AR54" s="14">
        <f>IFERROR(AVERAGE(X54:AI54),0)</f>
        <v>0</v>
      </c>
    </row>
    <row r="55" spans="3:44" ht="11.25" customHeight="1" x14ac:dyDescent="0.25">
      <c r="C55" s="28" t="s">
        <v>142</v>
      </c>
      <c r="D55" s="57" t="s">
        <v>112</v>
      </c>
      <c r="E55" s="25">
        <f>SUM(E51:E54)</f>
        <v>-1634.4889000000001</v>
      </c>
      <c r="F55" s="25">
        <f>SUM(F51:F54)</f>
        <v>-1515.8343100000002</v>
      </c>
      <c r="G55" s="25">
        <f>SUM(G51:G54)</f>
        <v>-1285.8185500000002</v>
      </c>
      <c r="H55" s="25">
        <f>SUM(H51:H54)</f>
        <v>-1744.66732</v>
      </c>
      <c r="I55" s="25">
        <f>SUM(I51:I54)</f>
        <v>-1893.5655899999999</v>
      </c>
      <c r="J55" s="25">
        <f>SUM(J51:J54)</f>
        <v>-1712.3810799999999</v>
      </c>
      <c r="K55" s="25">
        <f>SUM(K51:K54)</f>
        <v>-1802.0490499999999</v>
      </c>
      <c r="L55" s="25">
        <f>SUM(L51:L54)</f>
        <v>-1828.55198</v>
      </c>
      <c r="M55" s="25">
        <f>SUM(M51:M54)</f>
        <v>-2956.0589800000002</v>
      </c>
      <c r="N55" s="25">
        <f>SUM(N51:N54)</f>
        <v>-3328.94526</v>
      </c>
      <c r="O55" s="25">
        <f>SUM(O51:O54)</f>
        <v>-3360.91174</v>
      </c>
      <c r="P55" s="25">
        <f>SUM(P51:P54)</f>
        <v>-2467.13717</v>
      </c>
      <c r="Q55" s="25">
        <f>SUM(Q51:Q54)</f>
        <v>-2552.3519000000001</v>
      </c>
      <c r="R55" s="25">
        <f>SUM(R51:R54)</f>
        <v>-2457.46513</v>
      </c>
      <c r="S55" s="25">
        <f>SUM(S51:S54)</f>
        <v>-2590.8992799999996</v>
      </c>
      <c r="T55" s="25">
        <f>SUM(T51:T54)</f>
        <v>-2431.6507199999996</v>
      </c>
      <c r="U55" s="25">
        <f>SUM(U51:U54)</f>
        <v>-2430.7370000000001</v>
      </c>
      <c r="V55" s="25">
        <f>SUM(V51:V54)</f>
        <v>-2168.6964600000001</v>
      </c>
      <c r="W55" s="25">
        <f>SUM(W51:W54)</f>
        <v>-2132.2815499999997</v>
      </c>
      <c r="X55" s="25">
        <f>SUM(X51:X54)</f>
        <v>-2394.8332499999997</v>
      </c>
      <c r="Y55" s="25">
        <f>SUM(Y51:Y54)</f>
        <v>-2701.4361799999997</v>
      </c>
      <c r="Z55" s="25">
        <f>SUM(Z51:Z54)</f>
        <v>-3318.5348999999997</v>
      </c>
      <c r="AA55" s="25">
        <f>SUM(AA51:AA54)</f>
        <v>-2791.1657299999997</v>
      </c>
      <c r="AB55" s="25">
        <f>SUM(AB51:AB54)</f>
        <v>-2857.098</v>
      </c>
      <c r="AC55" s="25">
        <f>SUM(AC51:AC54)</f>
        <v>-2540.75189</v>
      </c>
      <c r="AD55" s="25">
        <f>SUM(AD51:AD54)</f>
        <v>-2423.83347</v>
      </c>
      <c r="AE55" s="25">
        <f>SUM(AE51:AE54)</f>
        <v>-2106.0055499999999</v>
      </c>
      <c r="AF55" s="25">
        <f>SUM(AF51:AF54)</f>
        <v>-2154.0578599999999</v>
      </c>
      <c r="AG55" s="25">
        <f>SUM(AG51:AG54)</f>
        <v>-2093.9210800000001</v>
      </c>
      <c r="AH55" s="25">
        <f>SUM(AH51:AH54)</f>
        <v>-2007.01935</v>
      </c>
      <c r="AI55" s="25">
        <f>SUM(AI51:AI54)</f>
        <v>-1764.08347</v>
      </c>
      <c r="AJ55" s="25"/>
      <c r="AK55" s="25">
        <f>SUM(AK51:AK54)</f>
        <v>-2467.13717</v>
      </c>
      <c r="AL55" s="25">
        <f>SUM(AL51:AL54)</f>
        <v>-2857.098</v>
      </c>
      <c r="AM55" s="25">
        <f>SUM(AM51:AM54)</f>
        <v>-1764.08347</v>
      </c>
      <c r="AN55" s="25"/>
      <c r="AO55" s="25">
        <f>SUM(AO51:AO54)</f>
        <v>-1955.0079666666668</v>
      </c>
      <c r="AP55" s="25">
        <f>SUM(AP51:AP54)</f>
        <v>-2091.4867966666666</v>
      </c>
      <c r="AQ55" s="25">
        <f>SUM(AQ51:AQ54)</f>
        <v>-2304.2151555555556</v>
      </c>
      <c r="AR55" s="25">
        <f>SUM(AR51:AR54)</f>
        <v>-2429.3950608333339</v>
      </c>
    </row>
    <row r="56" spans="3:44" ht="11.25" customHeight="1" x14ac:dyDescent="0.25">
      <c r="C56" s="43" t="s">
        <v>141</v>
      </c>
      <c r="D56" s="56"/>
      <c r="E56" s="42">
        <f>E48+E55</f>
        <v>-1150.6342199999999</v>
      </c>
      <c r="F56" s="42">
        <f>F48+F55</f>
        <v>-1178.96774</v>
      </c>
      <c r="G56" s="42">
        <f>G48+G55</f>
        <v>-849.39523000000008</v>
      </c>
      <c r="H56" s="42">
        <f>H48+H55</f>
        <v>-1030.0432100000003</v>
      </c>
      <c r="I56" s="42">
        <f>I48+I55</f>
        <v>-1090.4855100000002</v>
      </c>
      <c r="J56" s="42">
        <f>J48+J55</f>
        <v>-965.6264000000001</v>
      </c>
      <c r="K56" s="42">
        <f>K48+K55</f>
        <v>-967.74691000000007</v>
      </c>
      <c r="L56" s="42">
        <f>L48+L55</f>
        <v>-319.88094999999998</v>
      </c>
      <c r="M56" s="42">
        <f>M48+M55</f>
        <v>-631.62840000000006</v>
      </c>
      <c r="N56" s="42">
        <f>N48+N55</f>
        <v>-1258.2108600000006</v>
      </c>
      <c r="O56" s="42">
        <f>O48+O55</f>
        <v>-1522.4294300000001</v>
      </c>
      <c r="P56" s="42">
        <f>P48+P55</f>
        <v>-613.15866000000005</v>
      </c>
      <c r="Q56" s="42">
        <f>Q48+Q55</f>
        <v>-786.0115900000003</v>
      </c>
      <c r="R56" s="42">
        <f>R48+R55</f>
        <v>-606.79407000000037</v>
      </c>
      <c r="S56" s="42">
        <f>S48+S55</f>
        <v>-889.25576999999998</v>
      </c>
      <c r="T56" s="42">
        <f>T48+T55</f>
        <v>-893.92524000000003</v>
      </c>
      <c r="U56" s="42">
        <f>U48+U55</f>
        <v>-877.92697999999996</v>
      </c>
      <c r="V56" s="42">
        <f>V48+V55</f>
        <v>-824.93392000000017</v>
      </c>
      <c r="W56" s="42">
        <f>W48+W55</f>
        <v>-965.98198999999977</v>
      </c>
      <c r="X56" s="42">
        <f>X48+X55</f>
        <v>-621.8100300000001</v>
      </c>
      <c r="Y56" s="42">
        <f>Y48+Y55</f>
        <v>-431.08425999999963</v>
      </c>
      <c r="Z56" s="42">
        <f>Z48+Z55</f>
        <v>-853.05911999999989</v>
      </c>
      <c r="AA56" s="42">
        <f>AA48+AA55</f>
        <v>-325.30897000000004</v>
      </c>
      <c r="AB56" s="42">
        <f>AB48+AB55</f>
        <v>-572.06272999999965</v>
      </c>
      <c r="AC56" s="42">
        <f>AC48+AC55</f>
        <v>-657.77995999999985</v>
      </c>
      <c r="AD56" s="42">
        <f>AD48+AD55</f>
        <v>-837.04172999999969</v>
      </c>
      <c r="AE56" s="42">
        <f>AE48+AE55</f>
        <v>-433.03864999999951</v>
      </c>
      <c r="AF56" s="42">
        <f>AF48+AF55</f>
        <v>-503.56498999999985</v>
      </c>
      <c r="AG56" s="42">
        <f>AG48+AG55</f>
        <v>-676.22126999999978</v>
      </c>
      <c r="AH56" s="42">
        <f>AH48+AH55</f>
        <v>-451.30438999999956</v>
      </c>
      <c r="AI56" s="42">
        <f>AI48+AI55</f>
        <v>-510.68568999999979</v>
      </c>
      <c r="AJ56" s="42"/>
      <c r="AK56" s="42">
        <f>AK48+AK55</f>
        <v>-613.15866000000005</v>
      </c>
      <c r="AL56" s="42">
        <f>AL48+AL55</f>
        <v>-572.06272999999965</v>
      </c>
      <c r="AM56" s="42">
        <f>AM48+AM55</f>
        <v>-510.68568999999979</v>
      </c>
      <c r="AN56" s="42"/>
      <c r="AO56" s="42">
        <f>AO48+AO55</f>
        <v>-546.07044999999971</v>
      </c>
      <c r="AP56" s="42">
        <f>AP48+AP55</f>
        <v>-568.64278666666564</v>
      </c>
      <c r="AQ56" s="42">
        <f>AQ48+AQ55</f>
        <v>-551.8898200000001</v>
      </c>
      <c r="AR56" s="42">
        <f>AR48+AR55</f>
        <v>-572.74681583333381</v>
      </c>
    </row>
    <row r="57" spans="3:44" ht="6" customHeight="1" x14ac:dyDescent="0.2">
      <c r="D57" s="4"/>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row>
    <row r="58" spans="3:44" ht="11.25" customHeight="1" x14ac:dyDescent="0.2">
      <c r="C58" s="7" t="s">
        <v>140</v>
      </c>
      <c r="D58" s="4"/>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row>
    <row r="59" spans="3:44" ht="11.25" customHeight="1" x14ac:dyDescent="0.25">
      <c r="C59" t="s">
        <v>101</v>
      </c>
      <c r="D59" s="52" t="s">
        <v>111</v>
      </c>
      <c r="E59" s="2">
        <v>0</v>
      </c>
      <c r="F59" s="2">
        <v>0</v>
      </c>
      <c r="G59" s="2">
        <v>0</v>
      </c>
      <c r="H59" s="2">
        <v>0</v>
      </c>
      <c r="I59" s="2">
        <v>0</v>
      </c>
      <c r="J59" s="2">
        <v>0</v>
      </c>
      <c r="K59" s="2">
        <v>0</v>
      </c>
      <c r="L59" s="2">
        <v>0</v>
      </c>
      <c r="M59" s="2">
        <v>0</v>
      </c>
      <c r="N59" s="2">
        <v>0</v>
      </c>
      <c r="O59" s="2">
        <v>0</v>
      </c>
      <c r="P59" s="2">
        <v>0</v>
      </c>
      <c r="Q59" s="2">
        <v>0</v>
      </c>
      <c r="R59" s="2">
        <v>0</v>
      </c>
      <c r="S59" s="2">
        <v>0</v>
      </c>
      <c r="T59" s="2">
        <v>0</v>
      </c>
      <c r="U59" s="2">
        <v>0</v>
      </c>
      <c r="V59" s="2">
        <v>0</v>
      </c>
      <c r="W59" s="2">
        <v>0</v>
      </c>
      <c r="X59" s="2">
        <v>0</v>
      </c>
      <c r="Y59" s="2">
        <v>0</v>
      </c>
      <c r="Z59" s="2">
        <v>0</v>
      </c>
      <c r="AA59" s="2">
        <v>0</v>
      </c>
      <c r="AB59" s="2">
        <v>0</v>
      </c>
      <c r="AC59" s="2">
        <v>0</v>
      </c>
      <c r="AD59" s="2">
        <v>0</v>
      </c>
      <c r="AE59" s="2">
        <v>0</v>
      </c>
      <c r="AF59" s="2">
        <v>0</v>
      </c>
      <c r="AG59" s="2">
        <v>0</v>
      </c>
      <c r="AH59" s="2">
        <v>0</v>
      </c>
      <c r="AI59" s="2">
        <v>0</v>
      </c>
      <c r="AJ59" s="2"/>
      <c r="AK59" s="2">
        <f>P59</f>
        <v>0</v>
      </c>
      <c r="AL59" s="2">
        <f>AB59</f>
        <v>0</v>
      </c>
      <c r="AM59" s="2">
        <f>AI59</f>
        <v>0</v>
      </c>
      <c r="AN59" s="2"/>
      <c r="AO59" s="2">
        <f>IFERROR(AVERAGE(AG59:AI59),0)</f>
        <v>0</v>
      </c>
      <c r="AP59" s="2">
        <f>IFERROR(AVERAGE(AD59:AI59),0)</f>
        <v>0</v>
      </c>
      <c r="AQ59" s="2">
        <f>IFERROR(AVERAGE(AA59:AI59),0)</f>
        <v>0</v>
      </c>
      <c r="AR59" s="2">
        <f>IFERROR(AVERAGE(X59:AI59),0)</f>
        <v>0</v>
      </c>
    </row>
    <row r="60" spans="3:44" ht="11.25" customHeight="1" x14ac:dyDescent="0.25">
      <c r="C60" t="s">
        <v>101</v>
      </c>
      <c r="D60" s="52" t="s">
        <v>110</v>
      </c>
      <c r="E60" s="2">
        <v>0</v>
      </c>
      <c r="F60" s="2">
        <v>0</v>
      </c>
      <c r="G60" s="2">
        <v>0</v>
      </c>
      <c r="H60" s="2">
        <v>0</v>
      </c>
      <c r="I60" s="2">
        <v>0</v>
      </c>
      <c r="J60" s="2">
        <v>0</v>
      </c>
      <c r="K60" s="2">
        <v>0</v>
      </c>
      <c r="L60" s="2">
        <v>0</v>
      </c>
      <c r="M60" s="2">
        <v>0</v>
      </c>
      <c r="N60" s="2">
        <v>0</v>
      </c>
      <c r="O60" s="2">
        <v>0</v>
      </c>
      <c r="P60" s="2">
        <v>0</v>
      </c>
      <c r="Q60" s="2">
        <v>0</v>
      </c>
      <c r="R60" s="2">
        <v>0</v>
      </c>
      <c r="S60" s="2">
        <v>0</v>
      </c>
      <c r="T60" s="2">
        <v>0</v>
      </c>
      <c r="U60" s="2">
        <v>0</v>
      </c>
      <c r="V60" s="2">
        <v>0</v>
      </c>
      <c r="W60" s="2">
        <v>0</v>
      </c>
      <c r="X60" s="2">
        <v>0</v>
      </c>
      <c r="Y60" s="2">
        <v>0</v>
      </c>
      <c r="Z60" s="2">
        <v>0</v>
      </c>
      <c r="AA60" s="2">
        <v>0</v>
      </c>
      <c r="AB60" s="2">
        <v>0</v>
      </c>
      <c r="AC60" s="2">
        <v>0</v>
      </c>
      <c r="AD60" s="2">
        <v>0</v>
      </c>
      <c r="AE60" s="2">
        <v>0</v>
      </c>
      <c r="AF60" s="2">
        <v>0</v>
      </c>
      <c r="AG60" s="2">
        <v>0</v>
      </c>
      <c r="AH60" s="2">
        <v>0</v>
      </c>
      <c r="AI60" s="2">
        <v>0</v>
      </c>
      <c r="AJ60" s="2"/>
      <c r="AK60" s="2">
        <f>P60</f>
        <v>0</v>
      </c>
      <c r="AL60" s="2">
        <f>AB60</f>
        <v>0</v>
      </c>
      <c r="AM60" s="2">
        <f>AI60</f>
        <v>0</v>
      </c>
      <c r="AN60" s="2"/>
      <c r="AO60" s="2">
        <f>IFERROR(AVERAGE(AG60:AI60),0)</f>
        <v>0</v>
      </c>
      <c r="AP60" s="2">
        <f>IFERROR(AVERAGE(AD60:AI60),0)</f>
        <v>0</v>
      </c>
      <c r="AQ60" s="2">
        <f>IFERROR(AVERAGE(AA60:AI60),0)</f>
        <v>0</v>
      </c>
      <c r="AR60" s="2">
        <f>IFERROR(AVERAGE(X60:AI60),0)</f>
        <v>0</v>
      </c>
    </row>
    <row r="61" spans="3:44" ht="11.25" customHeight="1" x14ac:dyDescent="0.25">
      <c r="C61" t="s">
        <v>101</v>
      </c>
      <c r="D61" s="52" t="s">
        <v>109</v>
      </c>
      <c r="E61" s="2">
        <v>0</v>
      </c>
      <c r="F61" s="2">
        <v>0</v>
      </c>
      <c r="G61" s="2">
        <v>0</v>
      </c>
      <c r="H61" s="2">
        <v>0</v>
      </c>
      <c r="I61" s="2">
        <v>0</v>
      </c>
      <c r="J61" s="2">
        <v>0</v>
      </c>
      <c r="K61" s="2">
        <v>0</v>
      </c>
      <c r="L61" s="2">
        <v>0</v>
      </c>
      <c r="M61" s="2">
        <v>0</v>
      </c>
      <c r="N61" s="2">
        <v>0</v>
      </c>
      <c r="O61" s="2">
        <v>0</v>
      </c>
      <c r="P61" s="2">
        <v>0</v>
      </c>
      <c r="Q61" s="2">
        <v>0</v>
      </c>
      <c r="R61" s="2">
        <v>0</v>
      </c>
      <c r="S61" s="2">
        <v>0</v>
      </c>
      <c r="T61" s="2">
        <v>0</v>
      </c>
      <c r="U61" s="2">
        <v>0</v>
      </c>
      <c r="V61" s="2">
        <v>0</v>
      </c>
      <c r="W61" s="2">
        <v>0</v>
      </c>
      <c r="X61" s="2">
        <v>0</v>
      </c>
      <c r="Y61" s="2">
        <v>0</v>
      </c>
      <c r="Z61" s="2">
        <v>0</v>
      </c>
      <c r="AA61" s="2">
        <v>0</v>
      </c>
      <c r="AB61" s="2">
        <v>0</v>
      </c>
      <c r="AC61" s="2">
        <v>0</v>
      </c>
      <c r="AD61" s="2">
        <v>0</v>
      </c>
      <c r="AE61" s="2">
        <v>0</v>
      </c>
      <c r="AF61" s="2">
        <v>0</v>
      </c>
      <c r="AG61" s="2">
        <v>0</v>
      </c>
      <c r="AH61" s="2">
        <v>0</v>
      </c>
      <c r="AI61" s="2">
        <v>0</v>
      </c>
      <c r="AJ61" s="2"/>
      <c r="AK61" s="2">
        <f>P61</f>
        <v>0</v>
      </c>
      <c r="AL61" s="2">
        <f>AB61</f>
        <v>0</v>
      </c>
      <c r="AM61" s="2">
        <f>AI61</f>
        <v>0</v>
      </c>
      <c r="AN61" s="2"/>
      <c r="AO61" s="2">
        <f>IFERROR(AVERAGE(AG61:AI61),0)</f>
        <v>0</v>
      </c>
      <c r="AP61" s="2">
        <f>IFERROR(AVERAGE(AD61:AI61),0)</f>
        <v>0</v>
      </c>
      <c r="AQ61" s="2">
        <f>IFERROR(AVERAGE(AA61:AI61),0)</f>
        <v>0</v>
      </c>
      <c r="AR61" s="2">
        <f>IFERROR(AVERAGE(X61:AI61),0)</f>
        <v>0</v>
      </c>
    </row>
    <row r="62" spans="3:44" ht="11.25" customHeight="1" x14ac:dyDescent="0.25">
      <c r="C62" t="s">
        <v>101</v>
      </c>
      <c r="D62" s="52" t="s">
        <v>108</v>
      </c>
      <c r="E62" s="2">
        <v>0</v>
      </c>
      <c r="F62" s="2">
        <v>0</v>
      </c>
      <c r="G62" s="2">
        <v>0</v>
      </c>
      <c r="H62" s="2">
        <v>0</v>
      </c>
      <c r="I62" s="2">
        <v>0</v>
      </c>
      <c r="J62" s="2">
        <v>0</v>
      </c>
      <c r="K62" s="2">
        <v>0</v>
      </c>
      <c r="L62" s="2">
        <v>0</v>
      </c>
      <c r="M62" s="2">
        <v>0</v>
      </c>
      <c r="N62" s="2">
        <v>0</v>
      </c>
      <c r="O62" s="2">
        <v>0</v>
      </c>
      <c r="P62" s="2">
        <v>0</v>
      </c>
      <c r="Q62" s="2">
        <v>0</v>
      </c>
      <c r="R62" s="2">
        <v>0</v>
      </c>
      <c r="S62" s="2">
        <v>0</v>
      </c>
      <c r="T62" s="2">
        <v>0</v>
      </c>
      <c r="U62" s="2">
        <v>0</v>
      </c>
      <c r="V62" s="2">
        <v>0</v>
      </c>
      <c r="W62" s="2">
        <v>0</v>
      </c>
      <c r="X62" s="2">
        <v>0</v>
      </c>
      <c r="Y62" s="2">
        <v>0</v>
      </c>
      <c r="Z62" s="2">
        <v>0</v>
      </c>
      <c r="AA62" s="2">
        <v>0</v>
      </c>
      <c r="AB62" s="2">
        <v>0</v>
      </c>
      <c r="AC62" s="2">
        <v>0</v>
      </c>
      <c r="AD62" s="2">
        <v>0</v>
      </c>
      <c r="AE62" s="2">
        <v>0</v>
      </c>
      <c r="AF62" s="2">
        <v>0</v>
      </c>
      <c r="AG62" s="2">
        <v>0</v>
      </c>
      <c r="AH62" s="2">
        <v>0</v>
      </c>
      <c r="AI62" s="2">
        <v>0</v>
      </c>
      <c r="AJ62" s="2"/>
      <c r="AK62" s="2">
        <f>P62</f>
        <v>0</v>
      </c>
      <c r="AL62" s="2">
        <f>AB62</f>
        <v>0</v>
      </c>
      <c r="AM62" s="2">
        <f>AI62</f>
        <v>0</v>
      </c>
      <c r="AN62" s="2"/>
      <c r="AO62" s="2">
        <f>IFERROR(AVERAGE(AG62:AI62),0)</f>
        <v>0</v>
      </c>
      <c r="AP62" s="2">
        <f>IFERROR(AVERAGE(AD62:AI62),0)</f>
        <v>0</v>
      </c>
      <c r="AQ62" s="2">
        <f>IFERROR(AVERAGE(AA62:AI62),0)</f>
        <v>0</v>
      </c>
      <c r="AR62" s="2">
        <f>IFERROR(AVERAGE(X62:AI62),0)</f>
        <v>0</v>
      </c>
    </row>
    <row r="63" spans="3:44" ht="11.25" customHeight="1" x14ac:dyDescent="0.2">
      <c r="C63" t="s">
        <v>101</v>
      </c>
      <c r="D63" s="4"/>
      <c r="E63" s="2">
        <v>0</v>
      </c>
      <c r="F63" s="2">
        <v>0</v>
      </c>
      <c r="G63" s="2">
        <v>0</v>
      </c>
      <c r="H63" s="2">
        <v>0</v>
      </c>
      <c r="I63" s="2">
        <v>0</v>
      </c>
      <c r="J63" s="2">
        <v>0</v>
      </c>
      <c r="K63" s="2">
        <v>0</v>
      </c>
      <c r="L63" s="2">
        <v>0</v>
      </c>
      <c r="M63" s="2">
        <v>0</v>
      </c>
      <c r="N63" s="2">
        <v>0</v>
      </c>
      <c r="O63" s="2">
        <v>0</v>
      </c>
      <c r="P63" s="2">
        <v>0</v>
      </c>
      <c r="Q63" s="2">
        <v>0</v>
      </c>
      <c r="R63" s="2">
        <v>0</v>
      </c>
      <c r="S63" s="2">
        <v>0</v>
      </c>
      <c r="T63" s="2">
        <v>0</v>
      </c>
      <c r="U63" s="2">
        <v>0</v>
      </c>
      <c r="V63" s="2">
        <v>0</v>
      </c>
      <c r="W63" s="2">
        <v>0</v>
      </c>
      <c r="X63" s="2">
        <v>0</v>
      </c>
      <c r="Y63" s="2">
        <v>0</v>
      </c>
      <c r="Z63" s="2">
        <v>0</v>
      </c>
      <c r="AA63" s="2">
        <v>0</v>
      </c>
      <c r="AB63" s="2">
        <v>0</v>
      </c>
      <c r="AC63" s="2">
        <v>0</v>
      </c>
      <c r="AD63" s="2">
        <v>0</v>
      </c>
      <c r="AE63" s="2">
        <v>0</v>
      </c>
      <c r="AF63" s="2">
        <v>0</v>
      </c>
      <c r="AG63" s="2">
        <v>0</v>
      </c>
      <c r="AH63" s="2">
        <v>0</v>
      </c>
      <c r="AI63" s="2">
        <v>0</v>
      </c>
      <c r="AJ63" s="2"/>
      <c r="AK63" s="2">
        <f>P63</f>
        <v>0</v>
      </c>
      <c r="AL63" s="2">
        <f>AB63</f>
        <v>0</v>
      </c>
      <c r="AM63" s="2">
        <f>AI63</f>
        <v>0</v>
      </c>
      <c r="AN63" s="2"/>
      <c r="AO63" s="2">
        <f>IFERROR(AVERAGE(AG63:AI63),0)</f>
        <v>0</v>
      </c>
      <c r="AP63" s="2">
        <f>IFERROR(AVERAGE(AD63:AI63),0)</f>
        <v>0</v>
      </c>
      <c r="AQ63" s="2">
        <f>IFERROR(AVERAGE(AA63:AI63),0)</f>
        <v>0</v>
      </c>
      <c r="AR63" s="2">
        <f>IFERROR(AVERAGE(X63:AI63),0)</f>
        <v>0</v>
      </c>
    </row>
    <row r="64" spans="3:44" ht="11.25" customHeight="1" x14ac:dyDescent="0.2">
      <c r="C64" t="s">
        <v>101</v>
      </c>
      <c r="D64" s="4"/>
      <c r="E64" s="2">
        <v>0</v>
      </c>
      <c r="F64" s="2">
        <v>0</v>
      </c>
      <c r="G64" s="2">
        <v>0</v>
      </c>
      <c r="H64" s="2">
        <v>0</v>
      </c>
      <c r="I64" s="2">
        <v>0</v>
      </c>
      <c r="J64" s="2">
        <v>0</v>
      </c>
      <c r="K64" s="2">
        <v>0</v>
      </c>
      <c r="L64" s="2">
        <v>0</v>
      </c>
      <c r="M64" s="2">
        <v>0</v>
      </c>
      <c r="N64" s="2">
        <v>0</v>
      </c>
      <c r="O64" s="2">
        <v>0</v>
      </c>
      <c r="P64" s="2">
        <v>0</v>
      </c>
      <c r="Q64" s="2">
        <v>0</v>
      </c>
      <c r="R64" s="2">
        <v>0</v>
      </c>
      <c r="S64" s="2">
        <v>0</v>
      </c>
      <c r="T64" s="2">
        <v>0</v>
      </c>
      <c r="U64" s="2">
        <v>0</v>
      </c>
      <c r="V64" s="2">
        <v>0</v>
      </c>
      <c r="W64" s="2">
        <v>0</v>
      </c>
      <c r="X64" s="2">
        <v>0</v>
      </c>
      <c r="Y64" s="2">
        <v>0</v>
      </c>
      <c r="Z64" s="2">
        <v>0</v>
      </c>
      <c r="AA64" s="2">
        <v>0</v>
      </c>
      <c r="AB64" s="2">
        <v>0</v>
      </c>
      <c r="AC64" s="2">
        <v>0</v>
      </c>
      <c r="AD64" s="2">
        <v>0</v>
      </c>
      <c r="AE64" s="2">
        <v>0</v>
      </c>
      <c r="AF64" s="2">
        <v>0</v>
      </c>
      <c r="AG64" s="2">
        <v>0</v>
      </c>
      <c r="AH64" s="2">
        <v>0</v>
      </c>
      <c r="AI64" s="2">
        <v>0</v>
      </c>
      <c r="AJ64" s="2"/>
      <c r="AK64" s="2">
        <f>P64</f>
        <v>0</v>
      </c>
      <c r="AL64" s="2">
        <f>AB64</f>
        <v>0</v>
      </c>
      <c r="AM64" s="2">
        <f>AI64</f>
        <v>0</v>
      </c>
      <c r="AN64" s="2"/>
      <c r="AO64" s="2">
        <f>IFERROR(AVERAGE(AG64:AI64),0)</f>
        <v>0</v>
      </c>
      <c r="AP64" s="2">
        <f>IFERROR(AVERAGE(AD64:AI64),0)</f>
        <v>0</v>
      </c>
      <c r="AQ64" s="2">
        <f>IFERROR(AVERAGE(AA64:AI64),0)</f>
        <v>0</v>
      </c>
      <c r="AR64" s="2">
        <f>IFERROR(AVERAGE(X64:AI64),0)</f>
        <v>0</v>
      </c>
    </row>
    <row r="65" spans="3:44" ht="6" customHeight="1" x14ac:dyDescent="0.2">
      <c r="D65" s="4"/>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row>
    <row r="66" spans="3:44" ht="11.25" customHeight="1" x14ac:dyDescent="0.2">
      <c r="C66" s="7" t="s">
        <v>139</v>
      </c>
      <c r="D66" s="4"/>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row>
    <row r="67" spans="3:44" ht="11.25" customHeight="1" x14ac:dyDescent="0.2">
      <c r="C67" t="s">
        <v>101</v>
      </c>
      <c r="D67" s="4"/>
      <c r="E67" s="2">
        <v>0</v>
      </c>
      <c r="F67" s="2">
        <v>0</v>
      </c>
      <c r="G67" s="2">
        <v>0</v>
      </c>
      <c r="H67" s="2">
        <v>0</v>
      </c>
      <c r="I67" s="2">
        <v>0</v>
      </c>
      <c r="J67" s="2">
        <v>0</v>
      </c>
      <c r="K67" s="2">
        <v>0</v>
      </c>
      <c r="L67" s="2">
        <v>0</v>
      </c>
      <c r="M67" s="2">
        <v>0</v>
      </c>
      <c r="N67" s="2">
        <v>0</v>
      </c>
      <c r="O67" s="2">
        <v>0</v>
      </c>
      <c r="P67" s="2">
        <v>0</v>
      </c>
      <c r="Q67" s="2">
        <v>0</v>
      </c>
      <c r="R67" s="2">
        <v>0</v>
      </c>
      <c r="S67" s="2">
        <v>0</v>
      </c>
      <c r="T67" s="2">
        <v>0</v>
      </c>
      <c r="U67" s="2">
        <v>0</v>
      </c>
      <c r="V67" s="2">
        <v>0</v>
      </c>
      <c r="W67" s="2">
        <v>0</v>
      </c>
      <c r="X67" s="2">
        <v>0</v>
      </c>
      <c r="Y67" s="2">
        <v>0</v>
      </c>
      <c r="Z67" s="2">
        <v>0</v>
      </c>
      <c r="AA67" s="2">
        <v>0</v>
      </c>
      <c r="AB67" s="2">
        <v>0</v>
      </c>
      <c r="AC67" s="2">
        <v>0</v>
      </c>
      <c r="AD67" s="2">
        <v>0</v>
      </c>
      <c r="AE67" s="2">
        <v>0</v>
      </c>
      <c r="AF67" s="2">
        <v>0</v>
      </c>
      <c r="AG67" s="2">
        <v>0</v>
      </c>
      <c r="AH67" s="2">
        <v>0</v>
      </c>
      <c r="AI67" s="2">
        <v>0</v>
      </c>
      <c r="AJ67" s="2"/>
      <c r="AK67" s="2">
        <f>P67</f>
        <v>0</v>
      </c>
      <c r="AL67" s="2">
        <f>AB67</f>
        <v>0</v>
      </c>
      <c r="AM67" s="2">
        <f>AI67</f>
        <v>0</v>
      </c>
      <c r="AN67" s="2"/>
      <c r="AO67" s="2">
        <f>IFERROR(AVERAGE(AG67:AI67),0)</f>
        <v>0</v>
      </c>
      <c r="AP67" s="2">
        <f>IFERROR(AVERAGE(AD67:AI67),0)</f>
        <v>0</v>
      </c>
      <c r="AQ67" s="2">
        <f>IFERROR(AVERAGE(AA67:AI67),0)</f>
        <v>0</v>
      </c>
      <c r="AR67" s="2">
        <f>IFERROR(AVERAGE(X67:AI67),0)</f>
        <v>0</v>
      </c>
    </row>
    <row r="68" spans="3:44" ht="11.25" customHeight="1" x14ac:dyDescent="0.2">
      <c r="C68" t="s">
        <v>101</v>
      </c>
      <c r="D68" s="4"/>
      <c r="E68" s="2">
        <v>0</v>
      </c>
      <c r="F68" s="2">
        <v>0</v>
      </c>
      <c r="G68" s="2">
        <v>0</v>
      </c>
      <c r="H68" s="2">
        <v>0</v>
      </c>
      <c r="I68" s="2">
        <v>0</v>
      </c>
      <c r="J68" s="2">
        <v>0</v>
      </c>
      <c r="K68" s="2">
        <v>0</v>
      </c>
      <c r="L68" s="2">
        <v>0</v>
      </c>
      <c r="M68" s="2">
        <v>0</v>
      </c>
      <c r="N68" s="2">
        <v>0</v>
      </c>
      <c r="O68" s="2">
        <v>0</v>
      </c>
      <c r="P68" s="2">
        <v>0</v>
      </c>
      <c r="Q68" s="2">
        <v>0</v>
      </c>
      <c r="R68" s="2">
        <v>0</v>
      </c>
      <c r="S68" s="2">
        <v>0</v>
      </c>
      <c r="T68" s="2">
        <v>0</v>
      </c>
      <c r="U68" s="2">
        <v>0</v>
      </c>
      <c r="V68" s="2">
        <v>0</v>
      </c>
      <c r="W68" s="2">
        <v>0</v>
      </c>
      <c r="X68" s="2">
        <v>0</v>
      </c>
      <c r="Y68" s="2">
        <v>0</v>
      </c>
      <c r="Z68" s="2">
        <v>0</v>
      </c>
      <c r="AA68" s="2">
        <v>0</v>
      </c>
      <c r="AB68" s="2">
        <v>0</v>
      </c>
      <c r="AC68" s="2">
        <v>0</v>
      </c>
      <c r="AD68" s="2">
        <v>0</v>
      </c>
      <c r="AE68" s="2">
        <v>0</v>
      </c>
      <c r="AF68" s="2">
        <v>0</v>
      </c>
      <c r="AG68" s="2">
        <v>0</v>
      </c>
      <c r="AH68" s="2">
        <v>0</v>
      </c>
      <c r="AI68" s="2">
        <v>0</v>
      </c>
      <c r="AJ68" s="2"/>
      <c r="AK68" s="2">
        <f>P68</f>
        <v>0</v>
      </c>
      <c r="AL68" s="2">
        <f>AB68</f>
        <v>0</v>
      </c>
      <c r="AM68" s="2">
        <f>AI68</f>
        <v>0</v>
      </c>
      <c r="AN68" s="2"/>
      <c r="AO68" s="2">
        <f>IFERROR(AVERAGE(AG68:AI68),0)</f>
        <v>0</v>
      </c>
      <c r="AP68" s="2">
        <f>IFERROR(AVERAGE(AD68:AI68),0)</f>
        <v>0</v>
      </c>
      <c r="AQ68" s="2">
        <f>IFERROR(AVERAGE(AA68:AI68),0)</f>
        <v>0</v>
      </c>
      <c r="AR68" s="2">
        <f>IFERROR(AVERAGE(X68:AI68),0)</f>
        <v>0</v>
      </c>
    </row>
    <row r="69" spans="3:44" ht="11.25" customHeight="1" x14ac:dyDescent="0.2">
      <c r="C69" t="s">
        <v>101</v>
      </c>
      <c r="D69" s="4"/>
      <c r="E69" s="2">
        <v>0</v>
      </c>
      <c r="F69" s="2">
        <v>0</v>
      </c>
      <c r="G69" s="2">
        <v>0</v>
      </c>
      <c r="H69" s="2">
        <v>0</v>
      </c>
      <c r="I69" s="2">
        <v>0</v>
      </c>
      <c r="J69" s="2">
        <v>0</v>
      </c>
      <c r="K69" s="2">
        <v>0</v>
      </c>
      <c r="L69" s="2">
        <v>0</v>
      </c>
      <c r="M69" s="2">
        <v>0</v>
      </c>
      <c r="N69" s="2">
        <v>0</v>
      </c>
      <c r="O69" s="2">
        <v>0</v>
      </c>
      <c r="P69" s="2">
        <v>0</v>
      </c>
      <c r="Q69" s="2">
        <v>0</v>
      </c>
      <c r="R69" s="2">
        <v>0</v>
      </c>
      <c r="S69" s="2">
        <v>0</v>
      </c>
      <c r="T69" s="2">
        <v>0</v>
      </c>
      <c r="U69" s="2">
        <v>0</v>
      </c>
      <c r="V69" s="2">
        <v>0</v>
      </c>
      <c r="W69" s="2">
        <v>0</v>
      </c>
      <c r="X69" s="2">
        <v>0</v>
      </c>
      <c r="Y69" s="2">
        <v>0</v>
      </c>
      <c r="Z69" s="2">
        <v>0</v>
      </c>
      <c r="AA69" s="2">
        <v>0</v>
      </c>
      <c r="AB69" s="2">
        <v>0</v>
      </c>
      <c r="AC69" s="2">
        <v>0</v>
      </c>
      <c r="AD69" s="2">
        <v>0</v>
      </c>
      <c r="AE69" s="2">
        <v>0</v>
      </c>
      <c r="AF69" s="2">
        <v>0</v>
      </c>
      <c r="AG69" s="2">
        <v>0</v>
      </c>
      <c r="AH69" s="2">
        <v>0</v>
      </c>
      <c r="AI69" s="2">
        <v>0</v>
      </c>
      <c r="AJ69" s="2"/>
      <c r="AK69" s="2">
        <f>P69</f>
        <v>0</v>
      </c>
      <c r="AL69" s="2">
        <f>AB69</f>
        <v>0</v>
      </c>
      <c r="AM69" s="2">
        <f>AI69</f>
        <v>0</v>
      </c>
      <c r="AN69" s="2"/>
      <c r="AO69" s="2">
        <f>IFERROR(AVERAGE(AG69:AI69),0)</f>
        <v>0</v>
      </c>
      <c r="AP69" s="2">
        <f>IFERROR(AVERAGE(AD69:AI69),0)</f>
        <v>0</v>
      </c>
      <c r="AQ69" s="2">
        <f>IFERROR(AVERAGE(AA69:AI69),0)</f>
        <v>0</v>
      </c>
      <c r="AR69" s="2">
        <f>IFERROR(AVERAGE(X69:AI69),0)</f>
        <v>0</v>
      </c>
    </row>
    <row r="70" spans="3:44" ht="11.25" customHeight="1" x14ac:dyDescent="0.2">
      <c r="C70" t="s">
        <v>101</v>
      </c>
      <c r="D70" s="4"/>
      <c r="E70" s="2">
        <v>0</v>
      </c>
      <c r="F70" s="2">
        <v>0</v>
      </c>
      <c r="G70" s="2">
        <v>0</v>
      </c>
      <c r="H70" s="2">
        <v>0</v>
      </c>
      <c r="I70" s="2">
        <v>0</v>
      </c>
      <c r="J70" s="2">
        <v>0</v>
      </c>
      <c r="K70" s="2">
        <v>0</v>
      </c>
      <c r="L70" s="2">
        <v>0</v>
      </c>
      <c r="M70" s="2">
        <v>0</v>
      </c>
      <c r="N70" s="2">
        <v>0</v>
      </c>
      <c r="O70" s="2">
        <v>0</v>
      </c>
      <c r="P70" s="2">
        <v>0</v>
      </c>
      <c r="Q70" s="2">
        <v>0</v>
      </c>
      <c r="R70" s="2">
        <v>0</v>
      </c>
      <c r="S70" s="2">
        <v>0</v>
      </c>
      <c r="T70" s="2">
        <v>0</v>
      </c>
      <c r="U70" s="2">
        <v>0</v>
      </c>
      <c r="V70" s="2">
        <v>0</v>
      </c>
      <c r="W70" s="2">
        <v>0</v>
      </c>
      <c r="X70" s="2">
        <v>0</v>
      </c>
      <c r="Y70" s="2">
        <v>0</v>
      </c>
      <c r="Z70" s="2">
        <v>0</v>
      </c>
      <c r="AA70" s="2">
        <v>0</v>
      </c>
      <c r="AB70" s="2">
        <v>0</v>
      </c>
      <c r="AC70" s="2">
        <v>0</v>
      </c>
      <c r="AD70" s="2">
        <v>0</v>
      </c>
      <c r="AE70" s="2">
        <v>0</v>
      </c>
      <c r="AF70" s="2">
        <v>0</v>
      </c>
      <c r="AG70" s="2">
        <v>0</v>
      </c>
      <c r="AH70" s="2">
        <v>0</v>
      </c>
      <c r="AI70" s="2">
        <v>0</v>
      </c>
      <c r="AJ70" s="2"/>
      <c r="AK70" s="2">
        <f>P70</f>
        <v>0</v>
      </c>
      <c r="AL70" s="2">
        <f>AB70</f>
        <v>0</v>
      </c>
      <c r="AM70" s="2">
        <f>AI70</f>
        <v>0</v>
      </c>
      <c r="AN70" s="2"/>
      <c r="AO70" s="2">
        <f>IFERROR(AVERAGE(AG70:AI70),0)</f>
        <v>0</v>
      </c>
      <c r="AP70" s="2">
        <f>IFERROR(AVERAGE(AD70:AI70),0)</f>
        <v>0</v>
      </c>
      <c r="AQ70" s="2">
        <f>IFERROR(AVERAGE(AA70:AI70),0)</f>
        <v>0</v>
      </c>
      <c r="AR70" s="2">
        <f>IFERROR(AVERAGE(X70:AI70),0)</f>
        <v>0</v>
      </c>
    </row>
    <row r="71" spans="3:44" ht="11.25" customHeight="1" x14ac:dyDescent="0.2">
      <c r="C71" t="s">
        <v>101</v>
      </c>
      <c r="D71" s="4"/>
      <c r="E71" s="2">
        <v>0</v>
      </c>
      <c r="F71" s="2">
        <v>0</v>
      </c>
      <c r="G71" s="2">
        <v>0</v>
      </c>
      <c r="H71" s="2">
        <v>0</v>
      </c>
      <c r="I71" s="2">
        <v>0</v>
      </c>
      <c r="J71" s="2">
        <v>0</v>
      </c>
      <c r="K71" s="2">
        <v>0</v>
      </c>
      <c r="L71" s="2">
        <v>0</v>
      </c>
      <c r="M71" s="2">
        <v>0</v>
      </c>
      <c r="N71" s="2">
        <v>0</v>
      </c>
      <c r="O71" s="2">
        <v>0</v>
      </c>
      <c r="P71" s="2">
        <v>0</v>
      </c>
      <c r="Q71" s="2">
        <v>0</v>
      </c>
      <c r="R71" s="2">
        <v>0</v>
      </c>
      <c r="S71" s="2">
        <v>0</v>
      </c>
      <c r="T71" s="2">
        <v>0</v>
      </c>
      <c r="U71" s="2">
        <v>0</v>
      </c>
      <c r="V71" s="2">
        <v>0</v>
      </c>
      <c r="W71" s="2">
        <v>0</v>
      </c>
      <c r="X71" s="2">
        <v>0</v>
      </c>
      <c r="Y71" s="2">
        <v>0</v>
      </c>
      <c r="Z71" s="2">
        <v>0</v>
      </c>
      <c r="AA71" s="2">
        <v>0</v>
      </c>
      <c r="AB71" s="2">
        <v>0</v>
      </c>
      <c r="AC71" s="2">
        <v>0</v>
      </c>
      <c r="AD71" s="2">
        <v>0</v>
      </c>
      <c r="AE71" s="2">
        <v>0</v>
      </c>
      <c r="AF71" s="2">
        <v>0</v>
      </c>
      <c r="AG71" s="2">
        <v>0</v>
      </c>
      <c r="AH71" s="2">
        <v>0</v>
      </c>
      <c r="AI71" s="2">
        <v>0</v>
      </c>
      <c r="AJ71" s="2"/>
      <c r="AK71" s="2">
        <f>P71</f>
        <v>0</v>
      </c>
      <c r="AL71" s="2">
        <f>AB71</f>
        <v>0</v>
      </c>
      <c r="AM71" s="2">
        <f>AI71</f>
        <v>0</v>
      </c>
      <c r="AN71" s="2"/>
      <c r="AO71" s="2">
        <f>IFERROR(AVERAGE(AG71:AI71),0)</f>
        <v>0</v>
      </c>
      <c r="AP71" s="2">
        <f>IFERROR(AVERAGE(AD71:AI71),0)</f>
        <v>0</v>
      </c>
      <c r="AQ71" s="2">
        <f>IFERROR(AVERAGE(AA71:AI71),0)</f>
        <v>0</v>
      </c>
      <c r="AR71" s="2">
        <f>IFERROR(AVERAGE(X71:AI71),0)</f>
        <v>0</v>
      </c>
    </row>
    <row r="72" spans="3:44" ht="11.25" customHeight="1" x14ac:dyDescent="0.2">
      <c r="C72" s="50" t="s">
        <v>106</v>
      </c>
      <c r="D72" s="27"/>
      <c r="E72" s="25">
        <f>SUM(E58:E71)</f>
        <v>0</v>
      </c>
      <c r="F72" s="25">
        <f>SUM(F58:F71)</f>
        <v>0</v>
      </c>
      <c r="G72" s="25">
        <f>SUM(G58:G71)</f>
        <v>0</v>
      </c>
      <c r="H72" s="25">
        <f>SUM(H58:H71)</f>
        <v>0</v>
      </c>
      <c r="I72" s="25">
        <f>SUM(I58:I71)</f>
        <v>0</v>
      </c>
      <c r="J72" s="25">
        <f>SUM(J58:J71)</f>
        <v>0</v>
      </c>
      <c r="K72" s="25">
        <f>SUM(K58:K71)</f>
        <v>0</v>
      </c>
      <c r="L72" s="25">
        <f>SUM(L58:L71)</f>
        <v>0</v>
      </c>
      <c r="M72" s="25">
        <f>SUM(M58:M71)</f>
        <v>0</v>
      </c>
      <c r="N72" s="25">
        <f>SUM(N58:N71)</f>
        <v>0</v>
      </c>
      <c r="O72" s="25">
        <f>SUM(O58:O71)</f>
        <v>0</v>
      </c>
      <c r="P72" s="25">
        <f>SUM(P58:P71)</f>
        <v>0</v>
      </c>
      <c r="Q72" s="25">
        <f>SUM(Q58:Q71)</f>
        <v>0</v>
      </c>
      <c r="R72" s="25">
        <f>SUM(R58:R71)</f>
        <v>0</v>
      </c>
      <c r="S72" s="25">
        <f>SUM(S58:S71)</f>
        <v>0</v>
      </c>
      <c r="T72" s="25">
        <f>SUM(T58:T71)</f>
        <v>0</v>
      </c>
      <c r="U72" s="25">
        <f>SUM(U58:U71)</f>
        <v>0</v>
      </c>
      <c r="V72" s="25">
        <f>SUM(V58:V71)</f>
        <v>0</v>
      </c>
      <c r="W72" s="25">
        <f>SUM(W58:W71)</f>
        <v>0</v>
      </c>
      <c r="X72" s="25">
        <f>SUM(X58:X71)</f>
        <v>0</v>
      </c>
      <c r="Y72" s="25">
        <f>SUM(Y58:Y71)</f>
        <v>0</v>
      </c>
      <c r="Z72" s="25">
        <f>SUM(Z58:Z71)</f>
        <v>0</v>
      </c>
      <c r="AA72" s="25">
        <f>SUM(AA58:AA71)</f>
        <v>0</v>
      </c>
      <c r="AB72" s="25">
        <f>SUM(AB58:AB71)</f>
        <v>0</v>
      </c>
      <c r="AC72" s="25">
        <f>SUM(AC58:AC71)</f>
        <v>0</v>
      </c>
      <c r="AD72" s="25">
        <f>SUM(AD58:AD71)</f>
        <v>0</v>
      </c>
      <c r="AE72" s="25">
        <f>SUM(AE58:AE71)</f>
        <v>0</v>
      </c>
      <c r="AF72" s="25">
        <f>SUM(AF58:AF71)</f>
        <v>0</v>
      </c>
      <c r="AG72" s="25">
        <f>SUM(AG58:AG71)</f>
        <v>0</v>
      </c>
      <c r="AH72" s="25">
        <f>SUM(AH58:AH71)</f>
        <v>0</v>
      </c>
      <c r="AI72" s="25">
        <f>SUM(AI58:AI71)</f>
        <v>0</v>
      </c>
      <c r="AJ72" s="25"/>
      <c r="AK72" s="25">
        <f>SUM(AK58:AK71)</f>
        <v>0</v>
      </c>
      <c r="AL72" s="25">
        <f>SUM(AL58:AL71)</f>
        <v>0</v>
      </c>
      <c r="AM72" s="25">
        <f>SUM(AM58:AM71)</f>
        <v>0</v>
      </c>
      <c r="AN72" s="25"/>
      <c r="AO72" s="25">
        <f>SUM(AO58:AO71)</f>
        <v>0</v>
      </c>
      <c r="AP72" s="25">
        <f>SUM(AP58:AP71)</f>
        <v>0</v>
      </c>
      <c r="AQ72" s="25">
        <f>SUM(AQ58:AQ71)</f>
        <v>0</v>
      </c>
      <c r="AR72" s="25">
        <f>SUM(AR58:AR71)</f>
        <v>0</v>
      </c>
    </row>
    <row r="73" spans="3:44" ht="12" customHeight="1" thickBot="1" x14ac:dyDescent="0.3">
      <c r="C73" s="40" t="s">
        <v>138</v>
      </c>
      <c r="D73" s="49"/>
      <c r="E73" s="39">
        <f>E56+E72</f>
        <v>-1150.6342199999999</v>
      </c>
      <c r="F73" s="39">
        <f>F56+F72</f>
        <v>-1178.96774</v>
      </c>
      <c r="G73" s="39">
        <f>G56+G72</f>
        <v>-849.39523000000008</v>
      </c>
      <c r="H73" s="39">
        <f>H56+H72</f>
        <v>-1030.0432100000003</v>
      </c>
      <c r="I73" s="39">
        <f>I56+I72</f>
        <v>-1090.4855100000002</v>
      </c>
      <c r="J73" s="39">
        <f>J56+J72</f>
        <v>-965.6264000000001</v>
      </c>
      <c r="K73" s="39">
        <f>K56+K72</f>
        <v>-967.74691000000007</v>
      </c>
      <c r="L73" s="39">
        <f>L56+L72</f>
        <v>-319.88094999999998</v>
      </c>
      <c r="M73" s="39">
        <f>M56+M72</f>
        <v>-631.62840000000006</v>
      </c>
      <c r="N73" s="39">
        <f>N56+N72</f>
        <v>-1258.2108600000006</v>
      </c>
      <c r="O73" s="39">
        <f>O56+O72</f>
        <v>-1522.4294300000001</v>
      </c>
      <c r="P73" s="39">
        <f>P56+P72</f>
        <v>-613.15866000000005</v>
      </c>
      <c r="Q73" s="39">
        <f>Q56+Q72</f>
        <v>-786.0115900000003</v>
      </c>
      <c r="R73" s="39">
        <f>R56+R72</f>
        <v>-606.79407000000037</v>
      </c>
      <c r="S73" s="39">
        <f>S56+S72</f>
        <v>-889.25576999999998</v>
      </c>
      <c r="T73" s="39">
        <f>T56+T72</f>
        <v>-893.92524000000003</v>
      </c>
      <c r="U73" s="39">
        <f>U56+U72</f>
        <v>-877.92697999999996</v>
      </c>
      <c r="V73" s="39">
        <f>V56+V72</f>
        <v>-824.93392000000017</v>
      </c>
      <c r="W73" s="39">
        <f>W56+W72</f>
        <v>-965.98198999999977</v>
      </c>
      <c r="X73" s="39">
        <f>X56+X72</f>
        <v>-621.8100300000001</v>
      </c>
      <c r="Y73" s="39">
        <f>Y56+Y72</f>
        <v>-431.08425999999963</v>
      </c>
      <c r="Z73" s="39">
        <f>Z56+Z72</f>
        <v>-853.05911999999989</v>
      </c>
      <c r="AA73" s="39">
        <f>AA56+AA72</f>
        <v>-325.30897000000004</v>
      </c>
      <c r="AB73" s="39">
        <f>AB56+AB72</f>
        <v>-572.06272999999965</v>
      </c>
      <c r="AC73" s="39">
        <f>AC56+AC72</f>
        <v>-657.77995999999985</v>
      </c>
      <c r="AD73" s="39">
        <f>AD56+AD72</f>
        <v>-837.04172999999969</v>
      </c>
      <c r="AE73" s="39">
        <f>AE56+AE72</f>
        <v>-433.03864999999951</v>
      </c>
      <c r="AF73" s="39">
        <f>AF56+AF72</f>
        <v>-503.56498999999985</v>
      </c>
      <c r="AG73" s="39">
        <f>AG56+AG72</f>
        <v>-676.22126999999978</v>
      </c>
      <c r="AH73" s="39">
        <f>AH56+AH72</f>
        <v>-451.30438999999956</v>
      </c>
      <c r="AI73" s="39">
        <f>AI56+AI72</f>
        <v>-510.68568999999979</v>
      </c>
      <c r="AJ73" s="39"/>
      <c r="AK73" s="39">
        <f>AK56+AK72</f>
        <v>-613.15866000000005</v>
      </c>
      <c r="AL73" s="39">
        <f>AL56+AL72</f>
        <v>-572.06272999999965</v>
      </c>
      <c r="AM73" s="39">
        <f>AM56+AM72</f>
        <v>-510.68568999999979</v>
      </c>
      <c r="AN73" s="39"/>
      <c r="AO73" s="39">
        <f>AO56+AO72</f>
        <v>-546.07044999999971</v>
      </c>
      <c r="AP73" s="39">
        <f>AP56+AP72</f>
        <v>-568.64278666666564</v>
      </c>
      <c r="AQ73" s="39">
        <f>AQ56+AQ72</f>
        <v>-551.8898200000001</v>
      </c>
      <c r="AR73" s="39">
        <f>AR56+AR72</f>
        <v>-572.74681583333381</v>
      </c>
    </row>
    <row r="74" spans="3:44" ht="11.25" customHeight="1" x14ac:dyDescent="0.2">
      <c r="C74" s="7" t="s">
        <v>137</v>
      </c>
      <c r="D74" s="4"/>
      <c r="E74" s="22" t="s">
        <v>26</v>
      </c>
      <c r="F74" s="22" t="s">
        <v>26</v>
      </c>
      <c r="G74" s="22" t="s">
        <v>26</v>
      </c>
      <c r="H74" s="22" t="s">
        <v>26</v>
      </c>
      <c r="I74" s="22" t="s">
        <v>26</v>
      </c>
      <c r="J74" s="22" t="s">
        <v>26</v>
      </c>
      <c r="K74" s="22" t="s">
        <v>26</v>
      </c>
      <c r="L74" s="22" t="s">
        <v>26</v>
      </c>
      <c r="M74" s="22" t="s">
        <v>26</v>
      </c>
      <c r="N74" s="22" t="s">
        <v>26</v>
      </c>
      <c r="O74" s="22" t="s">
        <v>26</v>
      </c>
      <c r="P74" s="5">
        <f>IFERROR(P73/P86%,0)</f>
        <v>-8.0178482640475845</v>
      </c>
      <c r="Q74" s="5">
        <f>IFERROR(Q73/Q86%,0)</f>
        <v>-9.9794032470874257</v>
      </c>
      <c r="R74" s="5">
        <f>IFERROR(R73/R86%,0)</f>
        <v>-7.6110459381408875</v>
      </c>
      <c r="S74" s="5">
        <f>IFERROR(S73/S86%,0)</f>
        <v>-11.682168237343756</v>
      </c>
      <c r="T74" s="5">
        <f>IFERROR(T73/T86%,0)</f>
        <v>-11.819159510530055</v>
      </c>
      <c r="U74" s="5">
        <f>IFERROR(U73/U86%,0)</f>
        <v>-11.74153276472394</v>
      </c>
      <c r="V74" s="5">
        <f>IFERROR(V73/V86%,0)</f>
        <v>-11.218736774854735</v>
      </c>
      <c r="W74" s="5">
        <f>IFERROR(W73/W86%,0)</f>
        <v>-13.740215976610241</v>
      </c>
      <c r="X74" s="5">
        <f>IFERROR(X73/X86%,0)</f>
        <v>-9.0178447768247061</v>
      </c>
      <c r="Y74" s="5">
        <f>IFERROR(Y73/Y86%,0)</f>
        <v>-6.3823461891606277</v>
      </c>
      <c r="Z74" s="5">
        <f>IFERROR(Z73/Z86%,0)</f>
        <v>-12.462018877335375</v>
      </c>
      <c r="AA74" s="5">
        <f>IFERROR(AA73/AA86%,0)</f>
        <v>-4.5803274531252214</v>
      </c>
      <c r="AB74" s="5">
        <f>IFERROR(AB73/AB86%,0)</f>
        <v>-8.43905782197203</v>
      </c>
      <c r="AC74" s="5">
        <f>IFERROR(AC73/AC86%,0)</f>
        <v>-9.805639447823058</v>
      </c>
      <c r="AD74" s="5">
        <f>IFERROR(AD73/AD86%,0)</f>
        <v>-12.4446128600803</v>
      </c>
      <c r="AE74" s="5">
        <f>IFERROR(AE73/AE86%,0)</f>
        <v>-6.1065719483601093</v>
      </c>
      <c r="AF74" s="5">
        <f>IFERROR(AF73/AF86%,0)</f>
        <v>-7.0573100395676045</v>
      </c>
      <c r="AG74" s="5">
        <f>IFERROR(AG73/AG86%,0)</f>
        <v>-9.8254011106910575</v>
      </c>
      <c r="AH74" s="5">
        <f>IFERROR(AH73/AH86%,0)</f>
        <v>-6.1942668778741465</v>
      </c>
      <c r="AI74" s="5">
        <f>IFERROR(AI73/AI86%,0)</f>
        <v>-6.9543358432294102</v>
      </c>
      <c r="AJ74" s="2"/>
      <c r="AK74" s="5">
        <f>P74</f>
        <v>-8.0178482640475845</v>
      </c>
      <c r="AL74" s="5">
        <f>AB74</f>
        <v>-8.43905782197203</v>
      </c>
      <c r="AM74" s="5">
        <f>AI74</f>
        <v>-6.9543358432294102</v>
      </c>
      <c r="AN74" s="2"/>
      <c r="AO74" s="5">
        <f>IFERROR(AVERAGE(AG74:AI74),0)</f>
        <v>-7.6580012772648702</v>
      </c>
      <c r="AP74" s="5">
        <f>IFERROR(AVERAGE(AD74:AI74),0)</f>
        <v>-8.0970831133004371</v>
      </c>
      <c r="AQ74" s="5">
        <f>IFERROR(AVERAGE(AA74:AI74),0)</f>
        <v>-7.9341692669692145</v>
      </c>
      <c r="AR74" s="5">
        <f>IFERROR(AVERAGE(X74:AI74),0)</f>
        <v>-8.2724777705036381</v>
      </c>
    </row>
    <row r="75" spans="3:44" ht="6" customHeight="1" x14ac:dyDescent="0.2"/>
    <row r="76" spans="3:44" ht="11.25" customHeight="1" x14ac:dyDescent="0.2">
      <c r="C76" t="s">
        <v>136</v>
      </c>
      <c r="E76" s="2">
        <f>+'BS1'!E37</f>
        <v>47.848415809286124</v>
      </c>
      <c r="F76" s="2">
        <f>+'BS1'!F37</f>
        <v>25.113267519475791</v>
      </c>
      <c r="G76" s="2">
        <f>+'BS1'!G37</f>
        <v>31.410889364115246</v>
      </c>
      <c r="H76" s="2">
        <f>+'BS1'!H37</f>
        <v>38.10265246134005</v>
      </c>
      <c r="I76" s="2">
        <f>+'BS1'!I37</f>
        <v>22.840079624143247</v>
      </c>
      <c r="J76" s="2">
        <f>+'BS1'!J37</f>
        <v>39.803340466816827</v>
      </c>
      <c r="K76" s="2">
        <f>+'BS1'!K37</f>
        <v>33.841551096056762</v>
      </c>
      <c r="L76" s="2">
        <f>+'BS1'!L37</f>
        <v>32.462349085667149</v>
      </c>
      <c r="M76" s="2">
        <f>+'BS1'!M37</f>
        <v>22.142230773811761</v>
      </c>
      <c r="N76" s="2">
        <f>+'BS1'!N37</f>
        <v>48.254177288370627</v>
      </c>
      <c r="O76" s="2">
        <f>+'BS1'!O37</f>
        <v>19.5680332536385</v>
      </c>
      <c r="P76" s="2">
        <f>+'BS1'!P37</f>
        <v>26.796432599557811</v>
      </c>
      <c r="Q76" s="2">
        <f>+'BS1'!Q37</f>
        <v>38.537202282226495</v>
      </c>
      <c r="R76" s="2">
        <f>+'BS1'!R37</f>
        <v>42.289773613621236</v>
      </c>
      <c r="S76" s="2">
        <f>+'BS1'!S37</f>
        <v>37.850776091429069</v>
      </c>
      <c r="T76" s="2">
        <f>+'BS1'!T37</f>
        <v>34.756871767190553</v>
      </c>
      <c r="U76" s="2">
        <f>+'BS1'!U37</f>
        <v>30.083352104233413</v>
      </c>
      <c r="V76" s="2">
        <f>+'BS1'!V37</f>
        <v>46.016491829735727</v>
      </c>
      <c r="W76" s="2">
        <f>+'BS1'!W37</f>
        <v>39.991266745802946</v>
      </c>
      <c r="X76" s="2">
        <f>+'BS1'!X37</f>
        <v>24.315720035817673</v>
      </c>
      <c r="Y76" s="2">
        <f>+'BS1'!Y37</f>
        <v>30.190730704033491</v>
      </c>
      <c r="Z76" s="2">
        <f>+'BS1'!Z37</f>
        <v>31.000939448054478</v>
      </c>
      <c r="AA76" s="2">
        <f>+'BS1'!AA37</f>
        <v>25.215990514017939</v>
      </c>
      <c r="AB76" s="2">
        <f>+'BS1'!AB37</f>
        <v>44.85414652383573</v>
      </c>
      <c r="AC76" s="2">
        <f>+'BS1'!AC37</f>
        <v>47.591678450407279</v>
      </c>
      <c r="AD76" s="2">
        <f>+'BS1'!AD37</f>
        <v>29.19756368111522</v>
      </c>
      <c r="AE76" s="2">
        <f>+'BS1'!AE37</f>
        <v>40.582567650843075</v>
      </c>
      <c r="AF76" s="2">
        <f>+'BS1'!AF37</f>
        <v>46.320334925419417</v>
      </c>
      <c r="AG76" s="2">
        <f>+'BS1'!AG37</f>
        <v>66.421855096942195</v>
      </c>
      <c r="AH76" s="2">
        <f>+'BS1'!AH37</f>
        <v>33.016468384961982</v>
      </c>
      <c r="AI76" s="2">
        <f>+'BS1'!AI37</f>
        <v>56.461083490080064</v>
      </c>
      <c r="AJ76" s="2"/>
      <c r="AK76" s="2">
        <f>+'BS1'!AK37</f>
        <v>30.397139344324884</v>
      </c>
      <c r="AL76" s="2">
        <f>+'BS1'!AL37</f>
        <v>32.193761778386332</v>
      </c>
      <c r="AM76" s="2">
        <f>+'BS1'!AM37</f>
        <v>38.310312483991616</v>
      </c>
      <c r="AN76" s="2"/>
      <c r="AO76" s="2">
        <f>IFERROR(AVERAGE(AG76:AI76),0)</f>
        <v>51.966468990661411</v>
      </c>
      <c r="AP76" s="2">
        <f>IFERROR(AVERAGE(AD76:AI76),0)</f>
        <v>45.333312204893652</v>
      </c>
      <c r="AQ76" s="2">
        <f>IFERROR(AVERAGE(AA76:AI76),0)</f>
        <v>43.295743190846991</v>
      </c>
      <c r="AR76" s="2">
        <f>IFERROR(AVERAGE(X76:AI76),0)</f>
        <v>39.59742324212737</v>
      </c>
    </row>
    <row r="77" spans="3:44" ht="11.25" customHeight="1" x14ac:dyDescent="0.2">
      <c r="C77" t="s">
        <v>135</v>
      </c>
      <c r="E77" s="2">
        <v>0</v>
      </c>
      <c r="F77" s="2">
        <v>0</v>
      </c>
      <c r="G77" s="2">
        <v>0</v>
      </c>
      <c r="H77" s="2">
        <v>0</v>
      </c>
      <c r="I77" s="2">
        <v>0</v>
      </c>
      <c r="J77" s="2">
        <v>0</v>
      </c>
      <c r="K77" s="2">
        <v>0</v>
      </c>
      <c r="L77" s="2">
        <v>0</v>
      </c>
      <c r="M77" s="2">
        <v>0</v>
      </c>
      <c r="N77" s="2">
        <v>0</v>
      </c>
      <c r="O77" s="2">
        <v>0</v>
      </c>
      <c r="P77" s="2">
        <v>0</v>
      </c>
      <c r="Q77" s="2">
        <v>0</v>
      </c>
      <c r="R77" s="2">
        <v>0</v>
      </c>
      <c r="S77" s="2">
        <v>0</v>
      </c>
      <c r="T77" s="2">
        <v>0</v>
      </c>
      <c r="U77" s="2">
        <v>0</v>
      </c>
      <c r="V77" s="2">
        <v>0</v>
      </c>
      <c r="W77" s="2">
        <v>0</v>
      </c>
      <c r="X77" s="2">
        <v>0</v>
      </c>
      <c r="Y77" s="2">
        <v>0</v>
      </c>
      <c r="Z77" s="2">
        <v>0</v>
      </c>
      <c r="AA77" s="2">
        <v>0</v>
      </c>
      <c r="AB77" s="2">
        <v>0</v>
      </c>
      <c r="AC77" s="2">
        <v>0</v>
      </c>
      <c r="AD77" s="2">
        <v>0</v>
      </c>
      <c r="AE77" s="2">
        <v>0</v>
      </c>
      <c r="AF77" s="2">
        <v>0</v>
      </c>
      <c r="AG77" s="2">
        <v>0</v>
      </c>
      <c r="AH77" s="2">
        <v>0</v>
      </c>
      <c r="AI77" s="2">
        <v>0</v>
      </c>
      <c r="AJ77" s="2"/>
      <c r="AK77" s="2" t="str">
        <f>+'BS1'!AK38</f>
        <v>n/a</v>
      </c>
      <c r="AL77" s="2" t="str">
        <f>+'BS1'!AL38</f>
        <v>n/a</v>
      </c>
      <c r="AM77" s="2" t="str">
        <f>+'BS1'!AM38</f>
        <v>n/a</v>
      </c>
      <c r="AN77" s="2"/>
      <c r="AO77" s="2">
        <f>IFERROR(AVERAGE(AG77:AI77),0)</f>
        <v>0</v>
      </c>
      <c r="AP77" s="2">
        <f>IFERROR(AVERAGE(AD77:AI77),0)</f>
        <v>0</v>
      </c>
      <c r="AQ77" s="2">
        <f>IFERROR(AVERAGE(AA77:AI77),0)</f>
        <v>0</v>
      </c>
      <c r="AR77" s="2">
        <f>IFERROR(AVERAGE(X77:AI77),0)</f>
        <v>0</v>
      </c>
    </row>
    <row r="78" spans="3:44" ht="11.25" customHeight="1" x14ac:dyDescent="0.2">
      <c r="C78" t="s">
        <v>134</v>
      </c>
      <c r="E78" s="2">
        <f>+'BS1'!E39</f>
        <v>15.731246792610364</v>
      </c>
      <c r="F78" s="2">
        <f>+'BS1'!F39</f>
        <v>16.349467225952527</v>
      </c>
      <c r="G78" s="2">
        <f>+'BS1'!G39</f>
        <v>18.751136513803893</v>
      </c>
      <c r="H78" s="2">
        <f>+'BS1'!H39</f>
        <v>10.793710500209688</v>
      </c>
      <c r="I78" s="2">
        <f>+'BS1'!I39</f>
        <v>14.671002618883982</v>
      </c>
      <c r="J78" s="2">
        <f>+'BS1'!J39</f>
        <v>14.45842582773766</v>
      </c>
      <c r="K78" s="2">
        <f>+'BS1'!K39</f>
        <v>18.625684166309128</v>
      </c>
      <c r="L78" s="2">
        <f>+'BS1'!L39</f>
        <v>11.76405271783514</v>
      </c>
      <c r="M78" s="2">
        <f>+'BS1'!M39</f>
        <v>-11.228207281575532</v>
      </c>
      <c r="N78" s="2">
        <f>+'BS1'!N39</f>
        <v>-5.4515308855406071</v>
      </c>
      <c r="O78" s="2">
        <f>+'BS1'!O39</f>
        <v>13.230875927949064</v>
      </c>
      <c r="P78" s="2">
        <f>+'BS1'!P39</f>
        <v>0</v>
      </c>
      <c r="Q78" s="2">
        <f>+'BS1'!Q39</f>
        <v>7.617657553135615</v>
      </c>
      <c r="R78" s="2">
        <f>+'BS1'!R39</f>
        <v>1.0255573197174397</v>
      </c>
      <c r="S78" s="2">
        <f>+'BS1'!S39</f>
        <v>12.674498537982</v>
      </c>
      <c r="T78" s="2">
        <f>+'BS1'!T39</f>
        <v>1.6081291050497075</v>
      </c>
      <c r="U78" s="2">
        <f>+'BS1'!U39</f>
        <v>18.080884632292673</v>
      </c>
      <c r="V78" s="2">
        <f>+'BS1'!V39</f>
        <v>8.6229463983072314</v>
      </c>
      <c r="W78" s="2">
        <f>+'BS1'!W39</f>
        <v>15.027227599020183</v>
      </c>
      <c r="X78" s="2">
        <f>+'BS1'!X39</f>
        <v>21.651519971131645</v>
      </c>
      <c r="Y78" s="2">
        <f>+'BS1'!Y39</f>
        <v>16.001041736639369</v>
      </c>
      <c r="Z78" s="2">
        <f>+'BS1'!Z39</f>
        <v>22.454154235207245</v>
      </c>
      <c r="AA78" s="2">
        <f>+'BS1'!AA39</f>
        <v>16.672404529484922</v>
      </c>
      <c r="AB78" s="2">
        <f>+'BS1'!AB39</f>
        <v>5.4953531483092899</v>
      </c>
      <c r="AC78" s="2">
        <f>+'BS1'!AC39</f>
        <v>14.932390913915148</v>
      </c>
      <c r="AD78" s="2">
        <f>+'BS1'!AD39</f>
        <v>21.673571680816579</v>
      </c>
      <c r="AE78" s="2">
        <f>+'BS1'!AE39</f>
        <v>24.662943911120642</v>
      </c>
      <c r="AF78" s="2">
        <f>+'BS1'!AF39</f>
        <v>10.745057621379102</v>
      </c>
      <c r="AG78" s="2">
        <f>+'BS1'!AG39</f>
        <v>20.376094638551805</v>
      </c>
      <c r="AH78" s="2">
        <f>+'BS1'!AH39</f>
        <v>12.975141706798995</v>
      </c>
      <c r="AI78" s="2">
        <f>+'BS1'!AI39</f>
        <v>12.46061321985318</v>
      </c>
      <c r="AJ78" s="2"/>
      <c r="AK78" s="2">
        <f>+'BS1'!AK39</f>
        <v>0</v>
      </c>
      <c r="AL78" s="2">
        <f>+'BS1'!AL39</f>
        <v>8.7413085891537747</v>
      </c>
      <c r="AM78" s="2">
        <f>+'BS1'!AM39</f>
        <v>11.996858983807114</v>
      </c>
      <c r="AN78" s="2"/>
      <c r="AO78" s="2">
        <f>IFERROR(AVERAGE(AG78:AI78),0)</f>
        <v>15.270616521734659</v>
      </c>
      <c r="AP78" s="2">
        <f>IFERROR(AVERAGE(AD78:AI78),0)</f>
        <v>17.148903796420054</v>
      </c>
      <c r="AQ78" s="2">
        <f>IFERROR(AVERAGE(AA78:AI78),0)</f>
        <v>15.554841263358851</v>
      </c>
      <c r="AR78" s="2">
        <f>IFERROR(AVERAGE(X78:AI78),0)</f>
        <v>16.675023942767325</v>
      </c>
    </row>
    <row r="79" spans="3:44" ht="6" customHeight="1" x14ac:dyDescent="0.2"/>
    <row r="81" spans="3:44" ht="11.25" customHeight="1" x14ac:dyDescent="0.2">
      <c r="C81" t="s">
        <v>133</v>
      </c>
      <c r="E81" s="2">
        <f>'NWC2'!E44-E73</f>
        <v>0</v>
      </c>
      <c r="F81" s="2">
        <f>'NWC2'!F44-F73</f>
        <v>0</v>
      </c>
      <c r="G81" s="2">
        <f>'NWC2'!G44-G73</f>
        <v>0</v>
      </c>
      <c r="H81" s="2">
        <f>'NWC2'!H44-H73</f>
        <v>0</v>
      </c>
      <c r="I81" s="2">
        <f>'NWC2'!I44-I73</f>
        <v>0</v>
      </c>
      <c r="J81" s="2">
        <f>'NWC2'!J44-J73</f>
        <v>0</v>
      </c>
      <c r="K81" s="2">
        <f>'NWC2'!K44-K73</f>
        <v>0</v>
      </c>
      <c r="L81" s="2">
        <f>'NWC2'!L44-L73</f>
        <v>0</v>
      </c>
      <c r="M81" s="2">
        <f>'NWC2'!M44-M73</f>
        <v>0</v>
      </c>
      <c r="N81" s="2">
        <f>'NWC2'!N44-N73</f>
        <v>0</v>
      </c>
      <c r="O81" s="2">
        <f>'NWC2'!O44-O73</f>
        <v>0</v>
      </c>
      <c r="P81" s="2">
        <f>'NWC2'!P44-P73</f>
        <v>0</v>
      </c>
      <c r="Q81" s="2">
        <f>'NWC2'!Q44-Q73</f>
        <v>0</v>
      </c>
      <c r="R81" s="2">
        <f>'NWC2'!R44-R73</f>
        <v>0</v>
      </c>
      <c r="S81" s="2">
        <f>'NWC2'!S44-S73</f>
        <v>0</v>
      </c>
      <c r="T81" s="2">
        <f>'NWC2'!T44-T73</f>
        <v>0</v>
      </c>
      <c r="U81" s="2">
        <f>'NWC2'!U44-U73</f>
        <v>0</v>
      </c>
      <c r="V81" s="2">
        <f>'NWC2'!V44-V73</f>
        <v>0</v>
      </c>
      <c r="W81" s="2">
        <f>'NWC2'!W44-W73</f>
        <v>0</v>
      </c>
      <c r="X81" s="2">
        <f>'NWC2'!X44-X73</f>
        <v>0</v>
      </c>
      <c r="Y81" s="2">
        <f>'NWC2'!Y44-Y73</f>
        <v>0</v>
      </c>
      <c r="Z81" s="2">
        <f>'NWC2'!Z44-Z73</f>
        <v>0</v>
      </c>
      <c r="AA81" s="2">
        <f>'NWC2'!AA44-AA73</f>
        <v>0</v>
      </c>
      <c r="AB81" s="2">
        <f>'NWC2'!AB44-AB73</f>
        <v>0</v>
      </c>
      <c r="AC81" s="2">
        <f>'NWC2'!AC44-AC73</f>
        <v>0</v>
      </c>
      <c r="AD81" s="2">
        <f>'NWC2'!AD44-AD73</f>
        <v>0</v>
      </c>
      <c r="AE81" s="2">
        <f>'NWC2'!AE44-AE73</f>
        <v>0</v>
      </c>
      <c r="AF81" s="2">
        <f>'NWC2'!AF44-AF73</f>
        <v>0</v>
      </c>
      <c r="AG81" s="2">
        <f>'NWC2'!AG44-AG73</f>
        <v>0</v>
      </c>
      <c r="AH81" s="2">
        <f>'NWC2'!AH44-AH73</f>
        <v>0</v>
      </c>
      <c r="AI81" s="2">
        <f>'NWC2'!AI44-AI73</f>
        <v>0</v>
      </c>
      <c r="AJ81" s="2"/>
      <c r="AK81" s="2">
        <f>'NWC2'!AK44-AK73</f>
        <v>0</v>
      </c>
      <c r="AL81" s="2">
        <f>'NWC2'!AL44-AL73</f>
        <v>0</v>
      </c>
      <c r="AM81" s="2">
        <f>'NWC2'!AM44-AM73</f>
        <v>0</v>
      </c>
      <c r="AN81" s="2"/>
      <c r="AO81" s="2">
        <f>'NWC2'!AO44-AO73</f>
        <v>0</v>
      </c>
      <c r="AP81" s="2">
        <f>'NWC2'!AP44-AP73</f>
        <v>0</v>
      </c>
      <c r="AQ81" s="2">
        <f>'NWC2'!AQ44-AQ73</f>
        <v>0</v>
      </c>
      <c r="AR81" s="2">
        <f>'NWC2'!AR44-AR73</f>
        <v>0</v>
      </c>
    </row>
    <row r="82" spans="3:44" ht="11.25" customHeight="1" x14ac:dyDescent="0.2">
      <c r="C82" t="s">
        <v>132</v>
      </c>
      <c r="E82" s="2">
        <f>'BS1'!E13-E26</f>
        <v>0</v>
      </c>
      <c r="F82" s="2">
        <f>'BS1'!F13-F26</f>
        <v>0</v>
      </c>
      <c r="G82" s="2">
        <f>'BS1'!G13-G26</f>
        <v>0</v>
      </c>
      <c r="H82" s="2">
        <f>'BS1'!H13-H26</f>
        <v>0</v>
      </c>
      <c r="I82" s="2">
        <f>'BS1'!I13-I26</f>
        <v>0</v>
      </c>
      <c r="J82" s="2">
        <f>'BS1'!J13-J26</f>
        <v>0</v>
      </c>
      <c r="K82" s="2">
        <f>'BS1'!K13-K26</f>
        <v>0</v>
      </c>
      <c r="L82" s="2">
        <f>'BS1'!L13-L26</f>
        <v>0</v>
      </c>
      <c r="M82" s="2">
        <f>'BS1'!M13-M26</f>
        <v>0</v>
      </c>
      <c r="N82" s="2">
        <f>'BS1'!N13-N26</f>
        <v>0</v>
      </c>
      <c r="O82" s="2">
        <f>'BS1'!O13-O26</f>
        <v>0</v>
      </c>
      <c r="P82" s="2">
        <f>'BS1'!P13-P26</f>
        <v>0</v>
      </c>
      <c r="Q82" s="2">
        <f>'BS1'!Q13-Q26</f>
        <v>0</v>
      </c>
      <c r="R82" s="2">
        <f>'BS1'!R13-R26</f>
        <v>0</v>
      </c>
      <c r="S82" s="2">
        <f>'BS1'!S13-S26</f>
        <v>0</v>
      </c>
      <c r="T82" s="2">
        <f>'BS1'!T13-T26</f>
        <v>0</v>
      </c>
      <c r="U82" s="2">
        <f>'BS1'!U13-U26</f>
        <v>0</v>
      </c>
      <c r="V82" s="2">
        <f>'BS1'!V13-V26</f>
        <v>0</v>
      </c>
      <c r="W82" s="2">
        <f>'BS1'!W13-W26</f>
        <v>0</v>
      </c>
      <c r="X82" s="2">
        <f>'BS1'!X13-X26</f>
        <v>0</v>
      </c>
      <c r="Y82" s="2">
        <f>'BS1'!Y13-Y26</f>
        <v>0</v>
      </c>
      <c r="Z82" s="2">
        <f>'BS1'!Z13-Z26</f>
        <v>0</v>
      </c>
      <c r="AA82" s="2">
        <f>'BS1'!AA13-AA26</f>
        <v>0</v>
      </c>
      <c r="AB82" s="2">
        <f>'BS1'!AB13-AB26</f>
        <v>0</v>
      </c>
      <c r="AC82" s="2">
        <f>'BS1'!AC13-AC26</f>
        <v>0</v>
      </c>
      <c r="AD82" s="2">
        <f>'BS1'!AD13-AD26</f>
        <v>0</v>
      </c>
      <c r="AE82" s="2">
        <f>'BS1'!AE13-AE26</f>
        <v>0</v>
      </c>
      <c r="AF82" s="2">
        <f>'BS1'!AF13-AF26</f>
        <v>0</v>
      </c>
      <c r="AG82" s="2">
        <f>'BS1'!AG13-AG26</f>
        <v>0</v>
      </c>
      <c r="AH82" s="2">
        <f>'BS1'!AH13-AH26</f>
        <v>0</v>
      </c>
      <c r="AI82" s="2">
        <f>'BS1'!AI13-AI26</f>
        <v>0</v>
      </c>
      <c r="AJ82" s="2"/>
      <c r="AK82" s="2">
        <f>'BS1'!AK13-AK26</f>
        <v>0</v>
      </c>
      <c r="AL82" s="2">
        <f>'BS1'!AL13-AL26</f>
        <v>0</v>
      </c>
      <c r="AM82" s="2">
        <f>'BS1'!AM13-AM26</f>
        <v>0</v>
      </c>
      <c r="AN82" s="2"/>
      <c r="AO82" s="2"/>
      <c r="AP82" s="2"/>
      <c r="AQ82" s="2"/>
      <c r="AR82" s="2"/>
    </row>
    <row r="83" spans="3:44" ht="11.25" customHeight="1" x14ac:dyDescent="0.2">
      <c r="C83" t="s">
        <v>131</v>
      </c>
      <c r="E83" s="2">
        <f>'BS1'!E25-E47</f>
        <v>0</v>
      </c>
      <c r="F83" s="2">
        <f>'BS1'!F25-F47</f>
        <v>0</v>
      </c>
      <c r="G83" s="2">
        <f>'BS1'!G25-G47</f>
        <v>0</v>
      </c>
      <c r="H83" s="2">
        <f>'BS1'!H25-H47</f>
        <v>0</v>
      </c>
      <c r="I83" s="2">
        <f>'BS1'!I25-I47</f>
        <v>0</v>
      </c>
      <c r="J83" s="2">
        <f>'BS1'!J25-J47</f>
        <v>0</v>
      </c>
      <c r="K83" s="2">
        <f>'BS1'!K25-K47</f>
        <v>0</v>
      </c>
      <c r="L83" s="2">
        <f>'BS1'!L25-L47</f>
        <v>0</v>
      </c>
      <c r="M83" s="2">
        <f>'BS1'!M25-M47</f>
        <v>0</v>
      </c>
      <c r="N83" s="2">
        <f>'BS1'!N25-N47</f>
        <v>0</v>
      </c>
      <c r="O83" s="2">
        <f>'BS1'!O25-O47</f>
        <v>0</v>
      </c>
      <c r="P83" s="2">
        <f>'BS1'!P25-P47</f>
        <v>0</v>
      </c>
      <c r="Q83" s="2">
        <f>'BS1'!Q25-Q47</f>
        <v>0</v>
      </c>
      <c r="R83" s="2">
        <f>'BS1'!R25-R47</f>
        <v>0</v>
      </c>
      <c r="S83" s="2">
        <f>'BS1'!S25-S47</f>
        <v>0</v>
      </c>
      <c r="T83" s="2">
        <f>'BS1'!T25-T47</f>
        <v>0</v>
      </c>
      <c r="U83" s="2">
        <f>'BS1'!U25-U47</f>
        <v>0</v>
      </c>
      <c r="V83" s="2">
        <f>'BS1'!V25-V47</f>
        <v>0</v>
      </c>
      <c r="W83" s="2">
        <f>'BS1'!W25-W47</f>
        <v>0</v>
      </c>
      <c r="X83" s="2">
        <f>'BS1'!X25-X47</f>
        <v>0</v>
      </c>
      <c r="Y83" s="2">
        <f>'BS1'!Y25-Y47</f>
        <v>0</v>
      </c>
      <c r="Z83" s="2">
        <f>'BS1'!Z25-Z47</f>
        <v>0</v>
      </c>
      <c r="AA83" s="2">
        <f>'BS1'!AA25-AA47</f>
        <v>0</v>
      </c>
      <c r="AB83" s="2">
        <f>'BS1'!AB25-AB47</f>
        <v>0</v>
      </c>
      <c r="AC83" s="2">
        <f>'BS1'!AC25-AC47</f>
        <v>0</v>
      </c>
      <c r="AD83" s="2">
        <f>'BS1'!AD25-AD47</f>
        <v>0</v>
      </c>
      <c r="AE83" s="2">
        <f>'BS1'!AE25-AE47</f>
        <v>0</v>
      </c>
      <c r="AF83" s="2">
        <f>'BS1'!AF25-AF47</f>
        <v>0</v>
      </c>
      <c r="AG83" s="2">
        <f>'BS1'!AG25-AG47</f>
        <v>0</v>
      </c>
      <c r="AH83" s="2">
        <f>'BS1'!AH25-AH47</f>
        <v>0</v>
      </c>
      <c r="AI83" s="2">
        <f>'BS1'!AI25-AI47</f>
        <v>0</v>
      </c>
      <c r="AJ83" s="2"/>
      <c r="AK83" s="2">
        <f>'BS1'!AK25-AK47</f>
        <v>0</v>
      </c>
      <c r="AL83" s="2">
        <f>'BS1'!AL25-AL47</f>
        <v>0</v>
      </c>
      <c r="AM83" s="2">
        <f>'BS1'!AM25-AM47</f>
        <v>0</v>
      </c>
      <c r="AN83" s="2"/>
      <c r="AO83" s="2"/>
      <c r="AP83" s="2"/>
      <c r="AQ83" s="2"/>
      <c r="AR83" s="2"/>
    </row>
    <row r="86" spans="3:44" ht="11.25" customHeight="1" x14ac:dyDescent="0.2">
      <c r="C86" t="s">
        <v>130</v>
      </c>
      <c r="E86" s="2">
        <f>SUM(E87:E87)</f>
        <v>193.12699999999998</v>
      </c>
      <c r="F86" s="2">
        <f>SUM(E87:F87)</f>
        <v>622.57049999999992</v>
      </c>
      <c r="G86" s="2">
        <f>SUM(E87:G87)</f>
        <v>1354.3854999999999</v>
      </c>
      <c r="H86" s="2">
        <f>SUM(E87:H87)</f>
        <v>1784.7404999999999</v>
      </c>
      <c r="I86" s="2">
        <f>SUM(E87:I87)</f>
        <v>2408.1695</v>
      </c>
      <c r="J86" s="2">
        <f>SUM(E87:J87)</f>
        <v>2889.0005000000001</v>
      </c>
      <c r="K86" s="2">
        <f>SUM(E87:K87)</f>
        <v>3577.4684999999999</v>
      </c>
      <c r="L86" s="2">
        <f>SUM(E87:L87)</f>
        <v>4844.8680000000004</v>
      </c>
      <c r="M86" s="2">
        <f>SUM(E87:M87)</f>
        <v>6121.0440000000008</v>
      </c>
      <c r="N86" s="2">
        <f>SUM(E87:N87)</f>
        <v>6359.7455000000009</v>
      </c>
      <c r="O86" s="2">
        <f>SUM(E87:O87)</f>
        <v>6910.6386000000011</v>
      </c>
      <c r="P86" s="2">
        <f>SUM(E87:P87)</f>
        <v>7647.4216000000006</v>
      </c>
      <c r="Q86" s="2">
        <f>SUM(F87:Q87)</f>
        <v>7876.3386</v>
      </c>
      <c r="R86" s="2">
        <f>SUM(G87:R87)</f>
        <v>7972.5451000000003</v>
      </c>
      <c r="S86" s="2">
        <f>SUM(H87:S87)</f>
        <v>7612.0780999999997</v>
      </c>
      <c r="T86" s="2">
        <f>SUM(I87:T87)</f>
        <v>7563.3570999999993</v>
      </c>
      <c r="U86" s="2">
        <f>SUM(J87:U87)</f>
        <v>7477.1070999999993</v>
      </c>
      <c r="V86" s="2">
        <f>SUM(K87:V87)</f>
        <v>7353.1800999999996</v>
      </c>
      <c r="W86" s="2">
        <f>SUM(L87:W87)</f>
        <v>7030.3261000000002</v>
      </c>
      <c r="X86" s="2">
        <f>SUM(M87:X87)</f>
        <v>6895.3285999999989</v>
      </c>
      <c r="Y86" s="2">
        <f>SUM(N87:Y87)</f>
        <v>6754.3227399999996</v>
      </c>
      <c r="Z86" s="2">
        <f>SUM(O87:Z87)</f>
        <v>6845.27225</v>
      </c>
      <c r="AA86" s="2">
        <f>SUM(P87:AA87)</f>
        <v>7102.3081499999998</v>
      </c>
      <c r="AB86" s="2">
        <f>SUM(Q87:AB87)</f>
        <v>6778.7511599999989</v>
      </c>
      <c r="AC86" s="2">
        <f>SUM(R87:AC87)</f>
        <v>6708.180159999999</v>
      </c>
      <c r="AD86" s="2">
        <f>SUM(S87:AD87)</f>
        <v>6726.1371599999993</v>
      </c>
      <c r="AE86" s="2">
        <f>SUM(T87:AE87)</f>
        <v>7091.3542599999992</v>
      </c>
      <c r="AF86" s="2">
        <f>SUM(U87:AF87)</f>
        <v>7135.3672599999991</v>
      </c>
      <c r="AG86" s="2">
        <f>SUM(V87:AG87)</f>
        <v>6882.3782599999986</v>
      </c>
      <c r="AH86" s="2">
        <f>SUM(W87:AH87)</f>
        <v>7285.840259999999</v>
      </c>
      <c r="AI86" s="2">
        <f>SUM(X87:AI87)</f>
        <v>7343.4142599999996</v>
      </c>
      <c r="AJ86" s="2"/>
      <c r="AK86" s="2"/>
      <c r="AL86" s="2"/>
      <c r="AM86" s="2"/>
      <c r="AN86" s="2"/>
      <c r="AO86" s="2"/>
      <c r="AP86" s="2"/>
      <c r="AQ86" s="2"/>
      <c r="AR86" s="2"/>
    </row>
    <row r="87" spans="3:44" ht="11.25" customHeight="1" x14ac:dyDescent="0.2">
      <c r="C87" t="s">
        <v>129</v>
      </c>
      <c r="E87" s="2">
        <f>'RPL1'!E10</f>
        <v>193.12699999999998</v>
      </c>
      <c r="F87" s="2">
        <f>'RPL1'!F10</f>
        <v>429.44349999999997</v>
      </c>
      <c r="G87" s="2">
        <f>'RPL1'!G10</f>
        <v>731.81500000000005</v>
      </c>
      <c r="H87" s="2">
        <f>'RPL1'!H10</f>
        <v>430.35500000000002</v>
      </c>
      <c r="I87" s="2">
        <f>'RPL1'!I10</f>
        <v>623.42899999999997</v>
      </c>
      <c r="J87" s="2">
        <f>'RPL1'!J10</f>
        <v>480.83100000000002</v>
      </c>
      <c r="K87" s="2">
        <f>'RPL1'!K10</f>
        <v>688.46799999999996</v>
      </c>
      <c r="L87" s="2">
        <f>'RPL1'!L10</f>
        <v>1267.3995</v>
      </c>
      <c r="M87" s="2">
        <f>'RPL1'!M10</f>
        <v>1276.1760000000002</v>
      </c>
      <c r="N87" s="2">
        <f>'RPL1'!N10</f>
        <v>238.70149999999998</v>
      </c>
      <c r="O87" s="2">
        <f>'RPL1'!O10</f>
        <v>550.8931</v>
      </c>
      <c r="P87" s="2">
        <f>'RPL1'!P10</f>
        <v>736.78299999999979</v>
      </c>
      <c r="Q87" s="2">
        <f>'RPL1'!Q10</f>
        <v>422.04399999999998</v>
      </c>
      <c r="R87" s="2">
        <f>'RPL1'!R10</f>
        <v>525.65</v>
      </c>
      <c r="S87" s="2">
        <f>'RPL1'!S10</f>
        <v>371.34799999999996</v>
      </c>
      <c r="T87" s="2">
        <f>'RPL1'!T10</f>
        <v>381.63400000000001</v>
      </c>
      <c r="U87" s="2">
        <f>'RPL1'!U10</f>
        <v>537.17899999999997</v>
      </c>
      <c r="V87" s="2">
        <f>'RPL1'!V10</f>
        <v>356.904</v>
      </c>
      <c r="W87" s="2">
        <f>'RPL1'!W10</f>
        <v>365.61400000000003</v>
      </c>
      <c r="X87" s="2">
        <f>'RPL1'!X10</f>
        <v>1132.4019999999998</v>
      </c>
      <c r="Y87" s="2">
        <f>'RPL1'!Y10</f>
        <v>1135.1701400000002</v>
      </c>
      <c r="Z87" s="2">
        <f>'RPL1'!Z10</f>
        <v>329.65100999999999</v>
      </c>
      <c r="AA87" s="2">
        <f>'RPL1'!AA10</f>
        <v>807.92899999999997</v>
      </c>
      <c r="AB87" s="2">
        <f>'RPL1'!AB10</f>
        <v>413.2260099999998</v>
      </c>
      <c r="AC87" s="2">
        <f>'RPL1'!AC10</f>
        <v>351.47300000000001</v>
      </c>
      <c r="AD87" s="2">
        <f>'RPL1'!AD10</f>
        <v>543.60699999999997</v>
      </c>
      <c r="AE87" s="2">
        <f>'RPL1'!AE10</f>
        <v>736.56510000000014</v>
      </c>
      <c r="AF87" s="2">
        <f>'RPL1'!AF10</f>
        <v>425.64699999999999</v>
      </c>
      <c r="AG87" s="2">
        <f>'RPL1'!AG10</f>
        <v>284.19</v>
      </c>
      <c r="AH87" s="2">
        <f>'RPL1'!AH10</f>
        <v>760.36599999999999</v>
      </c>
      <c r="AI87" s="2">
        <f>'RPL1'!AI10</f>
        <v>423.18799999999999</v>
      </c>
      <c r="AJ87" s="2"/>
      <c r="AK87" s="2"/>
      <c r="AL87" s="2"/>
      <c r="AM87" s="2"/>
      <c r="AN87" s="2"/>
      <c r="AO87" s="2"/>
      <c r="AP87" s="2"/>
      <c r="AQ87" s="2"/>
      <c r="AR87" s="2"/>
    </row>
  </sheetData>
  <pageMargins left="0.7" right="0.7" top="0.75" bottom="0.75" header="0.3" footer="0.3"/>
  <pageSetup scale="43" orientation="landscape" r:id="rId1"/>
  <customProperties>
    <customPr name="OrphanNamesChecked" r:id="rId2"/>
  </customProperties>
  <drawing r:id="rId3"/>
  <extLst>
    <ext xmlns:x14="http://schemas.microsoft.com/office/spreadsheetml/2009/9/main" uri="{78C0D931-6437-407d-A8EE-F0AAD7539E65}">
      <x14:conditionalFormattings>
        <x14:conditionalFormatting xmlns:xm="http://schemas.microsoft.com/office/excel/2006/main">
          <x14:cfRule type="containsText" priority="1" operator="containsText" id="{3293F166-52F4-40D4-BAF4-B963E7F004EB}">
            <xm:f>NOT(ISERROR(SEARCH("NO",A1)))</xm:f>
            <xm:f>"NO"</xm:f>
            <x14:dxf>
              <font>
                <b/>
                <i val="0"/>
                <color rgb="FFFF0000"/>
              </font>
            </x14:dxf>
          </x14:cfRule>
          <xm:sqref>A1:A2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2EB12-120F-4DB8-B181-BF399DB674C2}">
  <sheetPr>
    <tabColor rgb="FFFFFF00"/>
    <pageSetUpPr fitToPage="1"/>
  </sheetPr>
  <dimension ref="A1:AS72"/>
  <sheetViews>
    <sheetView showGridLines="0" view="pageBreakPreview" zoomScaleNormal="100" zoomScaleSheetLayoutView="100" workbookViewId="0">
      <pane xSplit="4" ySplit="8" topLeftCell="E46" activePane="bottomRight" state="frozen"/>
      <selection pane="topRight"/>
      <selection pane="bottomLeft"/>
      <selection pane="bottomRight" activeCell="C2" sqref="C2"/>
    </sheetView>
  </sheetViews>
  <sheetFormatPr defaultRowHeight="10" outlineLevelRow="1" outlineLevelCol="1" x14ac:dyDescent="0.2"/>
  <cols>
    <col min="1" max="1" width="9.33203125" customWidth="1" outlineLevel="1"/>
    <col min="2" max="2" width="1.77734375" customWidth="1"/>
    <col min="3" max="3" width="37" bestFit="1" customWidth="1"/>
    <col min="4" max="4" width="4.33203125" customWidth="1"/>
    <col min="5" max="35" width="9.21875" bestFit="1" customWidth="1"/>
    <col min="36" max="36" width="1.77734375" customWidth="1"/>
    <col min="37" max="39" width="8.77734375" customWidth="1"/>
    <col min="40" max="40" width="1.77734375" customWidth="1"/>
    <col min="41" max="44" width="8.77734375" customWidth="1"/>
    <col min="45" max="45" width="1.77734375" customWidth="1"/>
  </cols>
  <sheetData>
    <row r="1" spans="1:44" ht="10.5" x14ac:dyDescent="0.25">
      <c r="A1" s="38" t="str">
        <f>IF(ROUND(SUM(E52:AS52),1)&lt;&gt;0,"NO","Yes")</f>
        <v>Yes</v>
      </c>
      <c r="C1" t="s">
        <v>451</v>
      </c>
    </row>
    <row r="2" spans="1:44" ht="10.5" x14ac:dyDescent="0.25">
      <c r="A2" s="38" t="str">
        <f>IF(COUNTIF(E52:AS52,"&gt;0.5")+COUNTIF(E52:AS52,"&lt;-0.5")&lt;1,"Yes","No")</f>
        <v>Yes</v>
      </c>
      <c r="C2" t="s">
        <v>450</v>
      </c>
    </row>
    <row r="3" spans="1:44" x14ac:dyDescent="0.2">
      <c r="A3">
        <f>2-COUNTIF(A1:A2,"Yes")</f>
        <v>0</v>
      </c>
      <c r="C3" t="s">
        <v>36</v>
      </c>
    </row>
    <row r="4" spans="1:44" x14ac:dyDescent="0.2">
      <c r="C4" t="s">
        <v>198</v>
      </c>
    </row>
    <row r="6" spans="1:44" x14ac:dyDescent="0.2">
      <c r="AO6" s="61"/>
      <c r="AP6" s="61"/>
      <c r="AQ6" s="61"/>
      <c r="AR6" s="61"/>
    </row>
    <row r="7" spans="1:44" ht="13.5" customHeight="1" x14ac:dyDescent="0.55000000000000004">
      <c r="C7" s="34" t="str">
        <f>C4</f>
        <v>Adjusted Net Working Capital</v>
      </c>
      <c r="D7" s="31"/>
      <c r="E7" s="36" t="s">
        <v>32</v>
      </c>
      <c r="F7" s="36"/>
      <c r="G7" s="36"/>
      <c r="H7" s="36"/>
      <c r="I7" s="36"/>
      <c r="J7" s="36"/>
      <c r="K7" s="36"/>
      <c r="L7" s="36"/>
      <c r="M7" s="36"/>
      <c r="N7" s="36"/>
      <c r="O7" s="36"/>
      <c r="P7" s="36"/>
      <c r="Q7" s="36" t="s">
        <v>31</v>
      </c>
      <c r="R7" s="36"/>
      <c r="S7" s="36"/>
      <c r="T7" s="36"/>
      <c r="U7" s="36"/>
      <c r="V7" s="36"/>
      <c r="W7" s="36"/>
      <c r="X7" s="36"/>
      <c r="Y7" s="36"/>
      <c r="Z7" s="36"/>
      <c r="AA7" s="36"/>
      <c r="AB7" s="36"/>
      <c r="AC7" s="36" t="s">
        <v>35</v>
      </c>
      <c r="AD7" s="36"/>
      <c r="AE7" s="36"/>
      <c r="AF7" s="36"/>
      <c r="AG7" s="36"/>
      <c r="AH7" s="36"/>
      <c r="AI7" s="36"/>
      <c r="AJ7" s="31"/>
      <c r="AK7" s="31"/>
      <c r="AL7" s="31"/>
      <c r="AM7" s="31"/>
      <c r="AN7" s="31"/>
      <c r="AO7" s="36" t="s">
        <v>183</v>
      </c>
      <c r="AP7" s="36"/>
      <c r="AQ7" s="36"/>
      <c r="AR7" s="36"/>
    </row>
    <row r="8" spans="1:44" ht="10.5" x14ac:dyDescent="0.25">
      <c r="C8" s="34" t="str">
        <f>C3</f>
        <v>($ in 000s)</v>
      </c>
      <c r="D8" s="34" t="s">
        <v>33</v>
      </c>
      <c r="E8" s="32">
        <f>TB!K1</f>
        <v>45046</v>
      </c>
      <c r="F8" s="32">
        <f>TB!L1</f>
        <v>45077</v>
      </c>
      <c r="G8" s="32">
        <f>TB!M1</f>
        <v>45107</v>
      </c>
      <c r="H8" s="32">
        <f>TB!N1</f>
        <v>45138</v>
      </c>
      <c r="I8" s="32">
        <f>TB!O1</f>
        <v>45169</v>
      </c>
      <c r="J8" s="32">
        <f>TB!P1</f>
        <v>45199</v>
      </c>
      <c r="K8" s="32">
        <f>TB!Q1</f>
        <v>45230</v>
      </c>
      <c r="L8" s="32">
        <f>TB!R1</f>
        <v>45260</v>
      </c>
      <c r="M8" s="32">
        <f>TB!S1</f>
        <v>45291</v>
      </c>
      <c r="N8" s="32">
        <f>TB!T1</f>
        <v>45322</v>
      </c>
      <c r="O8" s="32">
        <f>TB!U1</f>
        <v>45351</v>
      </c>
      <c r="P8" s="32">
        <f>TB!V1</f>
        <v>45382</v>
      </c>
      <c r="Q8" s="32">
        <f>TB!W1</f>
        <v>45412</v>
      </c>
      <c r="R8" s="32">
        <f>TB!X1</f>
        <v>45443</v>
      </c>
      <c r="S8" s="32">
        <f>TB!Y1</f>
        <v>45473</v>
      </c>
      <c r="T8" s="32">
        <f>TB!Z1</f>
        <v>45504</v>
      </c>
      <c r="U8" s="32">
        <f>TB!AA1</f>
        <v>45535</v>
      </c>
      <c r="V8" s="32">
        <f>TB!AB1</f>
        <v>45565</v>
      </c>
      <c r="W8" s="32">
        <f>TB!AC1</f>
        <v>45596</v>
      </c>
      <c r="X8" s="32">
        <f>TB!AD1</f>
        <v>45626</v>
      </c>
      <c r="Y8" s="32">
        <f>TB!AE1</f>
        <v>45657</v>
      </c>
      <c r="Z8" s="32">
        <f>TB!AF1</f>
        <v>45688</v>
      </c>
      <c r="AA8" s="32">
        <f>TB!AG1</f>
        <v>45716</v>
      </c>
      <c r="AB8" s="32">
        <f>TB!AH1</f>
        <v>45747</v>
      </c>
      <c r="AC8" s="32">
        <f>TB!AI1</f>
        <v>45777</v>
      </c>
      <c r="AD8" s="32">
        <f>TB!AJ1</f>
        <v>45808</v>
      </c>
      <c r="AE8" s="32">
        <f>TB!AK1</f>
        <v>45838</v>
      </c>
      <c r="AF8" s="32">
        <f>TB!AL1</f>
        <v>45869</v>
      </c>
      <c r="AG8" s="32">
        <f>TB!AM1</f>
        <v>45900</v>
      </c>
      <c r="AH8" s="32">
        <f>TB!AN1</f>
        <v>45930</v>
      </c>
      <c r="AI8" s="32">
        <f>TB!AO1</f>
        <v>45961</v>
      </c>
      <c r="AJ8" s="31"/>
      <c r="AK8" s="32">
        <f>P8</f>
        <v>45382</v>
      </c>
      <c r="AL8" s="32">
        <f>AB8</f>
        <v>45747</v>
      </c>
      <c r="AM8" s="32">
        <f>AI8</f>
        <v>45961</v>
      </c>
      <c r="AN8" s="31"/>
      <c r="AO8" s="32" t="s">
        <v>182</v>
      </c>
      <c r="AP8" s="32" t="s">
        <v>181</v>
      </c>
      <c r="AQ8" s="32" t="s">
        <v>180</v>
      </c>
      <c r="AR8" s="32" t="s">
        <v>179</v>
      </c>
    </row>
    <row r="9" spans="1:44" ht="11.25" customHeight="1" outlineLevel="1" x14ac:dyDescent="0.2">
      <c r="C9" s="17" t="s">
        <v>176</v>
      </c>
      <c r="D9" s="15"/>
      <c r="E9" s="66">
        <f>SUMIFS('NWC1'!E:E,'NWC1'!$C:$C,$C9)+SUMIFS(ADJ!G:G,ADJ!$E:$E,$C9)</f>
        <v>298.09100000000001</v>
      </c>
      <c r="F9" s="66">
        <f>SUMIFS('NWC1'!F:F,'NWC1'!$C:$C,$C9)+SUMIFS(ADJ!H:H,ADJ!$E:$E,$C9)</f>
        <v>347.89449999999999</v>
      </c>
      <c r="G9" s="66">
        <f>SUMIFS('NWC1'!G:G,'NWC1'!$C:$C,$C9)+SUMIFS(ADJ!I:I,ADJ!$E:$E,$C9)</f>
        <v>766.23199999999997</v>
      </c>
      <c r="H9" s="66">
        <f>SUMIFS('NWC1'!H:H,'NWC1'!$C:$C,$C9)+SUMIFS(ADJ!J:J,ADJ!$E:$E,$C9)</f>
        <v>528.95699999999999</v>
      </c>
      <c r="I9" s="66">
        <f>SUMIFS('NWC1'!I:I,'NWC1'!$C:$C,$C9)+SUMIFS(ADJ!K:K,ADJ!$E:$E,$C9)</f>
        <v>459.32799999999997</v>
      </c>
      <c r="J9" s="66">
        <f>SUMIFS('NWC1'!J:J,'NWC1'!$C:$C,$C9)+SUMIFS(ADJ!L:L,ADJ!$E:$E,$C9)</f>
        <v>637.95600000000002</v>
      </c>
      <c r="K9" s="66">
        <f>SUMIFS('NWC1'!K:K,'NWC1'!$C:$C,$C9)+SUMIFS(ADJ!M:M,ADJ!$E:$E,$C9)</f>
        <v>751.57500000000005</v>
      </c>
      <c r="L9" s="66">
        <f>SUMIFS('NWC1'!L:L,'NWC1'!$C:$C,$C9)+SUMIFS(ADJ!N:N,ADJ!$E:$E,$C9)</f>
        <v>1371.4255000000001</v>
      </c>
      <c r="M9" s="66">
        <f>SUMIFS('NWC1'!M:M,'NWC1'!$C:$C,$C9)+SUMIFS(ADJ!O:O,ADJ!$E:$E,$C9)</f>
        <v>911.52850000000001</v>
      </c>
      <c r="N9" s="66">
        <f>SUMIFS('NWC1'!N:N,'NWC1'!$C:$C,$C9)+SUMIFS(ADJ!P:P,ADJ!$E:$E,$C9)</f>
        <v>371.55950000000001</v>
      </c>
      <c r="O9" s="66">
        <f>SUMIFS('NWC1'!O:O,'NWC1'!$C:$C,$C9)+SUMIFS(ADJ!Q:Q,ADJ!$E:$E,$C9)</f>
        <v>371.72050000000002</v>
      </c>
      <c r="P9" s="66">
        <f>SUMIFS('NWC1'!P:P,'NWC1'!$C:$C,$C9)+SUMIFS(ADJ!R:R,ADJ!$E:$E,$C9)</f>
        <v>636.87599999999998</v>
      </c>
      <c r="Q9" s="66">
        <f>SUMIFS('NWC1'!Q:Q,'NWC1'!$C:$C,$C9)+SUMIFS(ADJ!S:S,ADJ!$E:$E,$C9)</f>
        <v>542.14649999999995</v>
      </c>
      <c r="R9" s="66">
        <f>SUMIFS('NWC1'!R:R,'NWC1'!$C:$C,$C9)+SUMIFS(ADJ!T:T,ADJ!$E:$E,$C9)</f>
        <v>717.08450000000005</v>
      </c>
      <c r="S9" s="66">
        <f>SUMIFS('NWC1'!S:S,'NWC1'!$C:$C,$C9)+SUMIFS(ADJ!U:U,ADJ!$E:$E,$C9)</f>
        <v>468.52699999999999</v>
      </c>
      <c r="T9" s="66">
        <f>SUMIFS('NWC1'!T:T,'NWC1'!$C:$C,$C9)+SUMIFS(ADJ!V:V,ADJ!$E:$E,$C9)</f>
        <v>427.88400000000001</v>
      </c>
      <c r="U9" s="66">
        <f>SUMIFS('NWC1'!U:U,'NWC1'!$C:$C,$C9)+SUMIFS(ADJ!W:W,ADJ!$E:$E,$C9)</f>
        <v>521.29499999999996</v>
      </c>
      <c r="V9" s="66">
        <f>SUMIFS('NWC1'!V:V,'NWC1'!$C:$C,$C9)+SUMIFS(ADJ!X:X,ADJ!$E:$E,$C9)</f>
        <v>547.44899999999996</v>
      </c>
      <c r="W9" s="66">
        <f>SUMIFS('NWC1'!W:W,'NWC1'!$C:$C,$C9)+SUMIFS(ADJ!Y:Y,ADJ!$E:$E,$C9)</f>
        <v>471.65699999999998</v>
      </c>
      <c r="X9" s="66">
        <f>SUMIFS('NWC1'!X:X,'NWC1'!$C:$C,$C9)+SUMIFS(ADJ!Z:Z,ADJ!$E:$E,$C9)</f>
        <v>917.83900000000006</v>
      </c>
      <c r="Y9" s="66">
        <f>SUMIFS('NWC1'!Y:Y,'NWC1'!$C:$C,$C9)+SUMIFS(ADJ!AA:AA,ADJ!$E:$E,$C9)</f>
        <v>1105.5360000000001</v>
      </c>
      <c r="Z9" s="66">
        <f>SUMIFS('NWC1'!Z:Z,'NWC1'!$C:$C,$C9)+SUMIFS(ADJ!AB:AB,ADJ!$E:$E,$C9)</f>
        <v>329.661</v>
      </c>
      <c r="AA9" s="66">
        <f>SUMIFS('NWC1'!AA:AA,'NWC1'!$C:$C,$C9)+SUMIFS(ADJ!AC:AC,ADJ!$E:$E,$C9)</f>
        <v>727.59749999999997</v>
      </c>
      <c r="AB9" s="66">
        <f>SUMIFS('NWC1'!AB:AB,'NWC1'!$C:$C,$C9)+SUMIFS(ADJ!AD:AD,ADJ!$E:$E,$C9)</f>
        <v>597.9</v>
      </c>
      <c r="AC9" s="66">
        <f>SUMIFS('NWC1'!AC:AC,'NWC1'!$C:$C,$C9)+SUMIFS(ADJ!AE:AE,ADJ!$E:$E,$C9)</f>
        <v>557.57299999999998</v>
      </c>
      <c r="AD9" s="66">
        <f>SUMIFS('NWC1'!AD:AD,'NWC1'!$C:$C,$C9)+SUMIFS(ADJ!AF:AF,ADJ!$E:$E,$C9)</f>
        <v>512</v>
      </c>
      <c r="AE9" s="66">
        <f>SUMIFS('NWC1'!AE:AE,'NWC1'!$C:$C,$C9)+SUMIFS(ADJ!AG:AG,ADJ!$E:$E,$C9)</f>
        <v>996.39009999999996</v>
      </c>
      <c r="AF9" s="66">
        <f>SUMIFS('NWC1'!AF:AF,'NWC1'!$C:$C,$C9)+SUMIFS(ADJ!AH:AH,ADJ!$E:$E,$C9)</f>
        <v>636.00360000000001</v>
      </c>
      <c r="AG9" s="66">
        <f>SUMIFS('NWC1'!AG:AG,'NWC1'!$C:$C,$C9)+SUMIFS(ADJ!AI:AI,ADJ!$E:$E,$C9)</f>
        <v>608.91700000000003</v>
      </c>
      <c r="AH9" s="66">
        <f>SUMIFS('NWC1'!AH:AH,'NWC1'!$C:$C,$C9)+SUMIFS(ADJ!AJ:AJ,ADJ!$E:$E,$C9)</f>
        <v>836.82</v>
      </c>
      <c r="AI9" s="66">
        <f>SUMIFS('NWC1'!AI:AI,'NWC1'!$C:$C,$C9)+SUMIFS(ADJ!AK:AK,ADJ!$E:$E,$C9)</f>
        <v>770.76300000000003</v>
      </c>
      <c r="AJ9" s="66"/>
      <c r="AK9" s="66">
        <f>P9</f>
        <v>636.87599999999998</v>
      </c>
      <c r="AL9" s="66">
        <f>AB9</f>
        <v>597.9</v>
      </c>
      <c r="AM9" s="66">
        <f>AI9</f>
        <v>770.76300000000003</v>
      </c>
      <c r="AN9" s="66"/>
      <c r="AO9" s="66">
        <f>IFERROR(AVERAGE(AG9:AI9),0)</f>
        <v>738.83333333333337</v>
      </c>
      <c r="AP9" s="66">
        <f>IFERROR(AVERAGE(AD9:AI9),0)</f>
        <v>726.81561666666676</v>
      </c>
      <c r="AQ9" s="66">
        <f>IFERROR(AVERAGE(AA9:AI9),0)</f>
        <v>693.77379999999994</v>
      </c>
      <c r="AR9" s="66">
        <f>IFERROR(AVERAGE(X9:AI9),0)</f>
        <v>716.41668333333337</v>
      </c>
    </row>
    <row r="10" spans="1:44" ht="11.25" customHeight="1" x14ac:dyDescent="0.2">
      <c r="C10" t="s">
        <v>175</v>
      </c>
      <c r="D10" s="4"/>
      <c r="E10" s="29">
        <f>SUM(E9:E9)</f>
        <v>298.09100000000001</v>
      </c>
      <c r="F10" s="29">
        <f>SUM(F9:F9)</f>
        <v>347.89449999999999</v>
      </c>
      <c r="G10" s="29">
        <f>SUM(G9:G9)</f>
        <v>766.23199999999997</v>
      </c>
      <c r="H10" s="29">
        <f>SUM(H9:H9)</f>
        <v>528.95699999999999</v>
      </c>
      <c r="I10" s="29">
        <f>SUM(I9:I9)</f>
        <v>459.32799999999997</v>
      </c>
      <c r="J10" s="29">
        <f>SUM(J9:J9)</f>
        <v>637.95600000000002</v>
      </c>
      <c r="K10" s="29">
        <f>SUM(K9:K9)</f>
        <v>751.57500000000005</v>
      </c>
      <c r="L10" s="29">
        <f>SUM(L9:L9)</f>
        <v>1371.4255000000001</v>
      </c>
      <c r="M10" s="29">
        <f>SUM(M9:M9)</f>
        <v>911.52850000000001</v>
      </c>
      <c r="N10" s="29">
        <f>SUM(N9:N9)</f>
        <v>371.55950000000001</v>
      </c>
      <c r="O10" s="29">
        <f>SUM(O9:O9)</f>
        <v>371.72050000000002</v>
      </c>
      <c r="P10" s="29">
        <f>SUM(P9:P9)</f>
        <v>636.87599999999998</v>
      </c>
      <c r="Q10" s="29">
        <f>SUM(Q9:Q9)</f>
        <v>542.14649999999995</v>
      </c>
      <c r="R10" s="29">
        <f>SUM(R9:R9)</f>
        <v>717.08450000000005</v>
      </c>
      <c r="S10" s="29">
        <f>SUM(S9:S9)</f>
        <v>468.52699999999999</v>
      </c>
      <c r="T10" s="29">
        <f>SUM(T9:T9)</f>
        <v>427.88400000000001</v>
      </c>
      <c r="U10" s="29">
        <f>SUM(U9:U9)</f>
        <v>521.29499999999996</v>
      </c>
      <c r="V10" s="29">
        <f>SUM(V9:V9)</f>
        <v>547.44899999999996</v>
      </c>
      <c r="W10" s="29">
        <f>SUM(W9:W9)</f>
        <v>471.65699999999998</v>
      </c>
      <c r="X10" s="29">
        <f>SUM(X9:X9)</f>
        <v>917.83900000000006</v>
      </c>
      <c r="Y10" s="29">
        <f>SUM(Y9:Y9)</f>
        <v>1105.5360000000001</v>
      </c>
      <c r="Z10" s="29">
        <f>SUM(Z9:Z9)</f>
        <v>329.661</v>
      </c>
      <c r="AA10" s="29">
        <f>SUM(AA9:AA9)</f>
        <v>727.59749999999997</v>
      </c>
      <c r="AB10" s="29">
        <f>SUM(AB9:AB9)</f>
        <v>597.9</v>
      </c>
      <c r="AC10" s="29">
        <f>SUM(AC9:AC9)</f>
        <v>557.57299999999998</v>
      </c>
      <c r="AD10" s="29">
        <f>SUM(AD9:AD9)</f>
        <v>512</v>
      </c>
      <c r="AE10" s="29">
        <f>SUM(AE9:AE9)</f>
        <v>996.39009999999996</v>
      </c>
      <c r="AF10" s="29">
        <f>SUM(AF9:AF9)</f>
        <v>636.00360000000001</v>
      </c>
      <c r="AG10" s="29">
        <f>SUM(AG9:AG9)</f>
        <v>608.91700000000003</v>
      </c>
      <c r="AH10" s="29">
        <f>SUM(AH9:AH9)</f>
        <v>836.82</v>
      </c>
      <c r="AI10" s="29">
        <f>SUM(AI9:AI9)</f>
        <v>770.76300000000003</v>
      </c>
      <c r="AJ10" s="29"/>
      <c r="AK10" s="29">
        <f>SUM(AK9:AK9)</f>
        <v>636.87599999999998</v>
      </c>
      <c r="AL10" s="29">
        <f>SUM(AL9:AL9)</f>
        <v>597.9</v>
      </c>
      <c r="AM10" s="29">
        <f>SUM(AM9:AM9)</f>
        <v>770.76300000000003</v>
      </c>
      <c r="AN10" s="29"/>
      <c r="AO10" s="29">
        <f>SUM(AO9:AO9)</f>
        <v>738.83333333333337</v>
      </c>
      <c r="AP10" s="29">
        <f>SUM(AP9:AP9)</f>
        <v>726.81561666666676</v>
      </c>
      <c r="AQ10" s="29">
        <f>SUM(AQ9:AQ9)</f>
        <v>693.77379999999994</v>
      </c>
      <c r="AR10" s="29">
        <f>SUM(AR9:AR9)</f>
        <v>716.41668333333337</v>
      </c>
    </row>
    <row r="11" spans="1:44" ht="6" customHeight="1" outlineLevel="1" x14ac:dyDescent="0.2">
      <c r="D11" s="4"/>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row>
    <row r="12" spans="1:44" ht="11.25" customHeight="1" outlineLevel="1" x14ac:dyDescent="0.2">
      <c r="C12" t="s">
        <v>174</v>
      </c>
      <c r="D12" s="4"/>
      <c r="E12" s="2">
        <f>SUMIFS('NWC1'!E:E,'NWC1'!$C:$C,$C12)+SUMIFS(ADJ!G:G,ADJ!$E:$E,$C12)</f>
        <v>0.3</v>
      </c>
      <c r="F12" s="2">
        <f>SUMIFS('NWC1'!F:F,'NWC1'!$C:$C,$C12)+SUMIFS(ADJ!H:H,ADJ!$E:$E,$C12)</f>
        <v>0.3</v>
      </c>
      <c r="G12" s="2">
        <f>SUMIFS('NWC1'!G:G,'NWC1'!$C:$C,$C12)+SUMIFS(ADJ!I:I,ADJ!$E:$E,$C12)</f>
        <v>0.3</v>
      </c>
      <c r="H12" s="2">
        <f>SUMIFS('NWC1'!H:H,'NWC1'!$C:$C,$C12)+SUMIFS(ADJ!J:J,ADJ!$E:$E,$C12)</f>
        <v>0.3</v>
      </c>
      <c r="I12" s="2">
        <f>SUMIFS('NWC1'!I:I,'NWC1'!$C:$C,$C12)+SUMIFS(ADJ!K:K,ADJ!$E:$E,$C12)</f>
        <v>0.3</v>
      </c>
      <c r="J12" s="2">
        <f>SUMIFS('NWC1'!J:J,'NWC1'!$C:$C,$C12)+SUMIFS(ADJ!L:L,ADJ!$E:$E,$C12)</f>
        <v>0.3</v>
      </c>
      <c r="K12" s="2">
        <f>SUMIFS('NWC1'!K:K,'NWC1'!$C:$C,$C12)+SUMIFS(ADJ!M:M,ADJ!$E:$E,$C12)</f>
        <v>0.3</v>
      </c>
      <c r="L12" s="2">
        <f>SUMIFS('NWC1'!L:L,'NWC1'!$C:$C,$C12)+SUMIFS(ADJ!N:N,ADJ!$E:$E,$C12)</f>
        <v>0.3</v>
      </c>
      <c r="M12" s="2">
        <f>SUMIFS('NWC1'!M:M,'NWC1'!$C:$C,$C12)+SUMIFS(ADJ!O:O,ADJ!$E:$E,$C12)</f>
        <v>0.3</v>
      </c>
      <c r="N12" s="2">
        <f>SUMIFS('NWC1'!N:N,'NWC1'!$C:$C,$C12)+SUMIFS(ADJ!P:P,ADJ!$E:$E,$C12)</f>
        <v>0.3</v>
      </c>
      <c r="O12" s="2">
        <f>SUMIFS('NWC1'!O:O,'NWC1'!$C:$C,$C12)+SUMIFS(ADJ!Q:Q,ADJ!$E:$E,$C12)</f>
        <v>0.3</v>
      </c>
      <c r="P12" s="2">
        <f>SUMIFS('NWC1'!P:P,'NWC1'!$C:$C,$C12)+SUMIFS(ADJ!R:R,ADJ!$E:$E,$C12)</f>
        <v>0.3</v>
      </c>
      <c r="Q12" s="2">
        <f>SUMIFS('NWC1'!Q:Q,'NWC1'!$C:$C,$C12)+SUMIFS(ADJ!S:S,ADJ!$E:$E,$C12)</f>
        <v>0.3</v>
      </c>
      <c r="R12" s="2">
        <f>SUMIFS('NWC1'!R:R,'NWC1'!$C:$C,$C12)+SUMIFS(ADJ!T:T,ADJ!$E:$E,$C12)</f>
        <v>0.3</v>
      </c>
      <c r="S12" s="2">
        <f>SUMIFS('NWC1'!S:S,'NWC1'!$C:$C,$C12)+SUMIFS(ADJ!U:U,ADJ!$E:$E,$C12)</f>
        <v>0.3</v>
      </c>
      <c r="T12" s="2">
        <f>SUMIFS('NWC1'!T:T,'NWC1'!$C:$C,$C12)+SUMIFS(ADJ!V:V,ADJ!$E:$E,$C12)</f>
        <v>0.3</v>
      </c>
      <c r="U12" s="2">
        <f>SUMIFS('NWC1'!U:U,'NWC1'!$C:$C,$C12)+SUMIFS(ADJ!W:W,ADJ!$E:$E,$C12)</f>
        <v>0.3</v>
      </c>
      <c r="V12" s="2">
        <f>SUMIFS('NWC1'!V:V,'NWC1'!$C:$C,$C12)+SUMIFS(ADJ!X:X,ADJ!$E:$E,$C12)</f>
        <v>2.9390000000000001</v>
      </c>
      <c r="W12" s="2">
        <f>SUMIFS('NWC1'!W:W,'NWC1'!$C:$C,$C12)+SUMIFS(ADJ!Y:Y,ADJ!$E:$E,$C12)</f>
        <v>2.9390000000000001</v>
      </c>
      <c r="X12" s="2">
        <f>SUMIFS('NWC1'!X:X,'NWC1'!$C:$C,$C12)+SUMIFS(ADJ!Z:Z,ADJ!$E:$E,$C12)</f>
        <v>2.9390000000000001</v>
      </c>
      <c r="Y12" s="2">
        <f>SUMIFS('NWC1'!Y:Y,'NWC1'!$C:$C,$C12)+SUMIFS(ADJ!AA:AA,ADJ!$E:$E,$C12)</f>
        <v>2.9390000000000001</v>
      </c>
      <c r="Z12" s="2">
        <f>SUMIFS('NWC1'!Z:Z,'NWC1'!$C:$C,$C12)+SUMIFS(ADJ!AB:AB,ADJ!$E:$E,$C12)</f>
        <v>2.9390000000000001</v>
      </c>
      <c r="AA12" s="2">
        <f>SUMIFS('NWC1'!AA:AA,'NWC1'!$C:$C,$C12)+SUMIFS(ADJ!AC:AC,ADJ!$E:$E,$C12)</f>
        <v>2.9390000000000001</v>
      </c>
      <c r="AB12" s="2">
        <f>SUMIFS('NWC1'!AB:AB,'NWC1'!$C:$C,$C12)+SUMIFS(ADJ!AD:AD,ADJ!$E:$E,$C12)</f>
        <v>2.9390000000000001</v>
      </c>
      <c r="AC12" s="2">
        <f>SUMIFS('NWC1'!AC:AC,'NWC1'!$C:$C,$C12)+SUMIFS(ADJ!AE:AE,ADJ!$E:$E,$C12)</f>
        <v>2.9390000000000001</v>
      </c>
      <c r="AD12" s="2">
        <f>SUMIFS('NWC1'!AD:AD,'NWC1'!$C:$C,$C12)+SUMIFS(ADJ!AF:AF,ADJ!$E:$E,$C12)</f>
        <v>2.9390000000000001</v>
      </c>
      <c r="AE12" s="2">
        <f>SUMIFS('NWC1'!AE:AE,'NWC1'!$C:$C,$C12)+SUMIFS(ADJ!AG:AG,ADJ!$E:$E,$C12)</f>
        <v>2.9390000000000001</v>
      </c>
      <c r="AF12" s="2">
        <f>SUMIFS('NWC1'!AF:AF,'NWC1'!$C:$C,$C12)+SUMIFS(ADJ!AH:AH,ADJ!$E:$E,$C12)</f>
        <v>2.9390000000000001</v>
      </c>
      <c r="AG12" s="2">
        <f>SUMIFS('NWC1'!AG:AG,'NWC1'!$C:$C,$C12)+SUMIFS(ADJ!AI:AI,ADJ!$E:$E,$C12)</f>
        <v>2.9390000000000001</v>
      </c>
      <c r="AH12" s="2">
        <f>SUMIFS('NWC1'!AH:AH,'NWC1'!$C:$C,$C12)+SUMIFS(ADJ!AJ:AJ,ADJ!$E:$E,$C12)</f>
        <v>2.9390000000000001</v>
      </c>
      <c r="AI12" s="2">
        <f>SUMIFS('NWC1'!AI:AI,'NWC1'!$C:$C,$C12)+SUMIFS(ADJ!AK:AK,ADJ!$E:$E,$C12)</f>
        <v>2.9390000000000001</v>
      </c>
      <c r="AJ12" s="2"/>
      <c r="AK12" s="2">
        <f>P12</f>
        <v>0.3</v>
      </c>
      <c r="AL12" s="2">
        <f>AB12</f>
        <v>2.9390000000000001</v>
      </c>
      <c r="AM12" s="2">
        <f>AI12</f>
        <v>2.9390000000000001</v>
      </c>
      <c r="AN12" s="2"/>
      <c r="AO12" s="2">
        <f>IFERROR(AVERAGE(AG12:AI12),0)</f>
        <v>2.9390000000000001</v>
      </c>
      <c r="AP12" s="2">
        <f>IFERROR(AVERAGE(AD12:AI12),0)</f>
        <v>2.9390000000000001</v>
      </c>
      <c r="AQ12" s="2">
        <f>IFERROR(AVERAGE(AA12:AI12),0)</f>
        <v>2.9390000000000001</v>
      </c>
      <c r="AR12" s="2">
        <f>IFERROR(AVERAGE(X12:AI12),0)</f>
        <v>2.9390000000000001</v>
      </c>
    </row>
    <row r="13" spans="1:44" ht="11.25" customHeight="1" outlineLevel="1" x14ac:dyDescent="0.2">
      <c r="C13" t="s">
        <v>173</v>
      </c>
      <c r="D13" s="4"/>
      <c r="E13" s="2">
        <f>SUMIFS('NWC1'!E:E,'NWC1'!$C:$C,$C13)+SUMIFS(ADJ!G:G,ADJ!$E:$E,$C13)</f>
        <v>0</v>
      </c>
      <c r="F13" s="2">
        <f>SUMIFS('NWC1'!F:F,'NWC1'!$C:$C,$C13)+SUMIFS(ADJ!H:H,ADJ!$E:$E,$C13)</f>
        <v>0</v>
      </c>
      <c r="G13" s="2">
        <f>SUMIFS('NWC1'!G:G,'NWC1'!$C:$C,$C13)+SUMIFS(ADJ!I:I,ADJ!$E:$E,$C13)</f>
        <v>0</v>
      </c>
      <c r="H13" s="2">
        <f>SUMIFS('NWC1'!H:H,'NWC1'!$C:$C,$C13)+SUMIFS(ADJ!J:J,ADJ!$E:$E,$C13)</f>
        <v>0</v>
      </c>
      <c r="I13" s="2">
        <f>SUMIFS('NWC1'!I:I,'NWC1'!$C:$C,$C13)+SUMIFS(ADJ!K:K,ADJ!$E:$E,$C13)</f>
        <v>0</v>
      </c>
      <c r="J13" s="2">
        <f>SUMIFS('NWC1'!J:J,'NWC1'!$C:$C,$C13)+SUMIFS(ADJ!L:L,ADJ!$E:$E,$C13)</f>
        <v>0</v>
      </c>
      <c r="K13" s="2">
        <f>SUMIFS('NWC1'!K:K,'NWC1'!$C:$C,$C13)+SUMIFS(ADJ!M:M,ADJ!$E:$E,$C13)</f>
        <v>0</v>
      </c>
      <c r="L13" s="2">
        <f>SUMIFS('NWC1'!L:L,'NWC1'!$C:$C,$C13)+SUMIFS(ADJ!N:N,ADJ!$E:$E,$C13)</f>
        <v>0</v>
      </c>
      <c r="M13" s="2">
        <f>SUMIFS('NWC1'!M:M,'NWC1'!$C:$C,$C13)+SUMIFS(ADJ!O:O,ADJ!$E:$E,$C13)</f>
        <v>0</v>
      </c>
      <c r="N13" s="2">
        <f>SUMIFS('NWC1'!N:N,'NWC1'!$C:$C,$C13)+SUMIFS(ADJ!P:P,ADJ!$E:$E,$C13)</f>
        <v>0</v>
      </c>
      <c r="O13" s="2">
        <f>SUMIFS('NWC1'!O:O,'NWC1'!$C:$C,$C13)+SUMIFS(ADJ!Q:Q,ADJ!$E:$E,$C13)</f>
        <v>0</v>
      </c>
      <c r="P13" s="2">
        <f>SUMIFS('NWC1'!P:P,'NWC1'!$C:$C,$C13)+SUMIFS(ADJ!R:R,ADJ!$E:$E,$C13)</f>
        <v>0</v>
      </c>
      <c r="Q13" s="2">
        <f>SUMIFS('NWC1'!Q:Q,'NWC1'!$C:$C,$C13)+SUMIFS(ADJ!S:S,ADJ!$E:$E,$C13)</f>
        <v>0</v>
      </c>
      <c r="R13" s="2">
        <f>SUMIFS('NWC1'!R:R,'NWC1'!$C:$C,$C13)+SUMIFS(ADJ!T:T,ADJ!$E:$E,$C13)</f>
        <v>0</v>
      </c>
      <c r="S13" s="2">
        <f>SUMIFS('NWC1'!S:S,'NWC1'!$C:$C,$C13)+SUMIFS(ADJ!U:U,ADJ!$E:$E,$C13)</f>
        <v>0</v>
      </c>
      <c r="T13" s="2">
        <f>SUMIFS('NWC1'!T:T,'NWC1'!$C:$C,$C13)+SUMIFS(ADJ!V:V,ADJ!$E:$E,$C13)</f>
        <v>0</v>
      </c>
      <c r="U13" s="2">
        <f>SUMIFS('NWC1'!U:U,'NWC1'!$C:$C,$C13)+SUMIFS(ADJ!W:W,ADJ!$E:$E,$C13)</f>
        <v>0</v>
      </c>
      <c r="V13" s="2">
        <f>SUMIFS('NWC1'!V:V,'NWC1'!$C:$C,$C13)+SUMIFS(ADJ!X:X,ADJ!$E:$E,$C13)</f>
        <v>0</v>
      </c>
      <c r="W13" s="2">
        <f>SUMIFS('NWC1'!W:W,'NWC1'!$C:$C,$C13)+SUMIFS(ADJ!Y:Y,ADJ!$E:$E,$C13)</f>
        <v>0</v>
      </c>
      <c r="X13" s="2">
        <f>SUMIFS('NWC1'!X:X,'NWC1'!$C:$C,$C13)+SUMIFS(ADJ!Z:Z,ADJ!$E:$E,$C13)</f>
        <v>0</v>
      </c>
      <c r="Y13" s="2">
        <f>SUMIFS('NWC1'!Y:Y,'NWC1'!$C:$C,$C13)+SUMIFS(ADJ!AA:AA,ADJ!$E:$E,$C13)</f>
        <v>0</v>
      </c>
      <c r="Z13" s="2">
        <f>SUMIFS('NWC1'!Z:Z,'NWC1'!$C:$C,$C13)+SUMIFS(ADJ!AB:AB,ADJ!$E:$E,$C13)</f>
        <v>0</v>
      </c>
      <c r="AA13" s="2">
        <f>SUMIFS('NWC1'!AA:AA,'NWC1'!$C:$C,$C13)+SUMIFS(ADJ!AC:AC,ADJ!$E:$E,$C13)</f>
        <v>1.3</v>
      </c>
      <c r="AB13" s="2">
        <f>SUMIFS('NWC1'!AB:AB,'NWC1'!$C:$C,$C13)+SUMIFS(ADJ!AD:AD,ADJ!$E:$E,$C13)</f>
        <v>1.3</v>
      </c>
      <c r="AC13" s="2">
        <f>SUMIFS('NWC1'!AC:AC,'NWC1'!$C:$C,$C13)+SUMIFS(ADJ!AE:AE,ADJ!$E:$E,$C13)</f>
        <v>1.3</v>
      </c>
      <c r="AD13" s="2">
        <f>SUMIFS('NWC1'!AD:AD,'NWC1'!$C:$C,$C13)+SUMIFS(ADJ!AF:AF,ADJ!$E:$E,$C13)</f>
        <v>1.3</v>
      </c>
      <c r="AE13" s="2">
        <f>SUMIFS('NWC1'!AE:AE,'NWC1'!$C:$C,$C13)+SUMIFS(ADJ!AG:AG,ADJ!$E:$E,$C13)</f>
        <v>1.3</v>
      </c>
      <c r="AF13" s="2">
        <f>SUMIFS('NWC1'!AF:AF,'NWC1'!$C:$C,$C13)+SUMIFS(ADJ!AH:AH,ADJ!$E:$E,$C13)</f>
        <v>1.3</v>
      </c>
      <c r="AG13" s="2">
        <f>SUMIFS('NWC1'!AG:AG,'NWC1'!$C:$C,$C13)+SUMIFS(ADJ!AI:AI,ADJ!$E:$E,$C13)</f>
        <v>1.3</v>
      </c>
      <c r="AH13" s="2">
        <f>SUMIFS('NWC1'!AH:AH,'NWC1'!$C:$C,$C13)+SUMIFS(ADJ!AJ:AJ,ADJ!$E:$E,$C13)</f>
        <v>1.3</v>
      </c>
      <c r="AI13" s="2">
        <f>SUMIFS('NWC1'!AI:AI,'NWC1'!$C:$C,$C13)+SUMIFS(ADJ!AK:AK,ADJ!$E:$E,$C13)</f>
        <v>1.3</v>
      </c>
      <c r="AJ13" s="2"/>
      <c r="AK13" s="2">
        <f>P13</f>
        <v>0</v>
      </c>
      <c r="AL13" s="2">
        <f>AB13</f>
        <v>1.3</v>
      </c>
      <c r="AM13" s="2">
        <f>AI13</f>
        <v>1.3</v>
      </c>
      <c r="AN13" s="2"/>
      <c r="AO13" s="2">
        <f>IFERROR(AVERAGE(AG13:AI13),0)</f>
        <v>1.3</v>
      </c>
      <c r="AP13" s="2">
        <f>IFERROR(AVERAGE(AD13:AI13),0)</f>
        <v>1.3</v>
      </c>
      <c r="AQ13" s="2">
        <f>IFERROR(AVERAGE(AA13:AI13),0)</f>
        <v>1.3</v>
      </c>
      <c r="AR13" s="2">
        <f>IFERROR(AVERAGE(X13:AI13),0)</f>
        <v>0.97500000000000009</v>
      </c>
    </row>
    <row r="14" spans="1:44" ht="11.25" customHeight="1" outlineLevel="1" x14ac:dyDescent="0.2">
      <c r="C14" t="s">
        <v>172</v>
      </c>
      <c r="D14" s="4"/>
      <c r="E14" s="2">
        <f>SUMIFS('NWC1'!E:E,'NWC1'!$C:$C,$C14)+SUMIFS(ADJ!G:G,ADJ!$E:$E,$C14)</f>
        <v>0</v>
      </c>
      <c r="F14" s="2">
        <f>SUMIFS('NWC1'!F:F,'NWC1'!$C:$C,$C14)+SUMIFS(ADJ!H:H,ADJ!$E:$E,$C14)</f>
        <v>0</v>
      </c>
      <c r="G14" s="2">
        <f>SUMIFS('NWC1'!G:G,'NWC1'!$C:$C,$C14)+SUMIFS(ADJ!I:I,ADJ!$E:$E,$C14)</f>
        <v>0</v>
      </c>
      <c r="H14" s="2">
        <f>SUMIFS('NWC1'!H:H,'NWC1'!$C:$C,$C14)+SUMIFS(ADJ!J:J,ADJ!$E:$E,$C14)</f>
        <v>5.2520000000000004E-2</v>
      </c>
      <c r="I14" s="2">
        <f>SUMIFS('NWC1'!I:I,'NWC1'!$C:$C,$C14)+SUMIFS(ADJ!K:K,ADJ!$E:$E,$C14)</f>
        <v>5.2520000000000004E-2</v>
      </c>
      <c r="J14" s="2">
        <f>SUMIFS('NWC1'!J:J,'NWC1'!$C:$C,$C14)+SUMIFS(ADJ!L:L,ADJ!$E:$E,$C14)</f>
        <v>5.2520000000000004E-2</v>
      </c>
      <c r="K14" s="2">
        <f>SUMIFS('NWC1'!K:K,'NWC1'!$C:$C,$C14)+SUMIFS(ADJ!M:M,ADJ!$E:$E,$C14)</f>
        <v>5.2520000000000004E-2</v>
      </c>
      <c r="L14" s="2">
        <f>SUMIFS('NWC1'!L:L,'NWC1'!$C:$C,$C14)+SUMIFS(ADJ!N:N,ADJ!$E:$E,$C14)</f>
        <v>5.2520000000000004E-2</v>
      </c>
      <c r="M14" s="2">
        <f>SUMIFS('NWC1'!M:M,'NWC1'!$C:$C,$C14)+SUMIFS(ADJ!O:O,ADJ!$E:$E,$C14)</f>
        <v>5.2520000000000004E-2</v>
      </c>
      <c r="N14" s="2">
        <f>SUMIFS('NWC1'!N:N,'NWC1'!$C:$C,$C14)+SUMIFS(ADJ!P:P,ADJ!$E:$E,$C14)</f>
        <v>5.2520000000000004E-2</v>
      </c>
      <c r="O14" s="2">
        <f>SUMIFS('NWC1'!O:O,'NWC1'!$C:$C,$C14)+SUMIFS(ADJ!Q:Q,ADJ!$E:$E,$C14)</f>
        <v>5.2520000000000004E-2</v>
      </c>
      <c r="P14" s="2">
        <f>SUMIFS('NWC1'!P:P,'NWC1'!$C:$C,$C14)+SUMIFS(ADJ!R:R,ADJ!$E:$E,$C14)</f>
        <v>5.2520000000000004E-2</v>
      </c>
      <c r="Q14" s="2">
        <f>SUMIFS('NWC1'!Q:Q,'NWC1'!$C:$C,$C14)+SUMIFS(ADJ!S:S,ADJ!$E:$E,$C14)</f>
        <v>5.2520000000000004E-2</v>
      </c>
      <c r="R14" s="2">
        <f>SUMIFS('NWC1'!R:R,'NWC1'!$C:$C,$C14)+SUMIFS(ADJ!T:T,ADJ!$E:$E,$C14)</f>
        <v>5.2520000000000004E-2</v>
      </c>
      <c r="S14" s="2">
        <f>SUMIFS('NWC1'!S:S,'NWC1'!$C:$C,$C14)+SUMIFS(ADJ!U:U,ADJ!$E:$E,$C14)</f>
        <v>5.2520000000000004E-2</v>
      </c>
      <c r="T14" s="2">
        <f>SUMIFS('NWC1'!T:T,'NWC1'!$C:$C,$C14)+SUMIFS(ADJ!V:V,ADJ!$E:$E,$C14)</f>
        <v>5.2520000000000004E-2</v>
      </c>
      <c r="U14" s="2">
        <f>SUMIFS('NWC1'!U:U,'NWC1'!$C:$C,$C14)+SUMIFS(ADJ!W:W,ADJ!$E:$E,$C14)</f>
        <v>5.2520000000000004E-2</v>
      </c>
      <c r="V14" s="2">
        <f>SUMIFS('NWC1'!V:V,'NWC1'!$C:$C,$C14)+SUMIFS(ADJ!X:X,ADJ!$E:$E,$C14)</f>
        <v>5.2520000000000004E-2</v>
      </c>
      <c r="W14" s="2">
        <f>SUMIFS('NWC1'!W:W,'NWC1'!$C:$C,$C14)+SUMIFS(ADJ!Y:Y,ADJ!$E:$E,$C14)</f>
        <v>5.2520000000000004E-2</v>
      </c>
      <c r="X14" s="2">
        <f>SUMIFS('NWC1'!X:X,'NWC1'!$C:$C,$C14)+SUMIFS(ADJ!Z:Z,ADJ!$E:$E,$C14)</f>
        <v>5.2520000000000004E-2</v>
      </c>
      <c r="Y14" s="2">
        <f>SUMIFS('NWC1'!Y:Y,'NWC1'!$C:$C,$C14)+SUMIFS(ADJ!AA:AA,ADJ!$E:$E,$C14)</f>
        <v>5.2520000000000004E-2</v>
      </c>
      <c r="Z14" s="2">
        <f>SUMIFS('NWC1'!Z:Z,'NWC1'!$C:$C,$C14)+SUMIFS(ADJ!AB:AB,ADJ!$E:$E,$C14)</f>
        <v>5.2520000000000004E-2</v>
      </c>
      <c r="AA14" s="2">
        <f>SUMIFS('NWC1'!AA:AA,'NWC1'!$C:$C,$C14)+SUMIFS(ADJ!AC:AC,ADJ!$E:$E,$C14)</f>
        <v>5.2520000000000004E-2</v>
      </c>
      <c r="AB14" s="2">
        <f>SUMIFS('NWC1'!AB:AB,'NWC1'!$C:$C,$C14)+SUMIFS(ADJ!AD:AD,ADJ!$E:$E,$C14)</f>
        <v>5.2520000000000004E-2</v>
      </c>
      <c r="AC14" s="2">
        <f>SUMIFS('NWC1'!AC:AC,'NWC1'!$C:$C,$C14)+SUMIFS(ADJ!AE:AE,ADJ!$E:$E,$C14)</f>
        <v>5.2520000000000004E-2</v>
      </c>
      <c r="AD14" s="2">
        <f>SUMIFS('NWC1'!AD:AD,'NWC1'!$C:$C,$C14)+SUMIFS(ADJ!AF:AF,ADJ!$E:$E,$C14)</f>
        <v>5.2520000000000004E-2</v>
      </c>
      <c r="AE14" s="2">
        <f>SUMIFS('NWC1'!AE:AE,'NWC1'!$C:$C,$C14)+SUMIFS(ADJ!AG:AG,ADJ!$E:$E,$C14)</f>
        <v>5.2520000000000004E-2</v>
      </c>
      <c r="AF14" s="2">
        <f>SUMIFS('NWC1'!AF:AF,'NWC1'!$C:$C,$C14)+SUMIFS(ADJ!AH:AH,ADJ!$E:$E,$C14)</f>
        <v>5.2520000000000004E-2</v>
      </c>
      <c r="AG14" s="2">
        <f>SUMIFS('NWC1'!AG:AG,'NWC1'!$C:$C,$C14)+SUMIFS(ADJ!AI:AI,ADJ!$E:$E,$C14)</f>
        <v>5.2520000000000004E-2</v>
      </c>
      <c r="AH14" s="2">
        <f>SUMIFS('NWC1'!AH:AH,'NWC1'!$C:$C,$C14)+SUMIFS(ADJ!AJ:AJ,ADJ!$E:$E,$C14)</f>
        <v>5.2520000000000004E-2</v>
      </c>
      <c r="AI14" s="2">
        <f>SUMIFS('NWC1'!AI:AI,'NWC1'!$C:$C,$C14)+SUMIFS(ADJ!AK:AK,ADJ!$E:$E,$C14)</f>
        <v>5.2520000000000004E-2</v>
      </c>
      <c r="AJ14" s="2"/>
      <c r="AK14" s="2">
        <f>P14</f>
        <v>5.2520000000000004E-2</v>
      </c>
      <c r="AL14" s="2">
        <f>AB14</f>
        <v>5.2520000000000004E-2</v>
      </c>
      <c r="AM14" s="2">
        <f>AI14</f>
        <v>5.2520000000000004E-2</v>
      </c>
      <c r="AN14" s="2"/>
      <c r="AO14" s="2">
        <f>IFERROR(AVERAGE(AG14:AI14),0)</f>
        <v>5.2520000000000004E-2</v>
      </c>
      <c r="AP14" s="2">
        <f>IFERROR(AVERAGE(AD14:AI14),0)</f>
        <v>5.2520000000000004E-2</v>
      </c>
      <c r="AQ14" s="2">
        <f>IFERROR(AVERAGE(AA14:AI14),0)</f>
        <v>5.2520000000000004E-2</v>
      </c>
      <c r="AR14" s="2">
        <f>IFERROR(AVERAGE(X14:AI14),0)</f>
        <v>5.2520000000000004E-2</v>
      </c>
    </row>
    <row r="15" spans="1:44" ht="11.25" customHeight="1" outlineLevel="1" x14ac:dyDescent="0.2">
      <c r="C15" t="s">
        <v>171</v>
      </c>
      <c r="D15" s="4"/>
      <c r="E15" s="2">
        <f>SUMIFS('NWC1'!E:E,'NWC1'!$C:$C,$C15)+SUMIFS(ADJ!G:G,ADJ!$E:$E,$C15)</f>
        <v>2.887E-2</v>
      </c>
      <c r="F15" s="2">
        <f>SUMIFS('NWC1'!F:F,'NWC1'!$C:$C,$C15)+SUMIFS(ADJ!H:H,ADJ!$E:$E,$C15)</f>
        <v>2.887E-2</v>
      </c>
      <c r="G15" s="2">
        <f>SUMIFS('NWC1'!G:G,'NWC1'!$C:$C,$C15)+SUMIFS(ADJ!I:I,ADJ!$E:$E,$C15)</f>
        <v>2.887E-2</v>
      </c>
      <c r="H15" s="2">
        <f>SUMIFS('NWC1'!H:H,'NWC1'!$C:$C,$C15)+SUMIFS(ADJ!J:J,ADJ!$E:$E,$C15)</f>
        <v>2.887E-2</v>
      </c>
      <c r="I15" s="2">
        <f>SUMIFS('NWC1'!I:I,'NWC1'!$C:$C,$C15)+SUMIFS(ADJ!K:K,ADJ!$E:$E,$C15)</f>
        <v>2.887E-2</v>
      </c>
      <c r="J15" s="2">
        <f>SUMIFS('NWC1'!J:J,'NWC1'!$C:$C,$C15)+SUMIFS(ADJ!L:L,ADJ!$E:$E,$C15)</f>
        <v>2.887E-2</v>
      </c>
      <c r="K15" s="2">
        <f>SUMIFS('NWC1'!K:K,'NWC1'!$C:$C,$C15)+SUMIFS(ADJ!M:M,ADJ!$E:$E,$C15)</f>
        <v>0</v>
      </c>
      <c r="L15" s="2">
        <f>SUMIFS('NWC1'!L:L,'NWC1'!$C:$C,$C15)+SUMIFS(ADJ!N:N,ADJ!$E:$E,$C15)</f>
        <v>0</v>
      </c>
      <c r="M15" s="2">
        <f>SUMIFS('NWC1'!M:M,'NWC1'!$C:$C,$C15)+SUMIFS(ADJ!O:O,ADJ!$E:$E,$C15)</f>
        <v>0</v>
      </c>
      <c r="N15" s="2">
        <f>SUMIFS('NWC1'!N:N,'NWC1'!$C:$C,$C15)+SUMIFS(ADJ!P:P,ADJ!$E:$E,$C15)</f>
        <v>0</v>
      </c>
      <c r="O15" s="2">
        <f>SUMIFS('NWC1'!O:O,'NWC1'!$C:$C,$C15)+SUMIFS(ADJ!Q:Q,ADJ!$E:$E,$C15)</f>
        <v>0</v>
      </c>
      <c r="P15" s="2">
        <f>SUMIFS('NWC1'!P:P,'NWC1'!$C:$C,$C15)+SUMIFS(ADJ!R:R,ADJ!$E:$E,$C15)</f>
        <v>0</v>
      </c>
      <c r="Q15" s="2">
        <f>SUMIFS('NWC1'!Q:Q,'NWC1'!$C:$C,$C15)+SUMIFS(ADJ!S:S,ADJ!$E:$E,$C15)</f>
        <v>0</v>
      </c>
      <c r="R15" s="2">
        <f>SUMIFS('NWC1'!R:R,'NWC1'!$C:$C,$C15)+SUMIFS(ADJ!T:T,ADJ!$E:$E,$C15)</f>
        <v>0</v>
      </c>
      <c r="S15" s="2">
        <f>SUMIFS('NWC1'!S:S,'NWC1'!$C:$C,$C15)+SUMIFS(ADJ!U:U,ADJ!$E:$E,$C15)</f>
        <v>0</v>
      </c>
      <c r="T15" s="2">
        <f>SUMIFS('NWC1'!T:T,'NWC1'!$C:$C,$C15)+SUMIFS(ADJ!V:V,ADJ!$E:$E,$C15)</f>
        <v>0</v>
      </c>
      <c r="U15" s="2">
        <f>SUMIFS('NWC1'!U:U,'NWC1'!$C:$C,$C15)+SUMIFS(ADJ!W:W,ADJ!$E:$E,$C15)</f>
        <v>0</v>
      </c>
      <c r="V15" s="2">
        <f>SUMIFS('NWC1'!V:V,'NWC1'!$C:$C,$C15)+SUMIFS(ADJ!X:X,ADJ!$E:$E,$C15)</f>
        <v>0</v>
      </c>
      <c r="W15" s="2">
        <f>SUMIFS('NWC1'!W:W,'NWC1'!$C:$C,$C15)+SUMIFS(ADJ!Y:Y,ADJ!$E:$E,$C15)</f>
        <v>0</v>
      </c>
      <c r="X15" s="2">
        <f>SUMIFS('NWC1'!X:X,'NWC1'!$C:$C,$C15)+SUMIFS(ADJ!Z:Z,ADJ!$E:$E,$C15)</f>
        <v>0</v>
      </c>
      <c r="Y15" s="2">
        <f>SUMIFS('NWC1'!Y:Y,'NWC1'!$C:$C,$C15)+SUMIFS(ADJ!AA:AA,ADJ!$E:$E,$C15)</f>
        <v>0</v>
      </c>
      <c r="Z15" s="2">
        <f>SUMIFS('NWC1'!Z:Z,'NWC1'!$C:$C,$C15)+SUMIFS(ADJ!AB:AB,ADJ!$E:$E,$C15)</f>
        <v>0</v>
      </c>
      <c r="AA15" s="2">
        <f>SUMIFS('NWC1'!AA:AA,'NWC1'!$C:$C,$C15)+SUMIFS(ADJ!AC:AC,ADJ!$E:$E,$C15)</f>
        <v>0</v>
      </c>
      <c r="AB15" s="2">
        <f>SUMIFS('NWC1'!AB:AB,'NWC1'!$C:$C,$C15)+SUMIFS(ADJ!AD:AD,ADJ!$E:$E,$C15)</f>
        <v>0</v>
      </c>
      <c r="AC15" s="2">
        <f>SUMIFS('NWC1'!AC:AC,'NWC1'!$C:$C,$C15)+SUMIFS(ADJ!AE:AE,ADJ!$E:$E,$C15)</f>
        <v>0</v>
      </c>
      <c r="AD15" s="2">
        <f>SUMIFS('NWC1'!AD:AD,'NWC1'!$C:$C,$C15)+SUMIFS(ADJ!AF:AF,ADJ!$E:$E,$C15)</f>
        <v>0</v>
      </c>
      <c r="AE15" s="2">
        <f>SUMIFS('NWC1'!AE:AE,'NWC1'!$C:$C,$C15)+SUMIFS(ADJ!AG:AG,ADJ!$E:$E,$C15)</f>
        <v>0</v>
      </c>
      <c r="AF15" s="2">
        <f>SUMIFS('NWC1'!AF:AF,'NWC1'!$C:$C,$C15)+SUMIFS(ADJ!AH:AH,ADJ!$E:$E,$C15)</f>
        <v>0</v>
      </c>
      <c r="AG15" s="2">
        <f>SUMIFS('NWC1'!AG:AG,'NWC1'!$C:$C,$C15)+SUMIFS(ADJ!AI:AI,ADJ!$E:$E,$C15)</f>
        <v>0</v>
      </c>
      <c r="AH15" s="2">
        <f>SUMIFS('NWC1'!AH:AH,'NWC1'!$C:$C,$C15)+SUMIFS(ADJ!AJ:AJ,ADJ!$E:$E,$C15)</f>
        <v>0</v>
      </c>
      <c r="AI15" s="2">
        <f>SUMIFS('NWC1'!AI:AI,'NWC1'!$C:$C,$C15)+SUMIFS(ADJ!AK:AK,ADJ!$E:$E,$C15)</f>
        <v>0</v>
      </c>
      <c r="AJ15" s="2"/>
      <c r="AK15" s="2">
        <f>P15</f>
        <v>0</v>
      </c>
      <c r="AL15" s="2">
        <f>AB15</f>
        <v>0</v>
      </c>
      <c r="AM15" s="2">
        <f>AI15</f>
        <v>0</v>
      </c>
      <c r="AN15" s="2"/>
      <c r="AO15" s="2">
        <f>IFERROR(AVERAGE(AG15:AI15),0)</f>
        <v>0</v>
      </c>
      <c r="AP15" s="2">
        <f>IFERROR(AVERAGE(AD15:AI15),0)</f>
        <v>0</v>
      </c>
      <c r="AQ15" s="2">
        <f>IFERROR(AVERAGE(AA15:AI15),0)</f>
        <v>0</v>
      </c>
      <c r="AR15" s="2">
        <f>IFERROR(AVERAGE(X15:AI15),0)</f>
        <v>0</v>
      </c>
    </row>
    <row r="16" spans="1:44" ht="11.25" customHeight="1" outlineLevel="1" x14ac:dyDescent="0.2">
      <c r="C16" t="s">
        <v>170</v>
      </c>
      <c r="D16" s="4"/>
      <c r="E16" s="2">
        <f>SUMIFS('NWC1'!E:E,'NWC1'!$C:$C,$C16)+SUMIFS(ADJ!G:G,ADJ!$E:$E,$C16)</f>
        <v>4.1930000000000002E-2</v>
      </c>
      <c r="F16" s="2">
        <f>SUMIFS('NWC1'!F:F,'NWC1'!$C:$C,$C16)+SUMIFS(ADJ!H:H,ADJ!$E:$E,$C16)</f>
        <v>4.1930000000000002E-2</v>
      </c>
      <c r="G16" s="2">
        <f>SUMIFS('NWC1'!G:G,'NWC1'!$C:$C,$C16)+SUMIFS(ADJ!I:I,ADJ!$E:$E,$C16)</f>
        <v>4.1930000000000002E-2</v>
      </c>
      <c r="H16" s="2">
        <f>SUMIFS('NWC1'!H:H,'NWC1'!$C:$C,$C16)+SUMIFS(ADJ!J:J,ADJ!$E:$E,$C16)</f>
        <v>4.1930000000000002E-2</v>
      </c>
      <c r="I16" s="2">
        <f>SUMIFS('NWC1'!I:I,'NWC1'!$C:$C,$C16)+SUMIFS(ADJ!K:K,ADJ!$E:$E,$C16)</f>
        <v>4.1930000000000002E-2</v>
      </c>
      <c r="J16" s="2">
        <f>SUMIFS('NWC1'!J:J,'NWC1'!$C:$C,$C16)+SUMIFS(ADJ!L:L,ADJ!$E:$E,$C16)</f>
        <v>4.1930000000000002E-2</v>
      </c>
      <c r="K16" s="2">
        <f>SUMIFS('NWC1'!K:K,'NWC1'!$C:$C,$C16)+SUMIFS(ADJ!M:M,ADJ!$E:$E,$C16)</f>
        <v>0</v>
      </c>
      <c r="L16" s="2">
        <f>SUMIFS('NWC1'!L:L,'NWC1'!$C:$C,$C16)+SUMIFS(ADJ!N:N,ADJ!$E:$E,$C16)</f>
        <v>0</v>
      </c>
      <c r="M16" s="2">
        <f>SUMIFS('NWC1'!M:M,'NWC1'!$C:$C,$C16)+SUMIFS(ADJ!O:O,ADJ!$E:$E,$C16)</f>
        <v>0</v>
      </c>
      <c r="N16" s="2">
        <f>SUMIFS('NWC1'!N:N,'NWC1'!$C:$C,$C16)+SUMIFS(ADJ!P:P,ADJ!$E:$E,$C16)</f>
        <v>0</v>
      </c>
      <c r="O16" s="2">
        <f>SUMIFS('NWC1'!O:O,'NWC1'!$C:$C,$C16)+SUMIFS(ADJ!Q:Q,ADJ!$E:$E,$C16)</f>
        <v>0</v>
      </c>
      <c r="P16" s="2">
        <f>SUMIFS('NWC1'!P:P,'NWC1'!$C:$C,$C16)+SUMIFS(ADJ!R:R,ADJ!$E:$E,$C16)</f>
        <v>0</v>
      </c>
      <c r="Q16" s="2">
        <f>SUMIFS('NWC1'!Q:Q,'NWC1'!$C:$C,$C16)+SUMIFS(ADJ!S:S,ADJ!$E:$E,$C16)</f>
        <v>0</v>
      </c>
      <c r="R16" s="2">
        <f>SUMIFS('NWC1'!R:R,'NWC1'!$C:$C,$C16)+SUMIFS(ADJ!T:T,ADJ!$E:$E,$C16)</f>
        <v>0</v>
      </c>
      <c r="S16" s="2">
        <f>SUMIFS('NWC1'!S:S,'NWC1'!$C:$C,$C16)+SUMIFS(ADJ!U:U,ADJ!$E:$E,$C16)</f>
        <v>0</v>
      </c>
      <c r="T16" s="2">
        <f>SUMIFS('NWC1'!T:T,'NWC1'!$C:$C,$C16)+SUMIFS(ADJ!V:V,ADJ!$E:$E,$C16)</f>
        <v>0</v>
      </c>
      <c r="U16" s="2">
        <f>SUMIFS('NWC1'!U:U,'NWC1'!$C:$C,$C16)+SUMIFS(ADJ!W:W,ADJ!$E:$E,$C16)</f>
        <v>0</v>
      </c>
      <c r="V16" s="2">
        <f>SUMIFS('NWC1'!V:V,'NWC1'!$C:$C,$C16)+SUMIFS(ADJ!X:X,ADJ!$E:$E,$C16)</f>
        <v>0</v>
      </c>
      <c r="W16" s="2">
        <f>SUMIFS('NWC1'!W:W,'NWC1'!$C:$C,$C16)+SUMIFS(ADJ!Y:Y,ADJ!$E:$E,$C16)</f>
        <v>0</v>
      </c>
      <c r="X16" s="2">
        <f>SUMIFS('NWC1'!X:X,'NWC1'!$C:$C,$C16)+SUMIFS(ADJ!Z:Z,ADJ!$E:$E,$C16)</f>
        <v>0</v>
      </c>
      <c r="Y16" s="2">
        <f>SUMIFS('NWC1'!Y:Y,'NWC1'!$C:$C,$C16)+SUMIFS(ADJ!AA:AA,ADJ!$E:$E,$C16)</f>
        <v>0</v>
      </c>
      <c r="Z16" s="2">
        <f>SUMIFS('NWC1'!Z:Z,'NWC1'!$C:$C,$C16)+SUMIFS(ADJ!AB:AB,ADJ!$E:$E,$C16)</f>
        <v>0</v>
      </c>
      <c r="AA16" s="2">
        <f>SUMIFS('NWC1'!AA:AA,'NWC1'!$C:$C,$C16)+SUMIFS(ADJ!AC:AC,ADJ!$E:$E,$C16)</f>
        <v>0</v>
      </c>
      <c r="AB16" s="2">
        <f>SUMIFS('NWC1'!AB:AB,'NWC1'!$C:$C,$C16)+SUMIFS(ADJ!AD:AD,ADJ!$E:$E,$C16)</f>
        <v>0</v>
      </c>
      <c r="AC16" s="2">
        <f>SUMIFS('NWC1'!AC:AC,'NWC1'!$C:$C,$C16)+SUMIFS(ADJ!AE:AE,ADJ!$E:$E,$C16)</f>
        <v>0</v>
      </c>
      <c r="AD16" s="2">
        <f>SUMIFS('NWC1'!AD:AD,'NWC1'!$C:$C,$C16)+SUMIFS(ADJ!AF:AF,ADJ!$E:$E,$C16)</f>
        <v>0</v>
      </c>
      <c r="AE16" s="2">
        <f>SUMIFS('NWC1'!AE:AE,'NWC1'!$C:$C,$C16)+SUMIFS(ADJ!AG:AG,ADJ!$E:$E,$C16)</f>
        <v>0</v>
      </c>
      <c r="AF16" s="2">
        <f>SUMIFS('NWC1'!AF:AF,'NWC1'!$C:$C,$C16)+SUMIFS(ADJ!AH:AH,ADJ!$E:$E,$C16)</f>
        <v>0</v>
      </c>
      <c r="AG16" s="2">
        <f>SUMIFS('NWC1'!AG:AG,'NWC1'!$C:$C,$C16)+SUMIFS(ADJ!AI:AI,ADJ!$E:$E,$C16)</f>
        <v>0</v>
      </c>
      <c r="AH16" s="2">
        <f>SUMIFS('NWC1'!AH:AH,'NWC1'!$C:$C,$C16)+SUMIFS(ADJ!AJ:AJ,ADJ!$E:$E,$C16)</f>
        <v>0</v>
      </c>
      <c r="AI16" s="2">
        <f>SUMIFS('NWC1'!AI:AI,'NWC1'!$C:$C,$C16)+SUMIFS(ADJ!AK:AK,ADJ!$E:$E,$C16)</f>
        <v>0</v>
      </c>
      <c r="AJ16" s="2"/>
      <c r="AK16" s="2">
        <f>P16</f>
        <v>0</v>
      </c>
      <c r="AL16" s="2">
        <f>AB16</f>
        <v>0</v>
      </c>
      <c r="AM16" s="2">
        <f>AI16</f>
        <v>0</v>
      </c>
      <c r="AN16" s="2"/>
      <c r="AO16" s="2">
        <f>IFERROR(AVERAGE(AG16:AI16),0)</f>
        <v>0</v>
      </c>
      <c r="AP16" s="2">
        <f>IFERROR(AVERAGE(AD16:AI16),0)</f>
        <v>0</v>
      </c>
      <c r="AQ16" s="2">
        <f>IFERROR(AVERAGE(AA16:AI16),0)</f>
        <v>0</v>
      </c>
      <c r="AR16" s="2">
        <f>IFERROR(AVERAGE(X16:AI16),0)</f>
        <v>0</v>
      </c>
    </row>
    <row r="17" spans="3:44" ht="11.25" customHeight="1" outlineLevel="1" x14ac:dyDescent="0.2">
      <c r="C17" s="17" t="s">
        <v>169</v>
      </c>
      <c r="D17" s="15"/>
      <c r="E17" s="14">
        <f>SUMIFS('NWC1'!E:E,'NWC1'!$C:$C,$C17)+SUMIFS(ADJ!G:G,ADJ!$E:$E,$C17)</f>
        <v>0</v>
      </c>
      <c r="F17" s="14">
        <f>SUMIFS('NWC1'!F:F,'NWC1'!$C:$C,$C17)+SUMIFS(ADJ!H:H,ADJ!$E:$E,$C17)</f>
        <v>0</v>
      </c>
      <c r="G17" s="14">
        <f>SUMIFS('NWC1'!G:G,'NWC1'!$C:$C,$C17)+SUMIFS(ADJ!I:I,ADJ!$E:$E,$C17)</f>
        <v>0</v>
      </c>
      <c r="H17" s="14">
        <f>SUMIFS('NWC1'!H:H,'NWC1'!$C:$C,$C17)+SUMIFS(ADJ!J:J,ADJ!$E:$E,$C17)</f>
        <v>0</v>
      </c>
      <c r="I17" s="14">
        <f>SUMIFS('NWC1'!I:I,'NWC1'!$C:$C,$C17)+SUMIFS(ADJ!K:K,ADJ!$E:$E,$C17)</f>
        <v>0</v>
      </c>
      <c r="J17" s="14">
        <f>SUMIFS('NWC1'!J:J,'NWC1'!$C:$C,$C17)+SUMIFS(ADJ!L:L,ADJ!$E:$E,$C17)</f>
        <v>0</v>
      </c>
      <c r="K17" s="14">
        <f>SUMIFS('NWC1'!K:K,'NWC1'!$C:$C,$C17)+SUMIFS(ADJ!M:M,ADJ!$E:$E,$C17)</f>
        <v>0</v>
      </c>
      <c r="L17" s="14">
        <f>SUMIFS('NWC1'!L:L,'NWC1'!$C:$C,$C17)+SUMIFS(ADJ!N:N,ADJ!$E:$E,$C17)</f>
        <v>0</v>
      </c>
      <c r="M17" s="14">
        <f>SUMIFS('NWC1'!M:M,'NWC1'!$C:$C,$C17)+SUMIFS(ADJ!O:O,ADJ!$E:$E,$C17)</f>
        <v>0</v>
      </c>
      <c r="N17" s="14">
        <f>SUMIFS('NWC1'!N:N,'NWC1'!$C:$C,$C17)+SUMIFS(ADJ!P:P,ADJ!$E:$E,$C17)</f>
        <v>0</v>
      </c>
      <c r="O17" s="14">
        <f>SUMIFS('NWC1'!O:O,'NWC1'!$C:$C,$C17)+SUMIFS(ADJ!Q:Q,ADJ!$E:$E,$C17)</f>
        <v>0</v>
      </c>
      <c r="P17" s="14">
        <f>SUMIFS('NWC1'!P:P,'NWC1'!$C:$C,$C17)+SUMIFS(ADJ!R:R,ADJ!$E:$E,$C17)</f>
        <v>0</v>
      </c>
      <c r="Q17" s="14">
        <f>SUMIFS('NWC1'!Q:Q,'NWC1'!$C:$C,$C17)+SUMIFS(ADJ!S:S,ADJ!$E:$E,$C17)</f>
        <v>0</v>
      </c>
      <c r="R17" s="14">
        <f>SUMIFS('NWC1'!R:R,'NWC1'!$C:$C,$C17)+SUMIFS(ADJ!T:T,ADJ!$E:$E,$C17)</f>
        <v>0</v>
      </c>
      <c r="S17" s="14">
        <f>SUMIFS('NWC1'!S:S,'NWC1'!$C:$C,$C17)+SUMIFS(ADJ!U:U,ADJ!$E:$E,$C17)</f>
        <v>0</v>
      </c>
      <c r="T17" s="14">
        <f>SUMIFS('NWC1'!T:T,'NWC1'!$C:$C,$C17)+SUMIFS(ADJ!V:V,ADJ!$E:$E,$C17)</f>
        <v>0</v>
      </c>
      <c r="U17" s="14">
        <f>SUMIFS('NWC1'!U:U,'NWC1'!$C:$C,$C17)+SUMIFS(ADJ!W:W,ADJ!$E:$E,$C17)</f>
        <v>0.02</v>
      </c>
      <c r="V17" s="14">
        <f>SUMIFS('NWC1'!V:V,'NWC1'!$C:$C,$C17)+SUMIFS(ADJ!X:X,ADJ!$E:$E,$C17)</f>
        <v>0</v>
      </c>
      <c r="W17" s="14">
        <f>SUMIFS('NWC1'!W:W,'NWC1'!$C:$C,$C17)+SUMIFS(ADJ!Y:Y,ADJ!$E:$E,$C17)</f>
        <v>0</v>
      </c>
      <c r="X17" s="14">
        <f>SUMIFS('NWC1'!X:X,'NWC1'!$C:$C,$C17)+SUMIFS(ADJ!Z:Z,ADJ!$E:$E,$C17)</f>
        <v>0</v>
      </c>
      <c r="Y17" s="14">
        <f>SUMIFS('NWC1'!Y:Y,'NWC1'!$C:$C,$C17)+SUMIFS(ADJ!AA:AA,ADJ!$E:$E,$C17)</f>
        <v>0</v>
      </c>
      <c r="Z17" s="14">
        <f>SUMIFS('NWC1'!Z:Z,'NWC1'!$C:$C,$C17)+SUMIFS(ADJ!AB:AB,ADJ!$E:$E,$C17)</f>
        <v>0</v>
      </c>
      <c r="AA17" s="14">
        <f>SUMIFS('NWC1'!AA:AA,'NWC1'!$C:$C,$C17)+SUMIFS(ADJ!AC:AC,ADJ!$E:$E,$C17)</f>
        <v>0</v>
      </c>
      <c r="AB17" s="14">
        <f>SUMIFS('NWC1'!AB:AB,'NWC1'!$C:$C,$C17)+SUMIFS(ADJ!AD:AD,ADJ!$E:$E,$C17)</f>
        <v>0</v>
      </c>
      <c r="AC17" s="14">
        <f>SUMIFS('NWC1'!AC:AC,'NWC1'!$C:$C,$C17)+SUMIFS(ADJ!AE:AE,ADJ!$E:$E,$C17)</f>
        <v>0</v>
      </c>
      <c r="AD17" s="14">
        <f>SUMIFS('NWC1'!AD:AD,'NWC1'!$C:$C,$C17)+SUMIFS(ADJ!AF:AF,ADJ!$E:$E,$C17)</f>
        <v>0</v>
      </c>
      <c r="AE17" s="14">
        <f>SUMIFS('NWC1'!AE:AE,'NWC1'!$C:$C,$C17)+SUMIFS(ADJ!AG:AG,ADJ!$E:$E,$C17)</f>
        <v>0</v>
      </c>
      <c r="AF17" s="14">
        <f>SUMIFS('NWC1'!AF:AF,'NWC1'!$C:$C,$C17)+SUMIFS(ADJ!AH:AH,ADJ!$E:$E,$C17)</f>
        <v>0</v>
      </c>
      <c r="AG17" s="14">
        <f>SUMIFS('NWC1'!AG:AG,'NWC1'!$C:$C,$C17)+SUMIFS(ADJ!AI:AI,ADJ!$E:$E,$C17)</f>
        <v>0</v>
      </c>
      <c r="AH17" s="14">
        <f>SUMIFS('NWC1'!AH:AH,'NWC1'!$C:$C,$C17)+SUMIFS(ADJ!AJ:AJ,ADJ!$E:$E,$C17)</f>
        <v>0</v>
      </c>
      <c r="AI17" s="14">
        <f>SUMIFS('NWC1'!AI:AI,'NWC1'!$C:$C,$C17)+SUMIFS(ADJ!AK:AK,ADJ!$E:$E,$C17)</f>
        <v>0</v>
      </c>
      <c r="AJ17" s="14"/>
      <c r="AK17" s="14">
        <f>P17</f>
        <v>0</v>
      </c>
      <c r="AL17" s="14">
        <f>AB17</f>
        <v>0</v>
      </c>
      <c r="AM17" s="14">
        <f>AI17</f>
        <v>0</v>
      </c>
      <c r="AN17" s="14"/>
      <c r="AO17" s="14">
        <f>IFERROR(AVERAGE(AG17:AI17),0)</f>
        <v>0</v>
      </c>
      <c r="AP17" s="14">
        <f>IFERROR(AVERAGE(AD17:AI17),0)</f>
        <v>0</v>
      </c>
      <c r="AQ17" s="14">
        <f>IFERROR(AVERAGE(AA17:AI17),0)</f>
        <v>0</v>
      </c>
      <c r="AR17" s="14">
        <f>IFERROR(AVERAGE(X17:AI17),0)</f>
        <v>0</v>
      </c>
    </row>
    <row r="18" spans="3:44" ht="11.25" customHeight="1" x14ac:dyDescent="0.2">
      <c r="C18" t="s">
        <v>168</v>
      </c>
      <c r="D18" s="4"/>
      <c r="E18" s="2">
        <f>SUM(E12:E17)</f>
        <v>0.37080000000000002</v>
      </c>
      <c r="F18" s="2">
        <f>SUM(F12:F17)</f>
        <v>0.37080000000000002</v>
      </c>
      <c r="G18" s="2">
        <f>SUM(G12:G17)</f>
        <v>0.37080000000000002</v>
      </c>
      <c r="H18" s="2">
        <f>SUM(H12:H17)</f>
        <v>0.42332000000000003</v>
      </c>
      <c r="I18" s="2">
        <f>SUM(I12:I17)</f>
        <v>0.42332000000000003</v>
      </c>
      <c r="J18" s="2">
        <f>SUM(J12:J17)</f>
        <v>0.42332000000000003</v>
      </c>
      <c r="K18" s="2">
        <f>SUM(K12:K17)</f>
        <v>0.35252</v>
      </c>
      <c r="L18" s="2">
        <f>SUM(L12:L17)</f>
        <v>0.35252</v>
      </c>
      <c r="M18" s="2">
        <f>SUM(M12:M17)</f>
        <v>0.35252</v>
      </c>
      <c r="N18" s="2">
        <f>SUM(N12:N17)</f>
        <v>0.35252</v>
      </c>
      <c r="O18" s="2">
        <f>SUM(O12:O17)</f>
        <v>0.35252</v>
      </c>
      <c r="P18" s="2">
        <f>SUM(P12:P17)</f>
        <v>0.35252</v>
      </c>
      <c r="Q18" s="2">
        <f>SUM(Q12:Q17)</f>
        <v>0.35252</v>
      </c>
      <c r="R18" s="2">
        <f>SUM(R12:R17)</f>
        <v>0.35252</v>
      </c>
      <c r="S18" s="2">
        <f>SUM(S12:S17)</f>
        <v>0.35252</v>
      </c>
      <c r="T18" s="2">
        <f>SUM(T12:T17)</f>
        <v>0.35252</v>
      </c>
      <c r="U18" s="2">
        <f>SUM(U12:U17)</f>
        <v>0.37252000000000002</v>
      </c>
      <c r="V18" s="2">
        <f>SUM(V12:V17)</f>
        <v>2.99152</v>
      </c>
      <c r="W18" s="2">
        <f>SUM(W12:W17)</f>
        <v>2.99152</v>
      </c>
      <c r="X18" s="2">
        <f>SUM(X12:X17)</f>
        <v>2.99152</v>
      </c>
      <c r="Y18" s="2">
        <f>SUM(Y12:Y17)</f>
        <v>2.99152</v>
      </c>
      <c r="Z18" s="2">
        <f>SUM(Z12:Z17)</f>
        <v>2.99152</v>
      </c>
      <c r="AA18" s="2">
        <f>SUM(AA12:AA17)</f>
        <v>4.2915200000000002</v>
      </c>
      <c r="AB18" s="2">
        <f>SUM(AB12:AB17)</f>
        <v>4.2915200000000002</v>
      </c>
      <c r="AC18" s="2">
        <f>SUM(AC12:AC17)</f>
        <v>4.2915200000000002</v>
      </c>
      <c r="AD18" s="2">
        <f>SUM(AD12:AD17)</f>
        <v>4.2915200000000002</v>
      </c>
      <c r="AE18" s="2">
        <f>SUM(AE12:AE17)</f>
        <v>4.2915200000000002</v>
      </c>
      <c r="AF18" s="2">
        <f>SUM(AF12:AF17)</f>
        <v>4.2915200000000002</v>
      </c>
      <c r="AG18" s="2">
        <f>SUM(AG12:AG17)</f>
        <v>4.2915200000000002</v>
      </c>
      <c r="AH18" s="2">
        <f>SUM(AH12:AH17)</f>
        <v>4.2915200000000002</v>
      </c>
      <c r="AI18" s="2">
        <f>SUM(AI12:AI17)</f>
        <v>4.2915200000000002</v>
      </c>
      <c r="AJ18" s="2"/>
      <c r="AK18" s="2">
        <f>SUM(AK12:AK17)</f>
        <v>0.35252</v>
      </c>
      <c r="AL18" s="2">
        <f>SUM(AL12:AL17)</f>
        <v>4.2915200000000002</v>
      </c>
      <c r="AM18" s="2">
        <f>SUM(AM12:AM17)</f>
        <v>4.2915200000000002</v>
      </c>
      <c r="AN18" s="2"/>
      <c r="AO18" s="2">
        <f>SUM(AO12:AO17)</f>
        <v>4.2915200000000002</v>
      </c>
      <c r="AP18" s="2">
        <f>SUM(AP12:AP17)</f>
        <v>4.2915200000000002</v>
      </c>
      <c r="AQ18" s="2">
        <f>SUM(AQ12:AQ17)</f>
        <v>4.2915200000000002</v>
      </c>
      <c r="AR18" s="2">
        <f>SUM(AR12:AR17)</f>
        <v>3.96652</v>
      </c>
    </row>
    <row r="19" spans="3:44" ht="6" customHeight="1" outlineLevel="1" x14ac:dyDescent="0.2">
      <c r="D19" s="4"/>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row>
    <row r="20" spans="3:44" ht="11.25" customHeight="1" outlineLevel="1" x14ac:dyDescent="0.2">
      <c r="C20" s="17" t="s">
        <v>167</v>
      </c>
      <c r="D20" s="15"/>
      <c r="E20" s="14">
        <f>SUMIFS('NWC1'!E:E,'NWC1'!$C:$C,$C20)+SUMIFS(ADJ!G:G,ADJ!$E:$E,$C20)</f>
        <v>0</v>
      </c>
      <c r="F20" s="14">
        <f>SUMIFS('NWC1'!F:F,'NWC1'!$C:$C,$C20)+SUMIFS(ADJ!H:H,ADJ!$E:$E,$C20)</f>
        <v>0</v>
      </c>
      <c r="G20" s="14">
        <f>SUMIFS('NWC1'!G:G,'NWC1'!$C:$C,$C20)+SUMIFS(ADJ!I:I,ADJ!$E:$E,$C20)</f>
        <v>0</v>
      </c>
      <c r="H20" s="14">
        <f>SUMIFS('NWC1'!H:H,'NWC1'!$C:$C,$C20)+SUMIFS(ADJ!J:J,ADJ!$E:$E,$C20)</f>
        <v>0</v>
      </c>
      <c r="I20" s="14">
        <f>SUMIFS('NWC1'!I:I,'NWC1'!$C:$C,$C20)+SUMIFS(ADJ!K:K,ADJ!$E:$E,$C20)</f>
        <v>0</v>
      </c>
      <c r="J20" s="14">
        <f>SUMIFS('NWC1'!J:J,'NWC1'!$C:$C,$C20)+SUMIFS(ADJ!L:L,ADJ!$E:$E,$C20)</f>
        <v>0</v>
      </c>
      <c r="K20" s="14">
        <f>SUMIFS('NWC1'!K:K,'NWC1'!$C:$C,$C20)+SUMIFS(ADJ!M:M,ADJ!$E:$E,$C20)</f>
        <v>0</v>
      </c>
      <c r="L20" s="14">
        <f>SUMIFS('NWC1'!L:L,'NWC1'!$C:$C,$C20)+SUMIFS(ADJ!N:N,ADJ!$E:$E,$C20)</f>
        <v>0</v>
      </c>
      <c r="M20" s="14">
        <f>SUMIFS('NWC1'!M:M,'NWC1'!$C:$C,$C20)+SUMIFS(ADJ!O:O,ADJ!$E:$E,$C20)</f>
        <v>-5</v>
      </c>
      <c r="N20" s="14">
        <f>SUMIFS('NWC1'!N:N,'NWC1'!$C:$C,$C20)+SUMIFS(ADJ!P:P,ADJ!$E:$E,$C20)</f>
        <v>-5</v>
      </c>
      <c r="O20" s="14">
        <f>SUMIFS('NWC1'!O:O,'NWC1'!$C:$C,$C20)+SUMIFS(ADJ!Q:Q,ADJ!$E:$E,$C20)</f>
        <v>-5</v>
      </c>
      <c r="P20" s="14">
        <f>SUMIFS('NWC1'!P:P,'NWC1'!$C:$C,$C20)+SUMIFS(ADJ!R:R,ADJ!$E:$E,$C20)</f>
        <v>-5</v>
      </c>
      <c r="Q20" s="14">
        <f>SUMIFS('NWC1'!Q:Q,'NWC1'!$C:$C,$C20)+SUMIFS(ADJ!S:S,ADJ!$E:$E,$C20)</f>
        <v>0</v>
      </c>
      <c r="R20" s="14">
        <f>SUMIFS('NWC1'!R:R,'NWC1'!$C:$C,$C20)+SUMIFS(ADJ!T:T,ADJ!$E:$E,$C20)</f>
        <v>0</v>
      </c>
      <c r="S20" s="14">
        <f>SUMIFS('NWC1'!S:S,'NWC1'!$C:$C,$C20)+SUMIFS(ADJ!U:U,ADJ!$E:$E,$C20)</f>
        <v>0</v>
      </c>
      <c r="T20" s="14">
        <f>SUMIFS('NWC1'!T:T,'NWC1'!$C:$C,$C20)+SUMIFS(ADJ!V:V,ADJ!$E:$E,$C20)</f>
        <v>0</v>
      </c>
      <c r="U20" s="14">
        <f>SUMIFS('NWC1'!U:U,'NWC1'!$C:$C,$C20)+SUMIFS(ADJ!W:W,ADJ!$E:$E,$C20)</f>
        <v>0</v>
      </c>
      <c r="V20" s="14">
        <f>SUMIFS('NWC1'!V:V,'NWC1'!$C:$C,$C20)+SUMIFS(ADJ!X:X,ADJ!$E:$E,$C20)</f>
        <v>0</v>
      </c>
      <c r="W20" s="14">
        <f>SUMIFS('NWC1'!W:W,'NWC1'!$C:$C,$C20)+SUMIFS(ADJ!Y:Y,ADJ!$E:$E,$C20)</f>
        <v>0</v>
      </c>
      <c r="X20" s="14">
        <f>SUMIFS('NWC1'!X:X,'NWC1'!$C:$C,$C20)+SUMIFS(ADJ!Z:Z,ADJ!$E:$E,$C20)</f>
        <v>0</v>
      </c>
      <c r="Y20" s="14">
        <f>SUMIFS('NWC1'!Y:Y,'NWC1'!$C:$C,$C20)+SUMIFS(ADJ!AA:AA,ADJ!$E:$E,$C20)</f>
        <v>0</v>
      </c>
      <c r="Z20" s="14">
        <f>SUMIFS('NWC1'!Z:Z,'NWC1'!$C:$C,$C20)+SUMIFS(ADJ!AB:AB,ADJ!$E:$E,$C20)</f>
        <v>0</v>
      </c>
      <c r="AA20" s="14">
        <f>SUMIFS('NWC1'!AA:AA,'NWC1'!$C:$C,$C20)+SUMIFS(ADJ!AC:AC,ADJ!$E:$E,$C20)</f>
        <v>0</v>
      </c>
      <c r="AB20" s="14">
        <f>SUMIFS('NWC1'!AB:AB,'NWC1'!$C:$C,$C20)+SUMIFS(ADJ!AD:AD,ADJ!$E:$E,$C20)</f>
        <v>0</v>
      </c>
      <c r="AC20" s="14">
        <f>SUMIFS('NWC1'!AC:AC,'NWC1'!$C:$C,$C20)+SUMIFS(ADJ!AE:AE,ADJ!$E:$E,$C20)</f>
        <v>0</v>
      </c>
      <c r="AD20" s="14">
        <f>SUMIFS('NWC1'!AD:AD,'NWC1'!$C:$C,$C20)+SUMIFS(ADJ!AF:AF,ADJ!$E:$E,$C20)</f>
        <v>0</v>
      </c>
      <c r="AE20" s="14">
        <f>SUMIFS('NWC1'!AE:AE,'NWC1'!$C:$C,$C20)+SUMIFS(ADJ!AG:AG,ADJ!$E:$E,$C20)</f>
        <v>0</v>
      </c>
      <c r="AF20" s="14">
        <f>SUMIFS('NWC1'!AF:AF,'NWC1'!$C:$C,$C20)+SUMIFS(ADJ!AH:AH,ADJ!$E:$E,$C20)</f>
        <v>0</v>
      </c>
      <c r="AG20" s="14">
        <f>SUMIFS('NWC1'!AG:AG,'NWC1'!$C:$C,$C20)+SUMIFS(ADJ!AI:AI,ADJ!$E:$E,$C20)</f>
        <v>0</v>
      </c>
      <c r="AH20" s="14">
        <f>SUMIFS('NWC1'!AH:AH,'NWC1'!$C:$C,$C20)+SUMIFS(ADJ!AJ:AJ,ADJ!$E:$E,$C20)</f>
        <v>0</v>
      </c>
      <c r="AI20" s="14">
        <f>SUMIFS('NWC1'!AI:AI,'NWC1'!$C:$C,$C20)+SUMIFS(ADJ!AK:AK,ADJ!$E:$E,$C20)</f>
        <v>0</v>
      </c>
      <c r="AJ20" s="14"/>
      <c r="AK20" s="14">
        <f>P20</f>
        <v>-5</v>
      </c>
      <c r="AL20" s="14">
        <f>AB20</f>
        <v>0</v>
      </c>
      <c r="AM20" s="14">
        <f>AI20</f>
        <v>0</v>
      </c>
      <c r="AN20" s="14"/>
      <c r="AO20" s="14">
        <f>IFERROR(AVERAGE(AG20:AI20),0)</f>
        <v>0</v>
      </c>
      <c r="AP20" s="14">
        <f>IFERROR(AVERAGE(AD20:AI20),0)</f>
        <v>0</v>
      </c>
      <c r="AQ20" s="14">
        <f>IFERROR(AVERAGE(AA20:AI20),0)</f>
        <v>0</v>
      </c>
      <c r="AR20" s="14">
        <f>IFERROR(AVERAGE(X20:AI20),0)</f>
        <v>0</v>
      </c>
    </row>
    <row r="21" spans="3:44" ht="11.25" customHeight="1" x14ac:dyDescent="0.2">
      <c r="C21" t="s">
        <v>188</v>
      </c>
      <c r="D21" s="4"/>
      <c r="E21" s="2">
        <f>SUM(E20:E20)</f>
        <v>0</v>
      </c>
      <c r="F21" s="2">
        <f>SUM(F20:F20)</f>
        <v>0</v>
      </c>
      <c r="G21" s="2">
        <f>SUM(G20:G20)</f>
        <v>0</v>
      </c>
      <c r="H21" s="2">
        <f>SUM(H20:H20)</f>
        <v>0</v>
      </c>
      <c r="I21" s="2">
        <f>SUM(I20:I20)</f>
        <v>0</v>
      </c>
      <c r="J21" s="2">
        <f>SUM(J20:J20)</f>
        <v>0</v>
      </c>
      <c r="K21" s="2">
        <f>SUM(K20:K20)</f>
        <v>0</v>
      </c>
      <c r="L21" s="2">
        <f>SUM(L20:L20)</f>
        <v>0</v>
      </c>
      <c r="M21" s="2">
        <f>SUM(M20:M20)</f>
        <v>-5</v>
      </c>
      <c r="N21" s="2">
        <f>SUM(N20:N20)</f>
        <v>-5</v>
      </c>
      <c r="O21" s="2">
        <f>SUM(O20:O20)</f>
        <v>-5</v>
      </c>
      <c r="P21" s="2">
        <f>SUM(P20:P20)</f>
        <v>-5</v>
      </c>
      <c r="Q21" s="2">
        <f>SUM(Q20:Q20)</f>
        <v>0</v>
      </c>
      <c r="R21" s="2">
        <f>SUM(R20:R20)</f>
        <v>0</v>
      </c>
      <c r="S21" s="2">
        <f>SUM(S20:S20)</f>
        <v>0</v>
      </c>
      <c r="T21" s="2">
        <f>SUM(T20:T20)</f>
        <v>0</v>
      </c>
      <c r="U21" s="2">
        <f>SUM(U20:U20)</f>
        <v>0</v>
      </c>
      <c r="V21" s="2">
        <f>SUM(V20:V20)</f>
        <v>0</v>
      </c>
      <c r="W21" s="2">
        <f>SUM(W20:W20)</f>
        <v>0</v>
      </c>
      <c r="X21" s="2">
        <f>SUM(X20:X20)</f>
        <v>0</v>
      </c>
      <c r="Y21" s="2">
        <f>SUM(Y20:Y20)</f>
        <v>0</v>
      </c>
      <c r="Z21" s="2">
        <f>SUM(Z20:Z20)</f>
        <v>0</v>
      </c>
      <c r="AA21" s="2">
        <f>SUM(AA20:AA20)</f>
        <v>0</v>
      </c>
      <c r="AB21" s="2">
        <f>SUM(AB20:AB20)</f>
        <v>0</v>
      </c>
      <c r="AC21" s="2">
        <f>SUM(AC20:AC20)</f>
        <v>0</v>
      </c>
      <c r="AD21" s="2">
        <f>SUM(AD20:AD20)</f>
        <v>0</v>
      </c>
      <c r="AE21" s="2">
        <f>SUM(AE20:AE20)</f>
        <v>0</v>
      </c>
      <c r="AF21" s="2">
        <f>SUM(AF20:AF20)</f>
        <v>0</v>
      </c>
      <c r="AG21" s="2">
        <f>SUM(AG20:AG20)</f>
        <v>0</v>
      </c>
      <c r="AH21" s="2">
        <f>SUM(AH20:AH20)</f>
        <v>0</v>
      </c>
      <c r="AI21" s="2">
        <f>SUM(AI20:AI20)</f>
        <v>0</v>
      </c>
      <c r="AJ21" s="2"/>
      <c r="AK21" s="2">
        <f>SUM(AK20:AK20)</f>
        <v>-5</v>
      </c>
      <c r="AL21" s="2">
        <f>SUM(AL20:AL20)</f>
        <v>0</v>
      </c>
      <c r="AM21" s="2">
        <f>SUM(AM20:AM20)</f>
        <v>0</v>
      </c>
      <c r="AN21" s="2"/>
      <c r="AO21" s="2">
        <f>SUM(AO20:AO20)</f>
        <v>0</v>
      </c>
      <c r="AP21" s="2">
        <f>SUM(AP20:AP20)</f>
        <v>0</v>
      </c>
      <c r="AQ21" s="2">
        <f>SUM(AQ20:AQ20)</f>
        <v>0</v>
      </c>
      <c r="AR21" s="2">
        <f>SUM(AR20:AR20)</f>
        <v>0</v>
      </c>
    </row>
    <row r="22" spans="3:44" ht="11.25" customHeight="1" x14ac:dyDescent="0.25">
      <c r="C22" s="43" t="s">
        <v>165</v>
      </c>
      <c r="D22" s="56"/>
      <c r="E22" s="42">
        <f>E10+E18+E21</f>
        <v>298.46179999999998</v>
      </c>
      <c r="F22" s="42">
        <f>F10+F18+F21</f>
        <v>348.26529999999997</v>
      </c>
      <c r="G22" s="42">
        <f>G10+G18+G21</f>
        <v>766.6028</v>
      </c>
      <c r="H22" s="42">
        <f>H10+H18+H21</f>
        <v>529.38031999999998</v>
      </c>
      <c r="I22" s="42">
        <f>I10+I18+I21</f>
        <v>459.75131999999996</v>
      </c>
      <c r="J22" s="42">
        <f>J10+J18+J21</f>
        <v>638.37932000000001</v>
      </c>
      <c r="K22" s="42">
        <f>K10+K18+K21</f>
        <v>751.92752000000007</v>
      </c>
      <c r="L22" s="42">
        <f>L10+L18+L21</f>
        <v>1371.77802</v>
      </c>
      <c r="M22" s="42">
        <f>M10+M18+M21</f>
        <v>906.88102000000003</v>
      </c>
      <c r="N22" s="42">
        <f>N10+N18+N21</f>
        <v>366.91202000000004</v>
      </c>
      <c r="O22" s="42">
        <f>O10+O18+O21</f>
        <v>367.07302000000004</v>
      </c>
      <c r="P22" s="42">
        <f>P10+P18+P21</f>
        <v>632.22852</v>
      </c>
      <c r="Q22" s="42">
        <f>Q10+Q18+Q21</f>
        <v>542.49901999999997</v>
      </c>
      <c r="R22" s="42">
        <f>R10+R18+R21</f>
        <v>717.43702000000008</v>
      </c>
      <c r="S22" s="42">
        <f>S10+S18+S21</f>
        <v>468.87952000000001</v>
      </c>
      <c r="T22" s="42">
        <f>T10+T18+T21</f>
        <v>428.23652000000004</v>
      </c>
      <c r="U22" s="42">
        <f>U10+U18+U21</f>
        <v>521.66751999999997</v>
      </c>
      <c r="V22" s="42">
        <f>V10+V18+V21</f>
        <v>550.44051999999999</v>
      </c>
      <c r="W22" s="42">
        <f>W10+W18+W21</f>
        <v>474.64851999999996</v>
      </c>
      <c r="X22" s="42">
        <f>X10+X18+X21</f>
        <v>920.83052000000009</v>
      </c>
      <c r="Y22" s="42">
        <f>Y10+Y18+Y21</f>
        <v>1108.5275200000001</v>
      </c>
      <c r="Z22" s="42">
        <f>Z10+Z18+Z21</f>
        <v>332.65251999999998</v>
      </c>
      <c r="AA22" s="42">
        <f>AA10+AA18+AA21</f>
        <v>731.88901999999996</v>
      </c>
      <c r="AB22" s="42">
        <f>AB10+AB18+AB21</f>
        <v>602.19151999999997</v>
      </c>
      <c r="AC22" s="42">
        <f>AC10+AC18+AC21</f>
        <v>561.86451999999997</v>
      </c>
      <c r="AD22" s="42">
        <f>AD10+AD18+AD21</f>
        <v>516.29151999999999</v>
      </c>
      <c r="AE22" s="42">
        <f>AE10+AE18+AE21</f>
        <v>1000.68162</v>
      </c>
      <c r="AF22" s="42">
        <f>AF10+AF18+AF21</f>
        <v>640.29512</v>
      </c>
      <c r="AG22" s="42">
        <f>AG10+AG18+AG21</f>
        <v>613.20852000000002</v>
      </c>
      <c r="AH22" s="42">
        <f>AH10+AH18+AH21</f>
        <v>841.11152000000004</v>
      </c>
      <c r="AI22" s="42">
        <f>AI10+AI18+AI21</f>
        <v>775.05452000000002</v>
      </c>
      <c r="AJ22" s="42"/>
      <c r="AK22" s="42">
        <f>AK10+AK18+AK21</f>
        <v>632.22852</v>
      </c>
      <c r="AL22" s="42">
        <f>AL10+AL18+AL21</f>
        <v>602.19151999999997</v>
      </c>
      <c r="AM22" s="42">
        <f>AM10+AM18+AM21</f>
        <v>775.05452000000002</v>
      </c>
      <c r="AN22" s="42"/>
      <c r="AO22" s="42">
        <f>AO10+AO18+AO21</f>
        <v>743.12485333333336</v>
      </c>
      <c r="AP22" s="42">
        <f>AP10+AP18+AP21</f>
        <v>731.10713666666675</v>
      </c>
      <c r="AQ22" s="42">
        <f>AQ10+AQ18+AQ21</f>
        <v>698.06531999999993</v>
      </c>
      <c r="AR22" s="42">
        <f>AR10+AR18+AR21</f>
        <v>720.38320333333331</v>
      </c>
    </row>
    <row r="23" spans="3:44" ht="6" customHeight="1" x14ac:dyDescent="0.2">
      <c r="D23" s="4"/>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row>
    <row r="24" spans="3:44" ht="11.25" customHeight="1" outlineLevel="1" x14ac:dyDescent="0.2">
      <c r="C24" s="17" t="s">
        <v>164</v>
      </c>
      <c r="D24" s="15"/>
      <c r="E24" s="14">
        <f>SUMIFS('NWC1'!E:E,'NWC1'!$C:$C,$C24)-SUMIFS(ADJ!G:G,ADJ!$E:$E,$C24)</f>
        <v>102.97868</v>
      </c>
      <c r="F24" s="14">
        <f>SUMIFS('NWC1'!F:F,'NWC1'!$C:$C,$C24)-SUMIFS(ADJ!H:H,ADJ!$E:$E,$C24)</f>
        <v>125.28341999999999</v>
      </c>
      <c r="G24" s="14">
        <f>SUMIFS('NWC1'!G:G,'NWC1'!$C:$C,$C24)-SUMIFS(ADJ!I:I,ADJ!$E:$E,$C24)</f>
        <v>176.99108999999999</v>
      </c>
      <c r="H24" s="14">
        <f>SUMIFS('NWC1'!H:H,'NWC1'!$C:$C,$C24)-SUMIFS(ADJ!J:J,ADJ!$E:$E,$C24)</f>
        <v>66.261679999999998</v>
      </c>
      <c r="I24" s="14">
        <f>SUMIFS('NWC1'!I:I,'NWC1'!$C:$C,$C24)-SUMIFS(ADJ!K:K,ADJ!$E:$E,$C24)</f>
        <v>116.23258</v>
      </c>
      <c r="J24" s="14">
        <f>SUMIFS('NWC1'!J:J,'NWC1'!$C:$C,$C24)-SUMIFS(ADJ!L:L,ADJ!$E:$E,$C24)</f>
        <v>121.51022999999999</v>
      </c>
      <c r="K24" s="14">
        <f>SUMIFS('NWC1'!K:K,'NWC1'!$C:$C,$C24)-SUMIFS(ADJ!M:M,ADJ!$E:$E,$C24)</f>
        <v>187.83073000000002</v>
      </c>
      <c r="L24" s="14">
        <f>SUMIFS('NWC1'!L:L,'NWC1'!$C:$C,$C24)-SUMIFS(ADJ!N:N,ADJ!$E:$E,$C24)</f>
        <v>127.91239999999999</v>
      </c>
      <c r="M24" s="14">
        <f>SUMIFS('NWC1'!M:M,'NWC1'!$C:$C,$C24)-SUMIFS(ADJ!O:O,ADJ!$E:$E,$C24)</f>
        <v>-70.614460000000008</v>
      </c>
      <c r="N24" s="14">
        <f>SUMIFS('NWC1'!N:N,'NWC1'!$C:$C,$C24)-SUMIFS(ADJ!P:P,ADJ!$E:$E,$C24)</f>
        <v>-35.702379999999998</v>
      </c>
      <c r="O24" s="14">
        <f>SUMIFS('NWC1'!O:O,'NWC1'!$C:$C,$C24)-SUMIFS(ADJ!Q:Q,ADJ!$E:$E,$C24)</f>
        <v>175.42123999999998</v>
      </c>
      <c r="P24" s="14">
        <f>SUMIFS('NWC1'!P:P,'NWC1'!$C:$C,$C24)-SUMIFS(ADJ!R:R,ADJ!$E:$E,$C24)</f>
        <v>0</v>
      </c>
      <c r="Q24" s="14">
        <f>SUMIFS('NWC1'!Q:Q,'NWC1'!$C:$C,$C24)-SUMIFS(ADJ!S:S,ADJ!$E:$E,$C24)</f>
        <v>57.586829999999999</v>
      </c>
      <c r="R24" s="14">
        <f>SUMIFS('NWC1'!R:R,'NWC1'!$C:$C,$C24)-SUMIFS(ADJ!T:T,ADJ!$E:$E,$C24)</f>
        <v>5.61409</v>
      </c>
      <c r="S24" s="14">
        <f>SUMIFS('NWC1'!S:S,'NWC1'!$C:$C,$C24)-SUMIFS(ADJ!U:U,ADJ!$E:$E,$C24)</f>
        <v>95.67886</v>
      </c>
      <c r="T24" s="14">
        <f>SUMIFS('NWC1'!T:T,'NWC1'!$C:$C,$C24)-SUMIFS(ADJ!V:V,ADJ!$E:$E,$C24)</f>
        <v>10.043340000000001</v>
      </c>
      <c r="U24" s="14">
        <f>SUMIFS('NWC1'!U:U,'NWC1'!$C:$C,$C24)-SUMIFS(ADJ!W:W,ADJ!$E:$E,$C24)</f>
        <v>131.57436999999999</v>
      </c>
      <c r="V24" s="14">
        <f>SUMIFS('NWC1'!V:V,'NWC1'!$C:$C,$C24)-SUMIFS(ADJ!X:X,ADJ!$E:$E,$C24)</f>
        <v>51.048589999999997</v>
      </c>
      <c r="W24" s="14">
        <f>SUMIFS('NWC1'!W:W,'NWC1'!$C:$C,$C24)-SUMIFS(ADJ!Y:Y,ADJ!$E:$E,$C24)</f>
        <v>118.19169000000001</v>
      </c>
      <c r="X24" s="14">
        <f>SUMIFS('NWC1'!X:X,'NWC1'!$C:$C,$C24)-SUMIFS(ADJ!Z:Z,ADJ!$E:$E,$C24)</f>
        <v>169.12200000000001</v>
      </c>
      <c r="Y24" s="14">
        <f>SUMIFS('NWC1'!Y:Y,'NWC1'!$C:$C,$C24)-SUMIFS(ADJ!AA:AA,ADJ!$E:$E,$C24)</f>
        <v>118.87128999999999</v>
      </c>
      <c r="Z24" s="14">
        <f>SUMIFS('NWC1'!Z:Z,'NWC1'!$C:$C,$C24)-SUMIFS(ADJ!AB:AB,ADJ!$E:$E,$C24)</f>
        <v>222.63320000000002</v>
      </c>
      <c r="AA24" s="14">
        <f>SUMIFS('NWC1'!AA:AA,'NWC1'!$C:$C,$C24)-SUMIFS(ADJ!AC:AC,ADJ!$E:$E,$C24)</f>
        <v>96.150399999999991</v>
      </c>
      <c r="AB24" s="14">
        <f>SUMIFS('NWC1'!AB:AB,'NWC1'!$C:$C,$C24)-SUMIFS(ADJ!AD:AD,ADJ!$E:$E,$C24)</f>
        <v>66.373259999999988</v>
      </c>
      <c r="AC24" s="14">
        <f>SUMIFS('NWC1'!AC:AC,'NWC1'!$C:$C,$C24)-SUMIFS(ADJ!AE:AE,ADJ!$E:$E,$C24)</f>
        <v>111.65541999999999</v>
      </c>
      <c r="AD24" s="14">
        <f>SUMIFS('NWC1'!AD:AD,'NWC1'!$C:$C,$C24)-SUMIFS(ADJ!AF:AF,ADJ!$E:$E,$C24)</f>
        <v>144.52427</v>
      </c>
      <c r="AE24" s="14">
        <f>SUMIFS('NWC1'!AE:AE,'NWC1'!$C:$C,$C24)-SUMIFS(ADJ!AG:AG,ADJ!$E:$E,$C24)</f>
        <v>237.55035999999998</v>
      </c>
      <c r="AF24" s="14">
        <f>SUMIFS('NWC1'!AF:AF,'NWC1'!$C:$C,$C24)-SUMIFS(ADJ!AH:AH,ADJ!$E:$E,$C24)</f>
        <v>57.762129999999999</v>
      </c>
      <c r="AG24" s="14">
        <f>SUMIFS('NWC1'!AG:AG,'NWC1'!$C:$C,$C24)-SUMIFS(ADJ!AI:AI,ADJ!$E:$E,$C24)</f>
        <v>154.90525</v>
      </c>
      <c r="AH24" s="14">
        <f>SUMIFS('NWC1'!AH:AH,'NWC1'!$C:$C,$C24)-SUMIFS(ADJ!AJ:AJ,ADJ!$E:$E,$C24)</f>
        <v>105.925</v>
      </c>
      <c r="AI24" s="14">
        <f>SUMIFS('NWC1'!AI:AI,'NWC1'!$C:$C,$C24)-SUMIFS(ADJ!AK:AK,ADJ!$E:$E,$C24)</f>
        <v>95.755990000000011</v>
      </c>
      <c r="AJ24" s="14"/>
      <c r="AK24" s="14">
        <f>P24</f>
        <v>0</v>
      </c>
      <c r="AL24" s="14">
        <f>AB24</f>
        <v>66.373259999999988</v>
      </c>
      <c r="AM24" s="14">
        <f>AI24</f>
        <v>95.755990000000011</v>
      </c>
      <c r="AN24" s="14"/>
      <c r="AO24" s="14">
        <f>IFERROR(AVERAGE(AG24:AI24),0)</f>
        <v>118.86207999999999</v>
      </c>
      <c r="AP24" s="14">
        <f>IFERROR(AVERAGE(AD24:AI24),0)</f>
        <v>132.73716666666664</v>
      </c>
      <c r="AQ24" s="14">
        <f>IFERROR(AVERAGE(AA24:AI24),0)</f>
        <v>118.95578666666665</v>
      </c>
      <c r="AR24" s="14">
        <f>IFERROR(AVERAGE(X24:AI24),0)</f>
        <v>131.76904750000003</v>
      </c>
    </row>
    <row r="25" spans="3:44" ht="11.25" customHeight="1" x14ac:dyDescent="0.2">
      <c r="C25" t="s">
        <v>187</v>
      </c>
      <c r="D25" s="4"/>
      <c r="E25" s="2">
        <f>SUM(E24:E24)</f>
        <v>102.97868</v>
      </c>
      <c r="F25" s="2">
        <f>SUM(F24:F24)</f>
        <v>125.28341999999999</v>
      </c>
      <c r="G25" s="2">
        <f>SUM(G24:G24)</f>
        <v>176.99108999999999</v>
      </c>
      <c r="H25" s="2">
        <f>SUM(H24:H24)</f>
        <v>66.261679999999998</v>
      </c>
      <c r="I25" s="2">
        <f>SUM(I24:I24)</f>
        <v>116.23258</v>
      </c>
      <c r="J25" s="2">
        <f>SUM(J24:J24)</f>
        <v>121.51022999999999</v>
      </c>
      <c r="K25" s="2">
        <f>SUM(K24:K24)</f>
        <v>187.83073000000002</v>
      </c>
      <c r="L25" s="2">
        <f>SUM(L24:L24)</f>
        <v>127.91239999999999</v>
      </c>
      <c r="M25" s="2">
        <f>SUM(M24:M24)</f>
        <v>-70.614460000000008</v>
      </c>
      <c r="N25" s="2">
        <f>SUM(N24:N24)</f>
        <v>-35.702379999999998</v>
      </c>
      <c r="O25" s="2">
        <f>SUM(O24:O24)</f>
        <v>175.42123999999998</v>
      </c>
      <c r="P25" s="2">
        <f>SUM(P24:P24)</f>
        <v>0</v>
      </c>
      <c r="Q25" s="2">
        <f>SUM(Q24:Q24)</f>
        <v>57.586829999999999</v>
      </c>
      <c r="R25" s="2">
        <f>SUM(R24:R24)</f>
        <v>5.61409</v>
      </c>
      <c r="S25" s="2">
        <f>SUM(S24:S24)</f>
        <v>95.67886</v>
      </c>
      <c r="T25" s="2">
        <f>SUM(T24:T24)</f>
        <v>10.043340000000001</v>
      </c>
      <c r="U25" s="2">
        <f>SUM(U24:U24)</f>
        <v>131.57436999999999</v>
      </c>
      <c r="V25" s="2">
        <f>SUM(V24:V24)</f>
        <v>51.048589999999997</v>
      </c>
      <c r="W25" s="2">
        <f>SUM(W24:W24)</f>
        <v>118.19169000000001</v>
      </c>
      <c r="X25" s="2">
        <f>SUM(X24:X24)</f>
        <v>169.12200000000001</v>
      </c>
      <c r="Y25" s="2">
        <f>SUM(Y24:Y24)</f>
        <v>118.87128999999999</v>
      </c>
      <c r="Z25" s="2">
        <f>SUM(Z24:Z24)</f>
        <v>222.63320000000002</v>
      </c>
      <c r="AA25" s="2">
        <f>SUM(AA24:AA24)</f>
        <v>96.150399999999991</v>
      </c>
      <c r="AB25" s="2">
        <f>SUM(AB24:AB24)</f>
        <v>66.373259999999988</v>
      </c>
      <c r="AC25" s="2">
        <f>SUM(AC24:AC24)</f>
        <v>111.65541999999999</v>
      </c>
      <c r="AD25" s="2">
        <f>SUM(AD24:AD24)</f>
        <v>144.52427</v>
      </c>
      <c r="AE25" s="2">
        <f>SUM(AE24:AE24)</f>
        <v>237.55035999999998</v>
      </c>
      <c r="AF25" s="2">
        <f>SUM(AF24:AF24)</f>
        <v>57.762129999999999</v>
      </c>
      <c r="AG25" s="2">
        <f>SUM(AG24:AG24)</f>
        <v>154.90525</v>
      </c>
      <c r="AH25" s="2">
        <f>SUM(AH24:AH24)</f>
        <v>105.925</v>
      </c>
      <c r="AI25" s="2">
        <f>SUM(AI24:AI24)</f>
        <v>95.755990000000011</v>
      </c>
      <c r="AJ25" s="2"/>
      <c r="AK25" s="2">
        <f>SUM(AK24:AK24)</f>
        <v>0</v>
      </c>
      <c r="AL25" s="2">
        <f>SUM(AL24:AL24)</f>
        <v>66.373259999999988</v>
      </c>
      <c r="AM25" s="2">
        <f>SUM(AM24:AM24)</f>
        <v>95.755990000000011</v>
      </c>
      <c r="AN25" s="2"/>
      <c r="AO25" s="2">
        <f>SUM(AO24:AO24)</f>
        <v>118.86207999999999</v>
      </c>
      <c r="AP25" s="2">
        <f>SUM(AP24:AP24)</f>
        <v>132.73716666666664</v>
      </c>
      <c r="AQ25" s="2">
        <f>SUM(AQ24:AQ24)</f>
        <v>118.95578666666665</v>
      </c>
      <c r="AR25" s="2">
        <f>SUM(AR24:AR24)</f>
        <v>131.76904750000003</v>
      </c>
    </row>
    <row r="26" spans="3:44" ht="6" customHeight="1" outlineLevel="1" x14ac:dyDescent="0.2">
      <c r="D26" s="4"/>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row>
    <row r="27" spans="3:44" ht="11.25" customHeight="1" outlineLevel="1" x14ac:dyDescent="0.2">
      <c r="C27" t="s">
        <v>162</v>
      </c>
      <c r="D27" s="4"/>
      <c r="E27" s="2">
        <f>SUMIFS('NWC1'!E:E,'NWC1'!$C:$C,$C27)-SUMIFS(ADJ!G:G,ADJ!$E:$E,$C27)</f>
        <v>0</v>
      </c>
      <c r="F27" s="2">
        <f>SUMIFS('NWC1'!F:F,'NWC1'!$C:$C,$C27)-SUMIFS(ADJ!H:H,ADJ!$E:$E,$C27)</f>
        <v>0</v>
      </c>
      <c r="G27" s="2">
        <f>SUMIFS('NWC1'!G:G,'NWC1'!$C:$C,$C27)-SUMIFS(ADJ!I:I,ADJ!$E:$E,$C27)</f>
        <v>0</v>
      </c>
      <c r="H27" s="2">
        <f>SUMIFS('NWC1'!H:H,'NWC1'!$C:$C,$C27)-SUMIFS(ADJ!J:J,ADJ!$E:$E,$C27)</f>
        <v>0</v>
      </c>
      <c r="I27" s="2">
        <f>SUMIFS('NWC1'!I:I,'NWC1'!$C:$C,$C27)-SUMIFS(ADJ!K:K,ADJ!$E:$E,$C27)</f>
        <v>0</v>
      </c>
      <c r="J27" s="2">
        <f>SUMIFS('NWC1'!J:J,'NWC1'!$C:$C,$C27)-SUMIFS(ADJ!L:L,ADJ!$E:$E,$C27)</f>
        <v>0</v>
      </c>
      <c r="K27" s="2">
        <f>SUMIFS('NWC1'!K:K,'NWC1'!$C:$C,$C27)-SUMIFS(ADJ!M:M,ADJ!$E:$E,$C27)</f>
        <v>0</v>
      </c>
      <c r="L27" s="2">
        <f>SUMIFS('NWC1'!L:L,'NWC1'!$C:$C,$C27)-SUMIFS(ADJ!N:N,ADJ!$E:$E,$C27)</f>
        <v>0</v>
      </c>
      <c r="M27" s="2">
        <f>SUMIFS('NWC1'!M:M,'NWC1'!$C:$C,$C27)-SUMIFS(ADJ!O:O,ADJ!$E:$E,$C27)</f>
        <v>0</v>
      </c>
      <c r="N27" s="2">
        <f>SUMIFS('NWC1'!N:N,'NWC1'!$C:$C,$C27)-SUMIFS(ADJ!P:P,ADJ!$E:$E,$C27)</f>
        <v>0</v>
      </c>
      <c r="O27" s="2">
        <f>SUMIFS('NWC1'!O:O,'NWC1'!$C:$C,$C27)-SUMIFS(ADJ!Q:Q,ADJ!$E:$E,$C27)</f>
        <v>0</v>
      </c>
      <c r="P27" s="2">
        <f>SUMIFS('NWC1'!P:P,'NWC1'!$C:$C,$C27)-SUMIFS(ADJ!R:R,ADJ!$E:$E,$C27)</f>
        <v>0</v>
      </c>
      <c r="Q27" s="2">
        <f>SUMIFS('NWC1'!Q:Q,'NWC1'!$C:$C,$C27)-SUMIFS(ADJ!S:S,ADJ!$E:$E,$C27)</f>
        <v>0</v>
      </c>
      <c r="R27" s="2">
        <f>SUMIFS('NWC1'!R:R,'NWC1'!$C:$C,$C27)-SUMIFS(ADJ!T:T,ADJ!$E:$E,$C27)</f>
        <v>0</v>
      </c>
      <c r="S27" s="2">
        <f>SUMIFS('NWC1'!S:S,'NWC1'!$C:$C,$C27)-SUMIFS(ADJ!U:U,ADJ!$E:$E,$C27)</f>
        <v>0</v>
      </c>
      <c r="T27" s="2">
        <f>SUMIFS('NWC1'!T:T,'NWC1'!$C:$C,$C27)-SUMIFS(ADJ!V:V,ADJ!$E:$E,$C27)</f>
        <v>0</v>
      </c>
      <c r="U27" s="2">
        <f>SUMIFS('NWC1'!U:U,'NWC1'!$C:$C,$C27)-SUMIFS(ADJ!W:W,ADJ!$E:$E,$C27)</f>
        <v>0</v>
      </c>
      <c r="V27" s="2">
        <f>SUMIFS('NWC1'!V:V,'NWC1'!$C:$C,$C27)-SUMIFS(ADJ!X:X,ADJ!$E:$E,$C27)</f>
        <v>0</v>
      </c>
      <c r="W27" s="2">
        <f>SUMIFS('NWC1'!W:W,'NWC1'!$C:$C,$C27)-SUMIFS(ADJ!Y:Y,ADJ!$E:$E,$C27)</f>
        <v>15.654999999999999</v>
      </c>
      <c r="X27" s="2">
        <f>SUMIFS('NWC1'!X:X,'NWC1'!$C:$C,$C27)-SUMIFS(ADJ!Z:Z,ADJ!$E:$E,$C27)</f>
        <v>15.654999999999999</v>
      </c>
      <c r="Y27" s="2">
        <f>SUMIFS('NWC1'!Y:Y,'NWC1'!$C:$C,$C27)-SUMIFS(ADJ!AA:AA,ADJ!$E:$E,$C27)</f>
        <v>15.654999999999999</v>
      </c>
      <c r="Z27" s="2">
        <f>SUMIFS('NWC1'!Z:Z,'NWC1'!$C:$C,$C27)-SUMIFS(ADJ!AB:AB,ADJ!$E:$E,$C27)</f>
        <v>15.654999999999999</v>
      </c>
      <c r="AA27" s="2">
        <f>SUMIFS('NWC1'!AA:AA,'NWC1'!$C:$C,$C27)-SUMIFS(ADJ!AC:AC,ADJ!$E:$E,$C27)</f>
        <v>15.654999999999999</v>
      </c>
      <c r="AB27" s="2">
        <f>SUMIFS('NWC1'!AB:AB,'NWC1'!$C:$C,$C27)-SUMIFS(ADJ!AD:AD,ADJ!$E:$E,$C27)</f>
        <v>15.654999999999999</v>
      </c>
      <c r="AC27" s="2">
        <f>SUMIFS('NWC1'!AC:AC,'NWC1'!$C:$C,$C27)-SUMIFS(ADJ!AE:AE,ADJ!$E:$E,$C27)</f>
        <v>15.654999999999999</v>
      </c>
      <c r="AD27" s="2">
        <f>SUMIFS('NWC1'!AD:AD,'NWC1'!$C:$C,$C27)-SUMIFS(ADJ!AF:AF,ADJ!$E:$E,$C27)</f>
        <v>15.654999999999999</v>
      </c>
      <c r="AE27" s="2">
        <f>SUMIFS('NWC1'!AE:AE,'NWC1'!$C:$C,$C27)-SUMIFS(ADJ!AG:AG,ADJ!$E:$E,$C27)</f>
        <v>15.654999999999999</v>
      </c>
      <c r="AF27" s="2">
        <f>SUMIFS('NWC1'!AF:AF,'NWC1'!$C:$C,$C27)-SUMIFS(ADJ!AH:AH,ADJ!$E:$E,$C27)</f>
        <v>15.654999999999999</v>
      </c>
      <c r="AG27" s="2">
        <f>SUMIFS('NWC1'!AG:AG,'NWC1'!$C:$C,$C27)-SUMIFS(ADJ!AI:AI,ADJ!$E:$E,$C27)</f>
        <v>15.654999999999999</v>
      </c>
      <c r="AH27" s="2">
        <f>SUMIFS('NWC1'!AH:AH,'NWC1'!$C:$C,$C27)-SUMIFS(ADJ!AJ:AJ,ADJ!$E:$E,$C27)</f>
        <v>15.654999999999999</v>
      </c>
      <c r="AI27" s="2">
        <f>SUMIFS('NWC1'!AI:AI,'NWC1'!$C:$C,$C27)-SUMIFS(ADJ!AK:AK,ADJ!$E:$E,$C27)</f>
        <v>15.654999999999999</v>
      </c>
      <c r="AJ27" s="2"/>
      <c r="AK27" s="2">
        <f>P27</f>
        <v>0</v>
      </c>
      <c r="AL27" s="2">
        <f>AB27</f>
        <v>15.654999999999999</v>
      </c>
      <c r="AM27" s="2">
        <f>AI27</f>
        <v>15.654999999999999</v>
      </c>
      <c r="AN27" s="2"/>
      <c r="AO27" s="2">
        <f>IFERROR(AVERAGE(AG27:AI27),0)</f>
        <v>15.654999999999999</v>
      </c>
      <c r="AP27" s="2">
        <f>IFERROR(AVERAGE(AD27:AI27),0)</f>
        <v>15.654999999999999</v>
      </c>
      <c r="AQ27" s="2">
        <f>IFERROR(AVERAGE(AA27:AI27),0)</f>
        <v>15.654999999999998</v>
      </c>
      <c r="AR27" s="2">
        <f>IFERROR(AVERAGE(X27:AI27),0)</f>
        <v>15.654999999999999</v>
      </c>
    </row>
    <row r="28" spans="3:44" ht="11.25" customHeight="1" outlineLevel="1" x14ac:dyDescent="0.2">
      <c r="C28" t="s">
        <v>161</v>
      </c>
      <c r="D28" s="4"/>
      <c r="E28" s="2">
        <f>SUMIFS('NWC1'!E:E,'NWC1'!$C:$C,$C28)-SUMIFS(ADJ!G:G,ADJ!$E:$E,$C28)</f>
        <v>0</v>
      </c>
      <c r="F28" s="2">
        <f>SUMIFS('NWC1'!F:F,'NWC1'!$C:$C,$C28)-SUMIFS(ADJ!H:H,ADJ!$E:$E,$C28)</f>
        <v>0</v>
      </c>
      <c r="G28" s="2">
        <f>SUMIFS('NWC1'!G:G,'NWC1'!$C:$C,$C28)-SUMIFS(ADJ!I:I,ADJ!$E:$E,$C28)</f>
        <v>0</v>
      </c>
      <c r="H28" s="2">
        <f>SUMIFS('NWC1'!H:H,'NWC1'!$C:$C,$C28)-SUMIFS(ADJ!J:J,ADJ!$E:$E,$C28)</f>
        <v>0</v>
      </c>
      <c r="I28" s="2">
        <f>SUMIFS('NWC1'!I:I,'NWC1'!$C:$C,$C28)-SUMIFS(ADJ!K:K,ADJ!$E:$E,$C28)</f>
        <v>0</v>
      </c>
      <c r="J28" s="2">
        <f>SUMIFS('NWC1'!J:J,'NWC1'!$C:$C,$C28)-SUMIFS(ADJ!L:L,ADJ!$E:$E,$C28)</f>
        <v>0</v>
      </c>
      <c r="K28" s="2">
        <f>SUMIFS('NWC1'!K:K,'NWC1'!$C:$C,$C28)-SUMIFS(ADJ!M:M,ADJ!$E:$E,$C28)</f>
        <v>0</v>
      </c>
      <c r="L28" s="2">
        <f>SUMIFS('NWC1'!L:L,'NWC1'!$C:$C,$C28)-SUMIFS(ADJ!N:N,ADJ!$E:$E,$C28)</f>
        <v>0</v>
      </c>
      <c r="M28" s="2">
        <f>SUMIFS('NWC1'!M:M,'NWC1'!$C:$C,$C28)-SUMIFS(ADJ!O:O,ADJ!$E:$E,$C28)</f>
        <v>0</v>
      </c>
      <c r="N28" s="2">
        <f>SUMIFS('NWC1'!N:N,'NWC1'!$C:$C,$C28)-SUMIFS(ADJ!P:P,ADJ!$E:$E,$C28)</f>
        <v>0</v>
      </c>
      <c r="O28" s="2">
        <f>SUMIFS('NWC1'!O:O,'NWC1'!$C:$C,$C28)-SUMIFS(ADJ!Q:Q,ADJ!$E:$E,$C28)</f>
        <v>0</v>
      </c>
      <c r="P28" s="2">
        <f>SUMIFS('NWC1'!P:P,'NWC1'!$C:$C,$C28)-SUMIFS(ADJ!R:R,ADJ!$E:$E,$C28)</f>
        <v>0</v>
      </c>
      <c r="Q28" s="2">
        <f>SUMIFS('NWC1'!Q:Q,'NWC1'!$C:$C,$C28)-SUMIFS(ADJ!S:S,ADJ!$E:$E,$C28)</f>
        <v>0</v>
      </c>
      <c r="R28" s="2">
        <f>SUMIFS('NWC1'!R:R,'NWC1'!$C:$C,$C28)-SUMIFS(ADJ!T:T,ADJ!$E:$E,$C28)</f>
        <v>0</v>
      </c>
      <c r="S28" s="2">
        <f>SUMIFS('NWC1'!S:S,'NWC1'!$C:$C,$C28)-SUMIFS(ADJ!U:U,ADJ!$E:$E,$C28)</f>
        <v>0</v>
      </c>
      <c r="T28" s="2">
        <f>SUMIFS('NWC1'!T:T,'NWC1'!$C:$C,$C28)-SUMIFS(ADJ!V:V,ADJ!$E:$E,$C28)</f>
        <v>0</v>
      </c>
      <c r="U28" s="2">
        <f>SUMIFS('NWC1'!U:U,'NWC1'!$C:$C,$C28)-SUMIFS(ADJ!W:W,ADJ!$E:$E,$C28)</f>
        <v>0</v>
      </c>
      <c r="V28" s="2">
        <f>SUMIFS('NWC1'!V:V,'NWC1'!$C:$C,$C28)-SUMIFS(ADJ!X:X,ADJ!$E:$E,$C28)</f>
        <v>0</v>
      </c>
      <c r="W28" s="2">
        <f>SUMIFS('NWC1'!W:W,'NWC1'!$C:$C,$C28)-SUMIFS(ADJ!Y:Y,ADJ!$E:$E,$C28)</f>
        <v>0</v>
      </c>
      <c r="X28" s="2">
        <f>SUMIFS('NWC1'!X:X,'NWC1'!$C:$C,$C28)-SUMIFS(ADJ!Z:Z,ADJ!$E:$E,$C28)</f>
        <v>0</v>
      </c>
      <c r="Y28" s="2">
        <f>SUMIFS('NWC1'!Y:Y,'NWC1'!$C:$C,$C28)-SUMIFS(ADJ!AA:AA,ADJ!$E:$E,$C28)</f>
        <v>0</v>
      </c>
      <c r="Z28" s="2">
        <f>SUMIFS('NWC1'!Z:Z,'NWC1'!$C:$C,$C28)-SUMIFS(ADJ!AB:AB,ADJ!$E:$E,$C28)</f>
        <v>0</v>
      </c>
      <c r="AA28" s="2">
        <f>SUMIFS('NWC1'!AA:AA,'NWC1'!$C:$C,$C28)-SUMIFS(ADJ!AC:AC,ADJ!$E:$E,$C28)</f>
        <v>0</v>
      </c>
      <c r="AB28" s="2">
        <f>SUMIFS('NWC1'!AB:AB,'NWC1'!$C:$C,$C28)-SUMIFS(ADJ!AD:AD,ADJ!$E:$E,$C28)</f>
        <v>0</v>
      </c>
      <c r="AC28" s="2">
        <f>SUMIFS('NWC1'!AC:AC,'NWC1'!$C:$C,$C28)-SUMIFS(ADJ!AE:AE,ADJ!$E:$E,$C28)</f>
        <v>0</v>
      </c>
      <c r="AD28" s="2">
        <f>SUMIFS('NWC1'!AD:AD,'NWC1'!$C:$C,$C28)-SUMIFS(ADJ!AF:AF,ADJ!$E:$E,$C28)</f>
        <v>0</v>
      </c>
      <c r="AE28" s="2">
        <f>SUMIFS('NWC1'!AE:AE,'NWC1'!$C:$C,$C28)-SUMIFS(ADJ!AG:AG,ADJ!$E:$E,$C28)</f>
        <v>0</v>
      </c>
      <c r="AF28" s="2">
        <f>SUMIFS('NWC1'!AF:AF,'NWC1'!$C:$C,$C28)-SUMIFS(ADJ!AH:AH,ADJ!$E:$E,$C28)</f>
        <v>0</v>
      </c>
      <c r="AG28" s="2">
        <f>SUMIFS('NWC1'!AG:AG,'NWC1'!$C:$C,$C28)-SUMIFS(ADJ!AI:AI,ADJ!$E:$E,$C28)</f>
        <v>0</v>
      </c>
      <c r="AH28" s="2">
        <f>SUMIFS('NWC1'!AH:AH,'NWC1'!$C:$C,$C28)-SUMIFS(ADJ!AJ:AJ,ADJ!$E:$E,$C28)</f>
        <v>0.57999999999999996</v>
      </c>
      <c r="AI28" s="2">
        <f>SUMIFS('NWC1'!AI:AI,'NWC1'!$C:$C,$C28)-SUMIFS(ADJ!AK:AK,ADJ!$E:$E,$C28)</f>
        <v>0.57999999999999996</v>
      </c>
      <c r="AJ28" s="2"/>
      <c r="AK28" s="2">
        <f>P28</f>
        <v>0</v>
      </c>
      <c r="AL28" s="2">
        <f>AB28</f>
        <v>0</v>
      </c>
      <c r="AM28" s="2">
        <f>AI28</f>
        <v>0.57999999999999996</v>
      </c>
      <c r="AN28" s="2"/>
      <c r="AO28" s="2">
        <f>IFERROR(AVERAGE(AG28:AI28),0)</f>
        <v>0.38666666666666666</v>
      </c>
      <c r="AP28" s="2">
        <f>IFERROR(AVERAGE(AD28:AI28),0)</f>
        <v>0.19333333333333333</v>
      </c>
      <c r="AQ28" s="2">
        <f>IFERROR(AVERAGE(AA28:AI28),0)</f>
        <v>0.12888888888888889</v>
      </c>
      <c r="AR28" s="2">
        <f>IFERROR(AVERAGE(X28:AI28),0)</f>
        <v>9.6666666666666665E-2</v>
      </c>
    </row>
    <row r="29" spans="3:44" ht="11.25" customHeight="1" outlineLevel="1" x14ac:dyDescent="0.2">
      <c r="C29" t="s">
        <v>160</v>
      </c>
      <c r="D29" s="4"/>
      <c r="E29" s="2">
        <f>SUMIFS('NWC1'!E:E,'NWC1'!$C:$C,$C29)-SUMIFS(ADJ!G:G,ADJ!$E:$E,$C29)</f>
        <v>0</v>
      </c>
      <c r="F29" s="2">
        <f>SUMIFS('NWC1'!F:F,'NWC1'!$C:$C,$C29)-SUMIFS(ADJ!H:H,ADJ!$E:$E,$C29)</f>
        <v>0</v>
      </c>
      <c r="G29" s="2">
        <f>SUMIFS('NWC1'!G:G,'NWC1'!$C:$C,$C29)-SUMIFS(ADJ!I:I,ADJ!$E:$E,$C29)</f>
        <v>0</v>
      </c>
      <c r="H29" s="2">
        <f>SUMIFS('NWC1'!H:H,'NWC1'!$C:$C,$C29)-SUMIFS(ADJ!J:J,ADJ!$E:$E,$C29)</f>
        <v>0</v>
      </c>
      <c r="I29" s="2">
        <f>SUMIFS('NWC1'!I:I,'NWC1'!$C:$C,$C29)-SUMIFS(ADJ!K:K,ADJ!$E:$E,$C29)</f>
        <v>0</v>
      </c>
      <c r="J29" s="2">
        <f>SUMIFS('NWC1'!J:J,'NWC1'!$C:$C,$C29)-SUMIFS(ADJ!L:L,ADJ!$E:$E,$C29)</f>
        <v>0</v>
      </c>
      <c r="K29" s="2">
        <f>SUMIFS('NWC1'!K:K,'NWC1'!$C:$C,$C29)-SUMIFS(ADJ!M:M,ADJ!$E:$E,$C29)</f>
        <v>0</v>
      </c>
      <c r="L29" s="2">
        <f>SUMIFS('NWC1'!L:L,'NWC1'!$C:$C,$C29)-SUMIFS(ADJ!N:N,ADJ!$E:$E,$C29)</f>
        <v>0</v>
      </c>
      <c r="M29" s="2">
        <f>SUMIFS('NWC1'!M:M,'NWC1'!$C:$C,$C29)-SUMIFS(ADJ!O:O,ADJ!$E:$E,$C29)</f>
        <v>0</v>
      </c>
      <c r="N29" s="2">
        <f>SUMIFS('NWC1'!N:N,'NWC1'!$C:$C,$C29)-SUMIFS(ADJ!P:P,ADJ!$E:$E,$C29)</f>
        <v>0</v>
      </c>
      <c r="O29" s="2">
        <f>SUMIFS('NWC1'!O:O,'NWC1'!$C:$C,$C29)-SUMIFS(ADJ!Q:Q,ADJ!$E:$E,$C29)</f>
        <v>0</v>
      </c>
      <c r="P29" s="2">
        <f>SUMIFS('NWC1'!P:P,'NWC1'!$C:$C,$C29)-SUMIFS(ADJ!R:R,ADJ!$E:$E,$C29)</f>
        <v>1.2193800000000001</v>
      </c>
      <c r="Q29" s="2">
        <f>SUMIFS('NWC1'!Q:Q,'NWC1'!$C:$C,$C29)-SUMIFS(ADJ!S:S,ADJ!$E:$E,$C29)</f>
        <v>1.2193800000000001</v>
      </c>
      <c r="R29" s="2">
        <f>SUMIFS('NWC1'!R:R,'NWC1'!$C:$C,$C29)-SUMIFS(ADJ!T:T,ADJ!$E:$E,$C29)</f>
        <v>1.2193800000000001</v>
      </c>
      <c r="S29" s="2">
        <f>SUMIFS('NWC1'!S:S,'NWC1'!$C:$C,$C29)-SUMIFS(ADJ!U:U,ADJ!$E:$E,$C29)</f>
        <v>1.2193800000000001</v>
      </c>
      <c r="T29" s="2">
        <f>SUMIFS('NWC1'!T:T,'NWC1'!$C:$C,$C29)-SUMIFS(ADJ!V:V,ADJ!$E:$E,$C29)</f>
        <v>1.2193800000000001</v>
      </c>
      <c r="U29" s="2">
        <f>SUMIFS('NWC1'!U:U,'NWC1'!$C:$C,$C29)-SUMIFS(ADJ!W:W,ADJ!$E:$E,$C29)</f>
        <v>1.2193800000000001</v>
      </c>
      <c r="V29" s="2">
        <f>SUMIFS('NWC1'!V:V,'NWC1'!$C:$C,$C29)-SUMIFS(ADJ!X:X,ADJ!$E:$E,$C29)</f>
        <v>1.2193800000000001</v>
      </c>
      <c r="W29" s="2">
        <f>SUMIFS('NWC1'!W:W,'NWC1'!$C:$C,$C29)-SUMIFS(ADJ!Y:Y,ADJ!$E:$E,$C29)</f>
        <v>1.2193800000000001</v>
      </c>
      <c r="X29" s="2">
        <f>SUMIFS('NWC1'!X:X,'NWC1'!$C:$C,$C29)-SUMIFS(ADJ!Z:Z,ADJ!$E:$E,$C29)</f>
        <v>1.2193800000000001</v>
      </c>
      <c r="Y29" s="2">
        <f>SUMIFS('NWC1'!Y:Y,'NWC1'!$C:$C,$C29)-SUMIFS(ADJ!AA:AA,ADJ!$E:$E,$C29)</f>
        <v>1.2193800000000001</v>
      </c>
      <c r="Z29" s="2">
        <f>SUMIFS('NWC1'!Z:Z,'NWC1'!$C:$C,$C29)-SUMIFS(ADJ!AB:AB,ADJ!$E:$E,$C29)</f>
        <v>1.2193800000000001</v>
      </c>
      <c r="AA29" s="2">
        <f>SUMIFS('NWC1'!AA:AA,'NWC1'!$C:$C,$C29)-SUMIFS(ADJ!AC:AC,ADJ!$E:$E,$C29)</f>
        <v>0</v>
      </c>
      <c r="AB29" s="2">
        <f>SUMIFS('NWC1'!AB:AB,'NWC1'!$C:$C,$C29)-SUMIFS(ADJ!AD:AD,ADJ!$E:$E,$C29)</f>
        <v>67.845690000000005</v>
      </c>
      <c r="AC29" s="2">
        <f>SUMIFS('NWC1'!AC:AC,'NWC1'!$C:$C,$C29)-SUMIFS(ADJ!AE:AE,ADJ!$E:$E,$C29)</f>
        <v>67.845690000000005</v>
      </c>
      <c r="AD29" s="2">
        <f>SUMIFS('NWC1'!AD:AD,'NWC1'!$C:$C,$C29)-SUMIFS(ADJ!AF:AF,ADJ!$E:$E,$C29)</f>
        <v>67.845690000000005</v>
      </c>
      <c r="AE29" s="2">
        <f>SUMIFS('NWC1'!AE:AE,'NWC1'!$C:$C,$C29)-SUMIFS(ADJ!AG:AG,ADJ!$E:$E,$C29)</f>
        <v>67.845690000000005</v>
      </c>
      <c r="AF29" s="2">
        <f>SUMIFS('NWC1'!AF:AF,'NWC1'!$C:$C,$C29)-SUMIFS(ADJ!AH:AH,ADJ!$E:$E,$C29)</f>
        <v>0</v>
      </c>
      <c r="AG29" s="2">
        <f>SUMIFS('NWC1'!AG:AG,'NWC1'!$C:$C,$C29)-SUMIFS(ADJ!AI:AI,ADJ!$E:$E,$C29)</f>
        <v>0</v>
      </c>
      <c r="AH29" s="2">
        <f>SUMIFS('NWC1'!AH:AH,'NWC1'!$C:$C,$C29)-SUMIFS(ADJ!AJ:AJ,ADJ!$E:$E,$C29)</f>
        <v>0</v>
      </c>
      <c r="AI29" s="2">
        <f>SUMIFS('NWC1'!AI:AI,'NWC1'!$C:$C,$C29)-SUMIFS(ADJ!AK:AK,ADJ!$E:$E,$C29)</f>
        <v>0</v>
      </c>
      <c r="AJ29" s="2"/>
      <c r="AK29" s="2">
        <f>P29</f>
        <v>1.2193800000000001</v>
      </c>
      <c r="AL29" s="2">
        <f>AB29</f>
        <v>67.845690000000005</v>
      </c>
      <c r="AM29" s="2">
        <f>AI29</f>
        <v>0</v>
      </c>
      <c r="AN29" s="2"/>
      <c r="AO29" s="2">
        <f>IFERROR(AVERAGE(AG29:AI29),0)</f>
        <v>0</v>
      </c>
      <c r="AP29" s="2">
        <f>IFERROR(AVERAGE(AD29:AI29),0)</f>
        <v>22.61523</v>
      </c>
      <c r="AQ29" s="2">
        <f>IFERROR(AVERAGE(AA29:AI29),0)</f>
        <v>30.153640000000003</v>
      </c>
      <c r="AR29" s="2">
        <f>IFERROR(AVERAGE(X29:AI29),0)</f>
        <v>22.920075000000001</v>
      </c>
    </row>
    <row r="30" spans="3:44" ht="11.25" customHeight="1" outlineLevel="1" x14ac:dyDescent="0.2">
      <c r="C30" s="17" t="s">
        <v>159</v>
      </c>
      <c r="D30" s="15"/>
      <c r="E30" s="14">
        <f>SUMIFS('NWC1'!E:E,'NWC1'!$C:$C,$C30)-SUMIFS(ADJ!G:G,ADJ!$E:$E,$C30)</f>
        <v>15</v>
      </c>
      <c r="F30" s="14">
        <f>SUMIFS('NWC1'!F:F,'NWC1'!$C:$C,$C30)-SUMIFS(ADJ!H:H,ADJ!$E:$E,$C30)</f>
        <v>15</v>
      </c>
      <c r="G30" s="14">
        <f>SUMIFS('NWC1'!G:G,'NWC1'!$C:$C,$C30)-SUMIFS(ADJ!I:I,ADJ!$E:$E,$C30)</f>
        <v>15</v>
      </c>
      <c r="H30" s="14">
        <f>SUMIFS('NWC1'!H:H,'NWC1'!$C:$C,$C30)-SUMIFS(ADJ!J:J,ADJ!$E:$E,$C30)</f>
        <v>15</v>
      </c>
      <c r="I30" s="14">
        <f>SUMIFS('NWC1'!I:I,'NWC1'!$C:$C,$C30)-SUMIFS(ADJ!K:K,ADJ!$E:$E,$C30)</f>
        <v>15</v>
      </c>
      <c r="J30" s="14">
        <f>SUMIFS('NWC1'!J:J,'NWC1'!$C:$C,$C30)-SUMIFS(ADJ!L:L,ADJ!$E:$E,$C30)</f>
        <v>15</v>
      </c>
      <c r="K30" s="14">
        <f>SUMIFS('NWC1'!K:K,'NWC1'!$C:$C,$C30)-SUMIFS(ADJ!M:M,ADJ!$E:$E,$C30)</f>
        <v>15</v>
      </c>
      <c r="L30" s="14">
        <f>SUMIFS('NWC1'!L:L,'NWC1'!$C:$C,$C30)-SUMIFS(ADJ!N:N,ADJ!$E:$E,$C30)</f>
        <v>0</v>
      </c>
      <c r="M30" s="14">
        <f>SUMIFS('NWC1'!M:M,'NWC1'!$C:$C,$C30)-SUMIFS(ADJ!O:O,ADJ!$E:$E,$C30)</f>
        <v>0</v>
      </c>
      <c r="N30" s="14">
        <f>SUMIFS('NWC1'!N:N,'NWC1'!$C:$C,$C30)-SUMIFS(ADJ!P:P,ADJ!$E:$E,$C30)</f>
        <v>0</v>
      </c>
      <c r="O30" s="14">
        <f>SUMIFS('NWC1'!O:O,'NWC1'!$C:$C,$C30)-SUMIFS(ADJ!Q:Q,ADJ!$E:$E,$C30)</f>
        <v>0</v>
      </c>
      <c r="P30" s="14">
        <f>SUMIFS('NWC1'!P:P,'NWC1'!$C:$C,$C30)-SUMIFS(ADJ!R:R,ADJ!$E:$E,$C30)</f>
        <v>0</v>
      </c>
      <c r="Q30" s="14">
        <f>SUMIFS('NWC1'!Q:Q,'NWC1'!$C:$C,$C30)-SUMIFS(ADJ!S:S,ADJ!$E:$E,$C30)</f>
        <v>0</v>
      </c>
      <c r="R30" s="14">
        <f>SUMIFS('NWC1'!R:R,'NWC1'!$C:$C,$C30)-SUMIFS(ADJ!T:T,ADJ!$E:$E,$C30)</f>
        <v>0</v>
      </c>
      <c r="S30" s="14">
        <f>SUMIFS('NWC1'!S:S,'NWC1'!$C:$C,$C30)-SUMIFS(ADJ!U:U,ADJ!$E:$E,$C30)</f>
        <v>0</v>
      </c>
      <c r="T30" s="14">
        <f>SUMIFS('NWC1'!T:T,'NWC1'!$C:$C,$C30)-SUMIFS(ADJ!V:V,ADJ!$E:$E,$C30)</f>
        <v>0</v>
      </c>
      <c r="U30" s="14">
        <f>SUMIFS('NWC1'!U:U,'NWC1'!$C:$C,$C30)-SUMIFS(ADJ!W:W,ADJ!$E:$E,$C30)</f>
        <v>0</v>
      </c>
      <c r="V30" s="14">
        <f>SUMIFS('NWC1'!V:V,'NWC1'!$C:$C,$C30)-SUMIFS(ADJ!X:X,ADJ!$E:$E,$C30)</f>
        <v>0</v>
      </c>
      <c r="W30" s="14">
        <f>SUMIFS('NWC1'!W:W,'NWC1'!$C:$C,$C30)-SUMIFS(ADJ!Y:Y,ADJ!$E:$E,$C30)</f>
        <v>0</v>
      </c>
      <c r="X30" s="14">
        <f>SUMIFS('NWC1'!X:X,'NWC1'!$C:$C,$C30)-SUMIFS(ADJ!Z:Z,ADJ!$E:$E,$C30)</f>
        <v>0</v>
      </c>
      <c r="Y30" s="14">
        <f>SUMIFS('NWC1'!Y:Y,'NWC1'!$C:$C,$C30)-SUMIFS(ADJ!AA:AA,ADJ!$E:$E,$C30)</f>
        <v>0</v>
      </c>
      <c r="Z30" s="14">
        <f>SUMIFS('NWC1'!Z:Z,'NWC1'!$C:$C,$C30)-SUMIFS(ADJ!AB:AB,ADJ!$E:$E,$C30)</f>
        <v>0</v>
      </c>
      <c r="AA30" s="14">
        <f>SUMIFS('NWC1'!AA:AA,'NWC1'!$C:$C,$C30)-SUMIFS(ADJ!AC:AC,ADJ!$E:$E,$C30)</f>
        <v>0</v>
      </c>
      <c r="AB30" s="14">
        <f>SUMIFS('NWC1'!AB:AB,'NWC1'!$C:$C,$C30)-SUMIFS(ADJ!AD:AD,ADJ!$E:$E,$C30)</f>
        <v>0</v>
      </c>
      <c r="AC30" s="14">
        <f>SUMIFS('NWC1'!AC:AC,'NWC1'!$C:$C,$C30)-SUMIFS(ADJ!AE:AE,ADJ!$E:$E,$C30)</f>
        <v>0</v>
      </c>
      <c r="AD30" s="14">
        <f>SUMIFS('NWC1'!AD:AD,'NWC1'!$C:$C,$C30)-SUMIFS(ADJ!AF:AF,ADJ!$E:$E,$C30)</f>
        <v>0</v>
      </c>
      <c r="AE30" s="14">
        <f>SUMIFS('NWC1'!AE:AE,'NWC1'!$C:$C,$C30)-SUMIFS(ADJ!AG:AG,ADJ!$E:$E,$C30)</f>
        <v>0</v>
      </c>
      <c r="AF30" s="14">
        <f>SUMIFS('NWC1'!AF:AF,'NWC1'!$C:$C,$C30)-SUMIFS(ADJ!AH:AH,ADJ!$E:$E,$C30)</f>
        <v>0</v>
      </c>
      <c r="AG30" s="14">
        <f>SUMIFS('NWC1'!AG:AG,'NWC1'!$C:$C,$C30)-SUMIFS(ADJ!AI:AI,ADJ!$E:$E,$C30)</f>
        <v>0</v>
      </c>
      <c r="AH30" s="14">
        <f>SUMIFS('NWC1'!AH:AH,'NWC1'!$C:$C,$C30)-SUMIFS(ADJ!AJ:AJ,ADJ!$E:$E,$C30)</f>
        <v>0</v>
      </c>
      <c r="AI30" s="14">
        <f>SUMIFS('NWC1'!AI:AI,'NWC1'!$C:$C,$C30)-SUMIFS(ADJ!AK:AK,ADJ!$E:$E,$C30)</f>
        <v>0</v>
      </c>
      <c r="AJ30" s="14"/>
      <c r="AK30" s="14">
        <f>P30</f>
        <v>0</v>
      </c>
      <c r="AL30" s="14">
        <f>AB30</f>
        <v>0</v>
      </c>
      <c r="AM30" s="14">
        <f>AI30</f>
        <v>0</v>
      </c>
      <c r="AN30" s="14"/>
      <c r="AO30" s="14">
        <f>IFERROR(AVERAGE(AG30:AI30),0)</f>
        <v>0</v>
      </c>
      <c r="AP30" s="14">
        <f>IFERROR(AVERAGE(AD30:AI30),0)</f>
        <v>0</v>
      </c>
      <c r="AQ30" s="14">
        <f>IFERROR(AVERAGE(AA30:AI30),0)</f>
        <v>0</v>
      </c>
      <c r="AR30" s="14">
        <f>IFERROR(AVERAGE(X30:AI30),0)</f>
        <v>0</v>
      </c>
    </row>
    <row r="31" spans="3:44" ht="11.25" customHeight="1" x14ac:dyDescent="0.2">
      <c r="C31" t="s">
        <v>158</v>
      </c>
      <c r="D31" s="4"/>
      <c r="E31" s="2">
        <f>SUM(E27:E30)</f>
        <v>15</v>
      </c>
      <c r="F31" s="2">
        <f>SUM(F27:F30)</f>
        <v>15</v>
      </c>
      <c r="G31" s="2">
        <f>SUM(G27:G30)</f>
        <v>15</v>
      </c>
      <c r="H31" s="2">
        <f>SUM(H27:H30)</f>
        <v>15</v>
      </c>
      <c r="I31" s="2">
        <f>SUM(I27:I30)</f>
        <v>15</v>
      </c>
      <c r="J31" s="2">
        <f>SUM(J27:J30)</f>
        <v>15</v>
      </c>
      <c r="K31" s="2">
        <f>SUM(K27:K30)</f>
        <v>15</v>
      </c>
      <c r="L31" s="2">
        <f>SUM(L27:L30)</f>
        <v>0</v>
      </c>
      <c r="M31" s="2">
        <f>SUM(M27:M30)</f>
        <v>0</v>
      </c>
      <c r="N31" s="2">
        <f>SUM(N27:N30)</f>
        <v>0</v>
      </c>
      <c r="O31" s="2">
        <f>SUM(O27:O30)</f>
        <v>0</v>
      </c>
      <c r="P31" s="2">
        <f>SUM(P27:P30)</f>
        <v>1.2193800000000001</v>
      </c>
      <c r="Q31" s="2">
        <f>SUM(Q27:Q30)</f>
        <v>1.2193800000000001</v>
      </c>
      <c r="R31" s="2">
        <f>SUM(R27:R30)</f>
        <v>1.2193800000000001</v>
      </c>
      <c r="S31" s="2">
        <f>SUM(S27:S30)</f>
        <v>1.2193800000000001</v>
      </c>
      <c r="T31" s="2">
        <f>SUM(T27:T30)</f>
        <v>1.2193800000000001</v>
      </c>
      <c r="U31" s="2">
        <f>SUM(U27:U30)</f>
        <v>1.2193800000000001</v>
      </c>
      <c r="V31" s="2">
        <f>SUM(V27:V30)</f>
        <v>1.2193800000000001</v>
      </c>
      <c r="W31" s="2">
        <f>SUM(W27:W30)</f>
        <v>16.874379999999999</v>
      </c>
      <c r="X31" s="2">
        <f>SUM(X27:X30)</f>
        <v>16.874379999999999</v>
      </c>
      <c r="Y31" s="2">
        <f>SUM(Y27:Y30)</f>
        <v>16.874379999999999</v>
      </c>
      <c r="Z31" s="2">
        <f>SUM(Z27:Z30)</f>
        <v>16.874379999999999</v>
      </c>
      <c r="AA31" s="2">
        <f>SUM(AA27:AA30)</f>
        <v>15.654999999999999</v>
      </c>
      <c r="AB31" s="2">
        <f>SUM(AB27:AB30)</f>
        <v>83.500690000000006</v>
      </c>
      <c r="AC31" s="2">
        <f>SUM(AC27:AC30)</f>
        <v>83.500690000000006</v>
      </c>
      <c r="AD31" s="2">
        <f>SUM(AD27:AD30)</f>
        <v>83.500690000000006</v>
      </c>
      <c r="AE31" s="2">
        <f>SUM(AE27:AE30)</f>
        <v>83.500690000000006</v>
      </c>
      <c r="AF31" s="2">
        <f>SUM(AF27:AF30)</f>
        <v>15.654999999999999</v>
      </c>
      <c r="AG31" s="2">
        <f>SUM(AG27:AG30)</f>
        <v>15.654999999999999</v>
      </c>
      <c r="AH31" s="2">
        <f>SUM(AH27:AH30)</f>
        <v>16.234999999999999</v>
      </c>
      <c r="AI31" s="2">
        <f>SUM(AI27:AI30)</f>
        <v>16.234999999999999</v>
      </c>
      <c r="AJ31" s="2"/>
      <c r="AK31" s="2">
        <f>SUM(AK27:AK30)</f>
        <v>1.2193800000000001</v>
      </c>
      <c r="AL31" s="2">
        <f>SUM(AL27:AL30)</f>
        <v>83.500690000000006</v>
      </c>
      <c r="AM31" s="2">
        <f>SUM(AM27:AM30)</f>
        <v>16.234999999999999</v>
      </c>
      <c r="AN31" s="2"/>
      <c r="AO31" s="2">
        <f>SUM(AO27:AO30)</f>
        <v>16.041666666666664</v>
      </c>
      <c r="AP31" s="2">
        <f>SUM(AP27:AP30)</f>
        <v>38.463563333333333</v>
      </c>
      <c r="AQ31" s="2">
        <f>SUM(AQ27:AQ30)</f>
        <v>45.937528888888892</v>
      </c>
      <c r="AR31" s="2">
        <f>SUM(AR27:AR30)</f>
        <v>38.671741666666662</v>
      </c>
    </row>
    <row r="32" spans="3:44" ht="6" customHeight="1" outlineLevel="1" x14ac:dyDescent="0.2">
      <c r="D32" s="4"/>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row>
    <row r="33" spans="3:44" ht="11.25" customHeight="1" outlineLevel="1" x14ac:dyDescent="0.2">
      <c r="C33" s="17" t="s">
        <v>157</v>
      </c>
      <c r="D33" s="15"/>
      <c r="E33" s="14">
        <f>SUMIFS('NWC1'!E:E,'NWC1'!$C:$C,$C33)-SUMIFS(ADJ!G:G,ADJ!$E:$E,$C33)</f>
        <v>1166.1134999999999</v>
      </c>
      <c r="F33" s="14">
        <f>SUMIFS('NWC1'!F:F,'NWC1'!$C:$C,$C33)-SUMIFS(ADJ!H:H,ADJ!$E:$E,$C33)</f>
        <v>1166.1134999999999</v>
      </c>
      <c r="G33" s="14">
        <f>SUMIFS('NWC1'!G:G,'NWC1'!$C:$C,$C33)-SUMIFS(ADJ!I:I,ADJ!$E:$E,$C33)</f>
        <v>1166.1134999999999</v>
      </c>
      <c r="H33" s="14">
        <f>SUMIFS('NWC1'!H:H,'NWC1'!$C:$C,$C33)-SUMIFS(ADJ!J:J,ADJ!$E:$E,$C33)</f>
        <v>1166.1134999999999</v>
      </c>
      <c r="I33" s="14">
        <f>SUMIFS('NWC1'!I:I,'NWC1'!$C:$C,$C33)-SUMIFS(ADJ!K:K,ADJ!$E:$E,$C33)</f>
        <v>1166.1134999999999</v>
      </c>
      <c r="J33" s="14">
        <f>SUMIFS('NWC1'!J:J,'NWC1'!$C:$C,$C33)-SUMIFS(ADJ!L:L,ADJ!$E:$E,$C33)</f>
        <v>1166.1134999999999</v>
      </c>
      <c r="K33" s="14">
        <f>SUMIFS('NWC1'!K:K,'NWC1'!$C:$C,$C33)-SUMIFS(ADJ!M:M,ADJ!$E:$E,$C33)</f>
        <v>1166.1134999999999</v>
      </c>
      <c r="L33" s="14">
        <f>SUMIFS('NWC1'!L:L,'NWC1'!$C:$C,$C33)-SUMIFS(ADJ!N:N,ADJ!$E:$E,$C33)</f>
        <v>1166.1134999999999</v>
      </c>
      <c r="M33" s="14">
        <f>SUMIFS('NWC1'!M:M,'NWC1'!$C:$C,$C33)-SUMIFS(ADJ!O:O,ADJ!$E:$E,$C33)</f>
        <v>1166.1134999999999</v>
      </c>
      <c r="N33" s="14">
        <f>SUMIFS('NWC1'!N:N,'NWC1'!$C:$C,$C33)-SUMIFS(ADJ!P:P,ADJ!$E:$E,$C33)</f>
        <v>1166.1134999999999</v>
      </c>
      <c r="O33" s="14">
        <f>SUMIFS('NWC1'!O:O,'NWC1'!$C:$C,$C33)-SUMIFS(ADJ!Q:Q,ADJ!$E:$E,$C33)</f>
        <v>1166.1134999999999</v>
      </c>
      <c r="P33" s="14">
        <f>SUMIFS('NWC1'!P:P,'NWC1'!$C:$C,$C33)-SUMIFS(ADJ!R:R,ADJ!$E:$E,$C33)</f>
        <v>1112.5840000000001</v>
      </c>
      <c r="Q33" s="14">
        <f>SUMIFS('NWC1'!Q:Q,'NWC1'!$C:$C,$C33)-SUMIFS(ADJ!S:S,ADJ!$E:$E,$C33)</f>
        <v>1112.5840000000001</v>
      </c>
      <c r="R33" s="14">
        <f>SUMIFS('NWC1'!R:R,'NWC1'!$C:$C,$C33)-SUMIFS(ADJ!T:T,ADJ!$E:$E,$C33)</f>
        <v>1112.5840000000001</v>
      </c>
      <c r="S33" s="14">
        <f>SUMIFS('NWC1'!S:S,'NWC1'!$C:$C,$C33)-SUMIFS(ADJ!U:U,ADJ!$E:$E,$C33)</f>
        <v>1000.846</v>
      </c>
      <c r="T33" s="14">
        <f>SUMIFS('NWC1'!T:T,'NWC1'!$C:$C,$C33)-SUMIFS(ADJ!V:V,ADJ!$E:$E,$C33)</f>
        <v>1000.846</v>
      </c>
      <c r="U33" s="14">
        <f>SUMIFS('NWC1'!U:U,'NWC1'!$C:$C,$C33)-SUMIFS(ADJ!W:W,ADJ!$E:$E,$C33)</f>
        <v>1000.846</v>
      </c>
      <c r="V33" s="14">
        <f>SUMIFS('NWC1'!V:V,'NWC1'!$C:$C,$C33)-SUMIFS(ADJ!X:X,ADJ!$E:$E,$C33)</f>
        <v>1000.846</v>
      </c>
      <c r="W33" s="14">
        <f>SUMIFS('NWC1'!W:W,'NWC1'!$C:$C,$C33)-SUMIFS(ADJ!Y:Y,ADJ!$E:$E,$C33)</f>
        <v>933.346</v>
      </c>
      <c r="X33" s="14">
        <f>SUMIFS('NWC1'!X:X,'NWC1'!$C:$C,$C33)-SUMIFS(ADJ!Z:Z,ADJ!$E:$E,$C33)</f>
        <v>933.346</v>
      </c>
      <c r="Y33" s="14">
        <f>SUMIFS('NWC1'!Y:Y,'NWC1'!$C:$C,$C33)-SUMIFS(ADJ!AA:AA,ADJ!$E:$E,$C33)</f>
        <v>933.346</v>
      </c>
      <c r="Z33" s="14">
        <f>SUMIFS('NWC1'!Z:Z,'NWC1'!$C:$C,$C33)-SUMIFS(ADJ!AB:AB,ADJ!$E:$E,$C33)</f>
        <v>933.346</v>
      </c>
      <c r="AA33" s="14">
        <f>SUMIFS('NWC1'!AA:AA,'NWC1'!$C:$C,$C33)-SUMIFS(ADJ!AC:AC,ADJ!$E:$E,$C33)</f>
        <v>933.346</v>
      </c>
      <c r="AB33" s="14">
        <f>SUMIFS('NWC1'!AB:AB,'NWC1'!$C:$C,$C33)-SUMIFS(ADJ!AD:AD,ADJ!$E:$E,$C33)</f>
        <v>925.17</v>
      </c>
      <c r="AC33" s="14">
        <f>SUMIFS('NWC1'!AC:AC,'NWC1'!$C:$C,$C33)-SUMIFS(ADJ!AE:AE,ADJ!$E:$E,$C33)</f>
        <v>925.17</v>
      </c>
      <c r="AD33" s="14">
        <f>SUMIFS('NWC1'!AD:AD,'NWC1'!$C:$C,$C33)-SUMIFS(ADJ!AF:AF,ADJ!$E:$E,$C33)</f>
        <v>925.17</v>
      </c>
      <c r="AE33" s="14">
        <f>SUMIFS('NWC1'!AE:AE,'NWC1'!$C:$C,$C33)-SUMIFS(ADJ!AG:AG,ADJ!$E:$E,$C33)</f>
        <v>851.17</v>
      </c>
      <c r="AF33" s="14">
        <f>SUMIFS('NWC1'!AF:AF,'NWC1'!$C:$C,$C33)-SUMIFS(ADJ!AH:AH,ADJ!$E:$E,$C33)</f>
        <v>851.17</v>
      </c>
      <c r="AG33" s="14">
        <f>SUMIFS('NWC1'!AG:AG,'NWC1'!$C:$C,$C33)-SUMIFS(ADJ!AI:AI,ADJ!$E:$E,$C33)</f>
        <v>851.17</v>
      </c>
      <c r="AH33" s="14">
        <f>SUMIFS('NWC1'!AH:AH,'NWC1'!$C:$C,$C33)-SUMIFS(ADJ!AJ:AJ,ADJ!$E:$E,$C33)</f>
        <v>851.17</v>
      </c>
      <c r="AI33" s="14">
        <f>SUMIFS('NWC1'!AI:AI,'NWC1'!$C:$C,$C33)-SUMIFS(ADJ!AK:AK,ADJ!$E:$E,$C33)</f>
        <v>810.14499999999998</v>
      </c>
      <c r="AJ33" s="14"/>
      <c r="AK33" s="14">
        <f>P33</f>
        <v>1112.5840000000001</v>
      </c>
      <c r="AL33" s="14">
        <f>AB33</f>
        <v>925.17</v>
      </c>
      <c r="AM33" s="14">
        <f>AI33</f>
        <v>810.14499999999998</v>
      </c>
      <c r="AN33" s="14"/>
      <c r="AO33" s="14">
        <f>IFERROR(AVERAGE(AG33:AI33),0)</f>
        <v>837.49499999999989</v>
      </c>
      <c r="AP33" s="14">
        <f>IFERROR(AVERAGE(AD33:AI33),0)</f>
        <v>856.66583333333313</v>
      </c>
      <c r="AQ33" s="14">
        <f>IFERROR(AVERAGE(AA33:AI33),0)</f>
        <v>880.40900000000011</v>
      </c>
      <c r="AR33" s="14">
        <f>IFERROR(AVERAGE(X33:AI33),0)</f>
        <v>893.64325000000008</v>
      </c>
    </row>
    <row r="34" spans="3:44" ht="11.25" customHeight="1" x14ac:dyDescent="0.2">
      <c r="C34" t="s">
        <v>156</v>
      </c>
      <c r="D34" s="4"/>
      <c r="E34" s="2">
        <f>SUM(E33:E33)</f>
        <v>1166.1134999999999</v>
      </c>
      <c r="F34" s="2">
        <f>SUM(F33:F33)</f>
        <v>1166.1134999999999</v>
      </c>
      <c r="G34" s="2">
        <f>SUM(G33:G33)</f>
        <v>1166.1134999999999</v>
      </c>
      <c r="H34" s="2">
        <f>SUM(H33:H33)</f>
        <v>1166.1134999999999</v>
      </c>
      <c r="I34" s="2">
        <f>SUM(I33:I33)</f>
        <v>1166.1134999999999</v>
      </c>
      <c r="J34" s="2">
        <f>SUM(J33:J33)</f>
        <v>1166.1134999999999</v>
      </c>
      <c r="K34" s="2">
        <f>SUM(K33:K33)</f>
        <v>1166.1134999999999</v>
      </c>
      <c r="L34" s="2">
        <f>SUM(L33:L33)</f>
        <v>1166.1134999999999</v>
      </c>
      <c r="M34" s="2">
        <f>SUM(M33:M33)</f>
        <v>1166.1134999999999</v>
      </c>
      <c r="N34" s="2">
        <f>SUM(N33:N33)</f>
        <v>1166.1134999999999</v>
      </c>
      <c r="O34" s="2">
        <f>SUM(O33:O33)</f>
        <v>1166.1134999999999</v>
      </c>
      <c r="P34" s="2">
        <f>SUM(P33:P33)</f>
        <v>1112.5840000000001</v>
      </c>
      <c r="Q34" s="2">
        <f>SUM(Q33:Q33)</f>
        <v>1112.5840000000001</v>
      </c>
      <c r="R34" s="2">
        <f>SUM(R33:R33)</f>
        <v>1112.5840000000001</v>
      </c>
      <c r="S34" s="2">
        <f>SUM(S33:S33)</f>
        <v>1000.846</v>
      </c>
      <c r="T34" s="2">
        <f>SUM(T33:T33)</f>
        <v>1000.846</v>
      </c>
      <c r="U34" s="2">
        <f>SUM(U33:U33)</f>
        <v>1000.846</v>
      </c>
      <c r="V34" s="2">
        <f>SUM(V33:V33)</f>
        <v>1000.846</v>
      </c>
      <c r="W34" s="2">
        <f>SUM(W33:W33)</f>
        <v>933.346</v>
      </c>
      <c r="X34" s="2">
        <f>SUM(X33:X33)</f>
        <v>933.346</v>
      </c>
      <c r="Y34" s="2">
        <f>SUM(Y33:Y33)</f>
        <v>933.346</v>
      </c>
      <c r="Z34" s="2">
        <f>SUM(Z33:Z33)</f>
        <v>933.346</v>
      </c>
      <c r="AA34" s="2">
        <f>SUM(AA33:AA33)</f>
        <v>933.346</v>
      </c>
      <c r="AB34" s="2">
        <f>SUM(AB33:AB33)</f>
        <v>925.17</v>
      </c>
      <c r="AC34" s="2">
        <f>SUM(AC33:AC33)</f>
        <v>925.17</v>
      </c>
      <c r="AD34" s="2">
        <f>SUM(AD33:AD33)</f>
        <v>925.17</v>
      </c>
      <c r="AE34" s="2">
        <f>SUM(AE33:AE33)</f>
        <v>851.17</v>
      </c>
      <c r="AF34" s="2">
        <f>SUM(AF33:AF33)</f>
        <v>851.17</v>
      </c>
      <c r="AG34" s="2">
        <f>SUM(AG33:AG33)</f>
        <v>851.17</v>
      </c>
      <c r="AH34" s="2">
        <f>SUM(AH33:AH33)</f>
        <v>851.17</v>
      </c>
      <c r="AI34" s="2">
        <f>SUM(AI33:AI33)</f>
        <v>810.14499999999998</v>
      </c>
      <c r="AJ34" s="2"/>
      <c r="AK34" s="2">
        <f>SUM(AK33:AK33)</f>
        <v>1112.5840000000001</v>
      </c>
      <c r="AL34" s="2">
        <f>SUM(AL33:AL33)</f>
        <v>925.17</v>
      </c>
      <c r="AM34" s="2">
        <f>SUM(AM33:AM33)</f>
        <v>810.14499999999998</v>
      </c>
      <c r="AN34" s="2"/>
      <c r="AO34" s="2">
        <f>SUM(AO33:AO33)</f>
        <v>837.49499999999989</v>
      </c>
      <c r="AP34" s="2">
        <f>SUM(AP33:AP33)</f>
        <v>856.66583333333313</v>
      </c>
      <c r="AQ34" s="2">
        <f>SUM(AQ33:AQ33)</f>
        <v>880.40900000000011</v>
      </c>
      <c r="AR34" s="2">
        <f>SUM(AR33:AR33)</f>
        <v>893.64325000000008</v>
      </c>
    </row>
    <row r="35" spans="3:44" ht="6" customHeight="1" outlineLevel="1" x14ac:dyDescent="0.2">
      <c r="D35" s="4"/>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row>
    <row r="36" spans="3:44" ht="11.25" customHeight="1" outlineLevel="1" x14ac:dyDescent="0.2">
      <c r="C36" t="s">
        <v>155</v>
      </c>
      <c r="D36" s="4"/>
      <c r="E36" s="2">
        <f>SUMIFS('NWC1'!E:E,'NWC1'!$C:$C,$C36)-SUMIFS(ADJ!G:G,ADJ!$E:$E,$C36)</f>
        <v>48.5</v>
      </c>
      <c r="F36" s="2">
        <f>SUMIFS('NWC1'!F:F,'NWC1'!$C:$C,$C36)-SUMIFS(ADJ!H:H,ADJ!$E:$E,$C36)</f>
        <v>97</v>
      </c>
      <c r="G36" s="2">
        <f>SUMIFS('NWC1'!G:G,'NWC1'!$C:$C,$C36)-SUMIFS(ADJ!I:I,ADJ!$E:$E,$C36)</f>
        <v>145.5</v>
      </c>
      <c r="H36" s="2">
        <f>SUMIFS('NWC1'!H:H,'NWC1'!$C:$C,$C36)-SUMIFS(ADJ!J:J,ADJ!$E:$E,$C36)</f>
        <v>194</v>
      </c>
      <c r="I36" s="2">
        <f>SUMIFS('NWC1'!I:I,'NWC1'!$C:$C,$C36)-SUMIFS(ADJ!K:K,ADJ!$E:$E,$C36)</f>
        <v>242.5</v>
      </c>
      <c r="J36" s="2">
        <f>SUMIFS('NWC1'!J:J,'NWC1'!$C:$C,$C36)-SUMIFS(ADJ!L:L,ADJ!$E:$E,$C36)</f>
        <v>291</v>
      </c>
      <c r="K36" s="2">
        <f>SUMIFS('NWC1'!K:K,'NWC1'!$C:$C,$C36)-SUMIFS(ADJ!M:M,ADJ!$E:$E,$C36)</f>
        <v>339.5</v>
      </c>
      <c r="L36" s="2">
        <f>SUMIFS('NWC1'!L:L,'NWC1'!$C:$C,$C36)-SUMIFS(ADJ!N:N,ADJ!$E:$E,$C36)</f>
        <v>388</v>
      </c>
      <c r="M36" s="2">
        <f>SUMIFS('NWC1'!M:M,'NWC1'!$C:$C,$C36)-SUMIFS(ADJ!O:O,ADJ!$E:$E,$C36)</f>
        <v>436.5</v>
      </c>
      <c r="N36" s="2">
        <f>SUMIFS('NWC1'!N:N,'NWC1'!$C:$C,$C36)-SUMIFS(ADJ!P:P,ADJ!$E:$E,$C36)</f>
        <v>485</v>
      </c>
      <c r="O36" s="2">
        <f>SUMIFS('NWC1'!O:O,'NWC1'!$C:$C,$C36)-SUMIFS(ADJ!Q:Q,ADJ!$E:$E,$C36)</f>
        <v>533.5</v>
      </c>
      <c r="P36" s="2">
        <f>SUMIFS('NWC1'!P:P,'NWC1'!$C:$C,$C36)-SUMIFS(ADJ!R:R,ADJ!$E:$E,$C36)</f>
        <v>0</v>
      </c>
      <c r="Q36" s="2">
        <f>SUMIFS('NWC1'!Q:Q,'NWC1'!$C:$C,$C36)-SUMIFS(ADJ!S:S,ADJ!$E:$E,$C36)</f>
        <v>51.25</v>
      </c>
      <c r="R36" s="2">
        <f>SUMIFS('NWC1'!R:R,'NWC1'!$C:$C,$C36)-SUMIFS(ADJ!T:T,ADJ!$E:$E,$C36)</f>
        <v>102.5</v>
      </c>
      <c r="S36" s="2">
        <f>SUMIFS('NWC1'!S:S,'NWC1'!$C:$C,$C36)-SUMIFS(ADJ!U:U,ADJ!$E:$E,$C36)</f>
        <v>153.75</v>
      </c>
      <c r="T36" s="2">
        <f>SUMIFS('NWC1'!T:T,'NWC1'!$C:$C,$C36)-SUMIFS(ADJ!V:V,ADJ!$E:$E,$C36)</f>
        <v>205</v>
      </c>
      <c r="U36" s="2">
        <f>SUMIFS('NWC1'!U:U,'NWC1'!$C:$C,$C36)-SUMIFS(ADJ!W:W,ADJ!$E:$E,$C36)</f>
        <v>256.25</v>
      </c>
      <c r="V36" s="2">
        <f>SUMIFS('NWC1'!V:V,'NWC1'!$C:$C,$C36)-SUMIFS(ADJ!X:X,ADJ!$E:$E,$C36)</f>
        <v>307.5</v>
      </c>
      <c r="W36" s="2">
        <f>SUMIFS('NWC1'!W:W,'NWC1'!$C:$C,$C36)-SUMIFS(ADJ!Y:Y,ADJ!$E:$E,$C36)</f>
        <v>358.75</v>
      </c>
      <c r="X36" s="2">
        <f>SUMIFS('NWC1'!X:X,'NWC1'!$C:$C,$C36)-SUMIFS(ADJ!Z:Z,ADJ!$E:$E,$C36)</f>
        <v>410</v>
      </c>
      <c r="Y36" s="2">
        <f>SUMIFS('NWC1'!Y:Y,'NWC1'!$C:$C,$C36)-SUMIFS(ADJ!AA:AA,ADJ!$E:$E,$C36)</f>
        <v>461.25</v>
      </c>
      <c r="Z36" s="2">
        <f>SUMIFS('NWC1'!Z:Z,'NWC1'!$C:$C,$C36)-SUMIFS(ADJ!AB:AB,ADJ!$E:$E,$C36)</f>
        <v>0</v>
      </c>
      <c r="AA36" s="2">
        <f>SUMIFS('NWC1'!AA:AA,'NWC1'!$C:$C,$C36)-SUMIFS(ADJ!AC:AC,ADJ!$E:$E,$C36)</f>
        <v>0</v>
      </c>
      <c r="AB36" s="2">
        <f>SUMIFS('NWC1'!AB:AB,'NWC1'!$C:$C,$C36)-SUMIFS(ADJ!AD:AD,ADJ!$E:$E,$C36)</f>
        <v>0</v>
      </c>
      <c r="AC36" s="2">
        <f>SUMIFS('NWC1'!AC:AC,'NWC1'!$C:$C,$C36)-SUMIFS(ADJ!AE:AE,ADJ!$E:$E,$C36)</f>
        <v>0</v>
      </c>
      <c r="AD36" s="2">
        <f>SUMIFS('NWC1'!AD:AD,'NWC1'!$C:$C,$C36)-SUMIFS(ADJ!AF:AF,ADJ!$E:$E,$C36)</f>
        <v>102.5</v>
      </c>
      <c r="AE36" s="2">
        <f>SUMIFS('NWC1'!AE:AE,'NWC1'!$C:$C,$C36)-SUMIFS(ADJ!AG:AG,ADJ!$E:$E,$C36)</f>
        <v>153.75</v>
      </c>
      <c r="AF36" s="2">
        <f>SUMIFS('NWC1'!AF:AF,'NWC1'!$C:$C,$C36)-SUMIFS(ADJ!AH:AH,ADJ!$E:$E,$C36)</f>
        <v>205</v>
      </c>
      <c r="AG36" s="2">
        <f>SUMIFS('NWC1'!AG:AG,'NWC1'!$C:$C,$C36)-SUMIFS(ADJ!AI:AI,ADJ!$E:$E,$C36)</f>
        <v>256.25</v>
      </c>
      <c r="AH36" s="2">
        <f>SUMIFS('NWC1'!AH:AH,'NWC1'!$C:$C,$C36)-SUMIFS(ADJ!AJ:AJ,ADJ!$E:$E,$C36)</f>
        <v>307.5</v>
      </c>
      <c r="AI36" s="2">
        <f>SUMIFS('NWC1'!AI:AI,'NWC1'!$C:$C,$C36)-SUMIFS(ADJ!AK:AK,ADJ!$E:$E,$C36)</f>
        <v>358.75</v>
      </c>
      <c r="AJ36" s="2"/>
      <c r="AK36" s="2">
        <f>P36</f>
        <v>0</v>
      </c>
      <c r="AL36" s="2">
        <f>AB36</f>
        <v>0</v>
      </c>
      <c r="AM36" s="2">
        <f>AI36</f>
        <v>358.75</v>
      </c>
      <c r="AN36" s="2"/>
      <c r="AO36" s="2">
        <f>IFERROR(AVERAGE(AG36:AI36),0)</f>
        <v>307.5</v>
      </c>
      <c r="AP36" s="2">
        <f>IFERROR(AVERAGE(AD36:AI36),0)</f>
        <v>230.625</v>
      </c>
      <c r="AQ36" s="2">
        <f>IFERROR(AVERAGE(AA36:AI36),0)</f>
        <v>153.75</v>
      </c>
      <c r="AR36" s="2">
        <f>IFERROR(AVERAGE(X36:AI36),0)</f>
        <v>187.91666666666666</v>
      </c>
    </row>
    <row r="37" spans="3:44" ht="11.25" customHeight="1" outlineLevel="1" x14ac:dyDescent="0.2">
      <c r="C37" t="s">
        <v>154</v>
      </c>
      <c r="D37" s="4"/>
      <c r="E37" s="2">
        <f>SUMIFS('NWC1'!E:E,'NWC1'!$C:$C,$C37)-SUMIFS(ADJ!G:G,ADJ!$E:$E,$C37)</f>
        <v>103.44607000000001</v>
      </c>
      <c r="F37" s="2">
        <f>SUMIFS('NWC1'!F:F,'NWC1'!$C:$C,$C37)-SUMIFS(ADJ!H:H,ADJ!$E:$E,$C37)</f>
        <v>103.44607000000001</v>
      </c>
      <c r="G37" s="2">
        <f>SUMIFS('NWC1'!G:G,'NWC1'!$C:$C,$C37)-SUMIFS(ADJ!I:I,ADJ!$E:$E,$C37)</f>
        <v>103.44607000000001</v>
      </c>
      <c r="H37" s="2">
        <f>SUMIFS('NWC1'!H:H,'NWC1'!$C:$C,$C37)-SUMIFS(ADJ!J:J,ADJ!$E:$E,$C37)</f>
        <v>103.44607000000001</v>
      </c>
      <c r="I37" s="2">
        <f>SUMIFS('NWC1'!I:I,'NWC1'!$C:$C,$C37)-SUMIFS(ADJ!K:K,ADJ!$E:$E,$C37)</f>
        <v>0</v>
      </c>
      <c r="J37" s="2">
        <f>SUMIFS('NWC1'!J:J,'NWC1'!$C:$C,$C37)-SUMIFS(ADJ!L:L,ADJ!$E:$E,$C37)</f>
        <v>0</v>
      </c>
      <c r="K37" s="2">
        <f>SUMIFS('NWC1'!K:K,'NWC1'!$C:$C,$C37)-SUMIFS(ADJ!M:M,ADJ!$E:$E,$C37)</f>
        <v>0</v>
      </c>
      <c r="L37" s="2">
        <f>SUMIFS('NWC1'!L:L,'NWC1'!$C:$C,$C37)-SUMIFS(ADJ!N:N,ADJ!$E:$E,$C37)</f>
        <v>0</v>
      </c>
      <c r="M37" s="2">
        <f>SUMIFS('NWC1'!M:M,'NWC1'!$C:$C,$C37)-SUMIFS(ADJ!O:O,ADJ!$E:$E,$C37)</f>
        <v>0</v>
      </c>
      <c r="N37" s="2">
        <f>SUMIFS('NWC1'!N:N,'NWC1'!$C:$C,$C37)-SUMIFS(ADJ!P:P,ADJ!$E:$E,$C37)</f>
        <v>0</v>
      </c>
      <c r="O37" s="2">
        <f>SUMIFS('NWC1'!O:O,'NWC1'!$C:$C,$C37)-SUMIFS(ADJ!Q:Q,ADJ!$E:$E,$C37)</f>
        <v>0</v>
      </c>
      <c r="P37" s="2">
        <f>SUMIFS('NWC1'!P:P,'NWC1'!$C:$C,$C37)-SUMIFS(ADJ!R:R,ADJ!$E:$E,$C37)</f>
        <v>91.939139999999995</v>
      </c>
      <c r="Q37" s="2">
        <f>SUMIFS('NWC1'!Q:Q,'NWC1'!$C:$C,$C37)-SUMIFS(ADJ!S:S,ADJ!$E:$E,$C37)</f>
        <v>91.939139999999995</v>
      </c>
      <c r="R37" s="2">
        <f>SUMIFS('NWC1'!R:R,'NWC1'!$C:$C,$C37)-SUMIFS(ADJ!T:T,ADJ!$E:$E,$C37)</f>
        <v>91.939139999999995</v>
      </c>
      <c r="S37" s="2">
        <f>SUMIFS('NWC1'!S:S,'NWC1'!$C:$C,$C37)-SUMIFS(ADJ!U:U,ADJ!$E:$E,$C37)</f>
        <v>91.939139999999995</v>
      </c>
      <c r="T37" s="2">
        <f>SUMIFS('NWC1'!T:T,'NWC1'!$C:$C,$C37)-SUMIFS(ADJ!V:V,ADJ!$E:$E,$C37)</f>
        <v>91.939139999999995</v>
      </c>
      <c r="U37" s="2">
        <f>SUMIFS('NWC1'!U:U,'NWC1'!$C:$C,$C37)-SUMIFS(ADJ!W:W,ADJ!$E:$E,$C37)</f>
        <v>0</v>
      </c>
      <c r="V37" s="2">
        <f>SUMIFS('NWC1'!V:V,'NWC1'!$C:$C,$C37)-SUMIFS(ADJ!X:X,ADJ!$E:$E,$C37)</f>
        <v>0</v>
      </c>
      <c r="W37" s="2">
        <f>SUMIFS('NWC1'!W:W,'NWC1'!$C:$C,$C37)-SUMIFS(ADJ!Y:Y,ADJ!$E:$E,$C37)</f>
        <v>0</v>
      </c>
      <c r="X37" s="2">
        <f>SUMIFS('NWC1'!X:X,'NWC1'!$C:$C,$C37)-SUMIFS(ADJ!Z:Z,ADJ!$E:$E,$C37)</f>
        <v>0</v>
      </c>
      <c r="Y37" s="2">
        <f>SUMIFS('NWC1'!Y:Y,'NWC1'!$C:$C,$C37)-SUMIFS(ADJ!AA:AA,ADJ!$E:$E,$C37)</f>
        <v>0</v>
      </c>
      <c r="Z37" s="2">
        <f>SUMIFS('NWC1'!Z:Z,'NWC1'!$C:$C,$C37)-SUMIFS(ADJ!AB:AB,ADJ!$E:$E,$C37)</f>
        <v>0</v>
      </c>
      <c r="AA37" s="2">
        <f>SUMIFS('NWC1'!AA:AA,'NWC1'!$C:$C,$C37)-SUMIFS(ADJ!AC:AC,ADJ!$E:$E,$C37)</f>
        <v>0</v>
      </c>
      <c r="AB37" s="2">
        <f>SUMIFS('NWC1'!AB:AB,'NWC1'!$C:$C,$C37)-SUMIFS(ADJ!AD:AD,ADJ!$E:$E,$C37)</f>
        <v>87.325890000000001</v>
      </c>
      <c r="AC37" s="2">
        <f>SUMIFS('NWC1'!AC:AC,'NWC1'!$C:$C,$C37)-SUMIFS(ADJ!AE:AE,ADJ!$E:$E,$C37)</f>
        <v>87.325890000000001</v>
      </c>
      <c r="AD37" s="2">
        <f>SUMIFS('NWC1'!AD:AD,'NWC1'!$C:$C,$C37)-SUMIFS(ADJ!AF:AF,ADJ!$E:$E,$C37)</f>
        <v>87.325890000000001</v>
      </c>
      <c r="AE37" s="2">
        <f>SUMIFS('NWC1'!AE:AE,'NWC1'!$C:$C,$C37)-SUMIFS(ADJ!AG:AG,ADJ!$E:$E,$C37)</f>
        <v>87.325890000000001</v>
      </c>
      <c r="AF37" s="2">
        <f>SUMIFS('NWC1'!AF:AF,'NWC1'!$C:$C,$C37)-SUMIFS(ADJ!AH:AH,ADJ!$E:$E,$C37)</f>
        <v>0</v>
      </c>
      <c r="AG37" s="2">
        <f>SUMIFS('NWC1'!AG:AG,'NWC1'!$C:$C,$C37)-SUMIFS(ADJ!AI:AI,ADJ!$E:$E,$C37)</f>
        <v>0</v>
      </c>
      <c r="AH37" s="2">
        <f>SUMIFS('NWC1'!AH:AH,'NWC1'!$C:$C,$C37)-SUMIFS(ADJ!AJ:AJ,ADJ!$E:$E,$C37)</f>
        <v>0</v>
      </c>
      <c r="AI37" s="2">
        <f>SUMIFS('NWC1'!AI:AI,'NWC1'!$C:$C,$C37)-SUMIFS(ADJ!AK:AK,ADJ!$E:$E,$C37)</f>
        <v>0</v>
      </c>
      <c r="AJ37" s="2"/>
      <c r="AK37" s="2">
        <f>P37</f>
        <v>91.939139999999995</v>
      </c>
      <c r="AL37" s="2">
        <f>AB37</f>
        <v>87.325890000000001</v>
      </c>
      <c r="AM37" s="2">
        <f>AI37</f>
        <v>0</v>
      </c>
      <c r="AN37" s="2"/>
      <c r="AO37" s="2">
        <f>IFERROR(AVERAGE(AG37:AI37),0)</f>
        <v>0</v>
      </c>
      <c r="AP37" s="2">
        <f>IFERROR(AVERAGE(AD37:AI37),0)</f>
        <v>29.108630000000002</v>
      </c>
      <c r="AQ37" s="2">
        <f>IFERROR(AVERAGE(AA37:AI37),0)</f>
        <v>38.811506666666666</v>
      </c>
      <c r="AR37" s="2">
        <f>IFERROR(AVERAGE(X37:AI37),0)</f>
        <v>29.108630000000002</v>
      </c>
    </row>
    <row r="38" spans="3:44" ht="11.25" customHeight="1" outlineLevel="1" x14ac:dyDescent="0.2">
      <c r="C38" s="17" t="s">
        <v>153</v>
      </c>
      <c r="D38" s="15"/>
      <c r="E38" s="14">
        <f>SUMIFS('NWC1'!E:E,'NWC1'!$C:$C,$C38)-SUMIFS(ADJ!G:G,ADJ!$E:$E,$C38)</f>
        <v>8.0588800000000003</v>
      </c>
      <c r="F38" s="14">
        <f>SUMIFS('NWC1'!F:F,'NWC1'!$C:$C,$C38)-SUMIFS(ADJ!H:H,ADJ!$E:$E,$C38)</f>
        <v>8.8410200000000003</v>
      </c>
      <c r="G38" s="14">
        <f>SUMIFS('NWC1'!G:G,'NWC1'!$C:$C,$C38)-SUMIFS(ADJ!I:I,ADJ!$E:$E,$C38)</f>
        <v>8.8410200000000003</v>
      </c>
      <c r="H38" s="14">
        <f>SUMIFS('NWC1'!H:H,'NWC1'!$C:$C,$C38)-SUMIFS(ADJ!J:J,ADJ!$E:$E,$C38)</f>
        <v>8.8810200000000012</v>
      </c>
      <c r="I38" s="14">
        <f>SUMIFS('NWC1'!I:I,'NWC1'!$C:$C,$C38)-SUMIFS(ADJ!K:K,ADJ!$E:$E,$C38)</f>
        <v>8.7560200000000012</v>
      </c>
      <c r="J38" s="14">
        <f>SUMIFS('NWC1'!J:J,'NWC1'!$C:$C,$C38)-SUMIFS(ADJ!L:L,ADJ!$E:$E,$C38)</f>
        <v>8.7560200000000012</v>
      </c>
      <c r="K38" s="14">
        <f>SUMIFS('NWC1'!K:K,'NWC1'!$C:$C,$C38)-SUMIFS(ADJ!M:M,ADJ!$E:$E,$C38)</f>
        <v>8.2840799999999994</v>
      </c>
      <c r="L38" s="14">
        <f>SUMIFS('NWC1'!L:L,'NWC1'!$C:$C,$C38)-SUMIFS(ADJ!N:N,ADJ!$E:$E,$C38)</f>
        <v>8.2840799999999994</v>
      </c>
      <c r="M38" s="14">
        <f>SUMIFS('NWC1'!M:M,'NWC1'!$C:$C,$C38)-SUMIFS(ADJ!O:O,ADJ!$E:$E,$C38)</f>
        <v>6.2965799999999996</v>
      </c>
      <c r="N38" s="14">
        <f>SUMIFS('NWC1'!N:N,'NWC1'!$C:$C,$C38)-SUMIFS(ADJ!P:P,ADJ!$E:$E,$C38)</f>
        <v>9.0425799999999992</v>
      </c>
      <c r="O38" s="14">
        <f>SUMIFS('NWC1'!O:O,'NWC1'!$C:$C,$C38)-SUMIFS(ADJ!Q:Q,ADJ!$E:$E,$C38)</f>
        <v>9.0425799999999992</v>
      </c>
      <c r="P38" s="14">
        <f>SUMIFS('NWC1'!P:P,'NWC1'!$C:$C,$C38)-SUMIFS(ADJ!R:R,ADJ!$E:$E,$C38)</f>
        <v>34.044519999999999</v>
      </c>
      <c r="Q38" s="14">
        <f>SUMIFS('NWC1'!Q:Q,'NWC1'!$C:$C,$C38)-SUMIFS(ADJ!S:S,ADJ!$E:$E,$C38)</f>
        <v>9.0425799999999992</v>
      </c>
      <c r="R38" s="14">
        <f>SUMIFS('NWC1'!R:R,'NWC1'!$C:$C,$C38)-SUMIFS(ADJ!T:T,ADJ!$E:$E,$C38)</f>
        <v>9.2625799999999998</v>
      </c>
      <c r="S38" s="14">
        <f>SUMIFS('NWC1'!S:S,'NWC1'!$C:$C,$C38)-SUMIFS(ADJ!U:U,ADJ!$E:$E,$C38)</f>
        <v>9.2625799999999998</v>
      </c>
      <c r="T38" s="14">
        <f>SUMIFS('NWC1'!T:T,'NWC1'!$C:$C,$C38)-SUMIFS(ADJ!V:V,ADJ!$E:$E,$C38)</f>
        <v>9.2701100000000007</v>
      </c>
      <c r="U38" s="14">
        <f>SUMIFS('NWC1'!U:U,'NWC1'!$C:$C,$C38)-SUMIFS(ADJ!W:W,ADJ!$E:$E,$C38)</f>
        <v>9.2701100000000007</v>
      </c>
      <c r="V38" s="14">
        <f>SUMIFS('NWC1'!V:V,'NWC1'!$C:$C,$C38)-SUMIFS(ADJ!X:X,ADJ!$E:$E,$C38)</f>
        <v>9.2625799999999998</v>
      </c>
      <c r="W38" s="14">
        <f>SUMIFS('NWC1'!W:W,'NWC1'!$C:$C,$C38)-SUMIFS(ADJ!Y:Y,ADJ!$E:$E,$C38)</f>
        <v>9.2701100000000007</v>
      </c>
      <c r="X38" s="14">
        <f>SUMIFS('NWC1'!X:X,'NWC1'!$C:$C,$C38)-SUMIFS(ADJ!Z:Z,ADJ!$E:$E,$C38)</f>
        <v>9.2701100000000007</v>
      </c>
      <c r="Y38" s="14">
        <f>SUMIFS('NWC1'!Y:Y,'NWC1'!$C:$C,$C38)-SUMIFS(ADJ!AA:AA,ADJ!$E:$E,$C38)</f>
        <v>9.2701100000000007</v>
      </c>
      <c r="Z38" s="14">
        <f>SUMIFS('NWC1'!Z:Z,'NWC1'!$C:$C,$C38)-SUMIFS(ADJ!AB:AB,ADJ!$E:$E,$C38)</f>
        <v>9.3978400000000004</v>
      </c>
      <c r="AA38" s="14">
        <f>SUMIFS('NWC1'!AA:AA,'NWC1'!$C:$C,$C38)-SUMIFS(ADJ!AC:AC,ADJ!$E:$E,$C38)</f>
        <v>7.6471599999999995</v>
      </c>
      <c r="AB38" s="14">
        <f>SUMIFS('NWC1'!AB:AB,'NWC1'!$C:$C,$C38)-SUMIFS(ADJ!AD:AD,ADJ!$E:$E,$C38)</f>
        <v>7.9801599999999997</v>
      </c>
      <c r="AC38" s="14">
        <f>SUMIFS('NWC1'!AC:AC,'NWC1'!$C:$C,$C38)-SUMIFS(ADJ!AE:AE,ADJ!$E:$E,$C38)</f>
        <v>8.0094200000000004</v>
      </c>
      <c r="AD38" s="14">
        <f>SUMIFS('NWC1'!AD:AD,'NWC1'!$C:$C,$C38)-SUMIFS(ADJ!AF:AF,ADJ!$E:$E,$C38)</f>
        <v>8.0094200000000004</v>
      </c>
      <c r="AE38" s="14">
        <f>SUMIFS('NWC1'!AE:AE,'NWC1'!$C:$C,$C38)-SUMIFS(ADJ!AG:AG,ADJ!$E:$E,$C38)</f>
        <v>17.013450000000002</v>
      </c>
      <c r="AF38" s="14">
        <f>SUMIFS('NWC1'!AF:AF,'NWC1'!$C:$C,$C38)-SUMIFS(ADJ!AH:AH,ADJ!$E:$E,$C38)</f>
        <v>8.5094200000000004</v>
      </c>
      <c r="AG38" s="14">
        <f>SUMIFS('NWC1'!AG:AG,'NWC1'!$C:$C,$C38)-SUMIFS(ADJ!AI:AI,ADJ!$E:$E,$C38)</f>
        <v>8.3867199999999986</v>
      </c>
      <c r="AH38" s="14">
        <f>SUMIFS('NWC1'!AH:AH,'NWC1'!$C:$C,$C38)-SUMIFS(ADJ!AJ:AJ,ADJ!$E:$E,$C38)</f>
        <v>8.3867199999999986</v>
      </c>
      <c r="AI38" s="14">
        <f>SUMIFS('NWC1'!AI:AI,'NWC1'!$C:$C,$C38)-SUMIFS(ADJ!AK:AK,ADJ!$E:$E,$C38)</f>
        <v>0</v>
      </c>
      <c r="AJ38" s="14"/>
      <c r="AK38" s="14">
        <f>P38</f>
        <v>34.044519999999999</v>
      </c>
      <c r="AL38" s="14">
        <f>AB38</f>
        <v>7.9801599999999997</v>
      </c>
      <c r="AM38" s="14">
        <f>AI38</f>
        <v>0</v>
      </c>
      <c r="AN38" s="14"/>
      <c r="AO38" s="14">
        <f>IFERROR(AVERAGE(AG38:AI38),0)</f>
        <v>5.591146666666666</v>
      </c>
      <c r="AP38" s="14">
        <f>IFERROR(AVERAGE(AD38:AI38),0)</f>
        <v>8.3842883333333322</v>
      </c>
      <c r="AQ38" s="14">
        <f>IFERROR(AVERAGE(AA38:AI38),0)</f>
        <v>8.2158300000000004</v>
      </c>
      <c r="AR38" s="14">
        <f>IFERROR(AVERAGE(X38:AI38),0)</f>
        <v>8.4900441666666655</v>
      </c>
    </row>
    <row r="39" spans="3:44" ht="11.25" customHeight="1" x14ac:dyDescent="0.2">
      <c r="C39" t="s">
        <v>152</v>
      </c>
      <c r="D39" s="4"/>
      <c r="E39" s="2">
        <f>SUM(E36:E38)</f>
        <v>160.00495000000001</v>
      </c>
      <c r="F39" s="2">
        <f>SUM(F36:F38)</f>
        <v>209.28709000000003</v>
      </c>
      <c r="G39" s="2">
        <f>SUM(G36:G38)</f>
        <v>257.78709000000003</v>
      </c>
      <c r="H39" s="2">
        <f>SUM(H36:H38)</f>
        <v>306.32709</v>
      </c>
      <c r="I39" s="2">
        <f>SUM(I36:I38)</f>
        <v>251.25602000000001</v>
      </c>
      <c r="J39" s="2">
        <f>SUM(J36:J38)</f>
        <v>299.75601999999998</v>
      </c>
      <c r="K39" s="2">
        <f>SUM(K36:K38)</f>
        <v>347.78408000000002</v>
      </c>
      <c r="L39" s="2">
        <f>SUM(L36:L38)</f>
        <v>396.28408000000002</v>
      </c>
      <c r="M39" s="2">
        <f>SUM(M36:M38)</f>
        <v>442.79658000000001</v>
      </c>
      <c r="N39" s="2">
        <f>SUM(N36:N38)</f>
        <v>494.04257999999999</v>
      </c>
      <c r="O39" s="2">
        <f>SUM(O36:O38)</f>
        <v>542.54258000000004</v>
      </c>
      <c r="P39" s="2">
        <f>SUM(P36:P38)</f>
        <v>125.98365999999999</v>
      </c>
      <c r="Q39" s="2">
        <f>SUM(Q36:Q38)</f>
        <v>152.23172</v>
      </c>
      <c r="R39" s="2">
        <f>SUM(R36:R38)</f>
        <v>203.70172000000002</v>
      </c>
      <c r="S39" s="2">
        <f>SUM(S36:S38)</f>
        <v>254.95172000000002</v>
      </c>
      <c r="T39" s="2">
        <f>SUM(T36:T38)</f>
        <v>306.20925</v>
      </c>
      <c r="U39" s="2">
        <f>SUM(U36:U38)</f>
        <v>265.52010999999999</v>
      </c>
      <c r="V39" s="2">
        <f>SUM(V36:V38)</f>
        <v>316.76258000000001</v>
      </c>
      <c r="W39" s="2">
        <f>SUM(W36:W38)</f>
        <v>368.02010999999999</v>
      </c>
      <c r="X39" s="2">
        <f>SUM(X36:X38)</f>
        <v>419.27010999999999</v>
      </c>
      <c r="Y39" s="2">
        <f>SUM(Y36:Y38)</f>
        <v>470.52010999999999</v>
      </c>
      <c r="Z39" s="2">
        <f>SUM(Z36:Z38)</f>
        <v>9.3978400000000004</v>
      </c>
      <c r="AA39" s="2">
        <f>SUM(AA36:AA38)</f>
        <v>7.6471599999999995</v>
      </c>
      <c r="AB39" s="2">
        <f>SUM(AB36:AB38)</f>
        <v>95.306049999999999</v>
      </c>
      <c r="AC39" s="2">
        <f>SUM(AC36:AC38)</f>
        <v>95.335310000000007</v>
      </c>
      <c r="AD39" s="2">
        <f>SUM(AD36:AD38)</f>
        <v>197.83531000000002</v>
      </c>
      <c r="AE39" s="2">
        <f>SUM(AE36:AE38)</f>
        <v>258.08933999999999</v>
      </c>
      <c r="AF39" s="2">
        <f>SUM(AF36:AF38)</f>
        <v>213.50942000000001</v>
      </c>
      <c r="AG39" s="2">
        <f>SUM(AG36:AG38)</f>
        <v>264.63672000000003</v>
      </c>
      <c r="AH39" s="2">
        <f>SUM(AH36:AH38)</f>
        <v>315.88672000000003</v>
      </c>
      <c r="AI39" s="2">
        <f>SUM(AI36:AI38)</f>
        <v>358.75</v>
      </c>
      <c r="AJ39" s="2"/>
      <c r="AK39" s="2">
        <f>SUM(AK36:AK38)</f>
        <v>125.98365999999999</v>
      </c>
      <c r="AL39" s="2">
        <f>SUM(AL36:AL38)</f>
        <v>95.306049999999999</v>
      </c>
      <c r="AM39" s="2">
        <f>SUM(AM36:AM38)</f>
        <v>358.75</v>
      </c>
      <c r="AN39" s="2"/>
      <c r="AO39" s="2">
        <f>SUM(AO36:AO38)</f>
        <v>313.09114666666665</v>
      </c>
      <c r="AP39" s="2">
        <f>SUM(AP36:AP38)</f>
        <v>268.11791833333336</v>
      </c>
      <c r="AQ39" s="2">
        <f>SUM(AQ36:AQ38)</f>
        <v>200.77733666666668</v>
      </c>
      <c r="AR39" s="2">
        <f>SUM(AR36:AR38)</f>
        <v>225.51534083333334</v>
      </c>
    </row>
    <row r="40" spans="3:44" ht="6" customHeight="1" outlineLevel="1" x14ac:dyDescent="0.2">
      <c r="D40" s="4"/>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row>
    <row r="41" spans="3:44" ht="11.25" customHeight="1" outlineLevel="1" x14ac:dyDescent="0.2">
      <c r="C41" s="17" t="s">
        <v>151</v>
      </c>
      <c r="D41" s="15"/>
      <c r="E41" s="14">
        <f>SUMIFS('NWC1'!E:E,'NWC1'!$C:$C,$C41)-SUMIFS(ADJ!G:G,ADJ!$E:$E,$C41)</f>
        <v>4.9988900000000003</v>
      </c>
      <c r="F41" s="14">
        <f>SUMIFS('NWC1'!F:F,'NWC1'!$C:$C,$C41)-SUMIFS(ADJ!H:H,ADJ!$E:$E,$C41)</f>
        <v>11.54903</v>
      </c>
      <c r="G41" s="14">
        <f>SUMIFS('NWC1'!G:G,'NWC1'!$C:$C,$C41)-SUMIFS(ADJ!I:I,ADJ!$E:$E,$C41)</f>
        <v>0.10635</v>
      </c>
      <c r="H41" s="14">
        <f>SUMIFS('NWC1'!H:H,'NWC1'!$C:$C,$C41)-SUMIFS(ADJ!J:J,ADJ!$E:$E,$C41)</f>
        <v>5.72126</v>
      </c>
      <c r="I41" s="14">
        <f>SUMIFS('NWC1'!I:I,'NWC1'!$C:$C,$C41)-SUMIFS(ADJ!K:K,ADJ!$E:$E,$C41)</f>
        <v>1.63473</v>
      </c>
      <c r="J41" s="14">
        <f>SUMIFS('NWC1'!J:J,'NWC1'!$C:$C,$C41)-SUMIFS(ADJ!L:L,ADJ!$E:$E,$C41)</f>
        <v>1.6259700000000001</v>
      </c>
      <c r="K41" s="14">
        <f>SUMIFS('NWC1'!K:K,'NWC1'!$C:$C,$C41)-SUMIFS(ADJ!M:M,ADJ!$E:$E,$C41)</f>
        <v>2.9461200000000001</v>
      </c>
      <c r="L41" s="14">
        <f>SUMIFS('NWC1'!L:L,'NWC1'!$C:$C,$C41)-SUMIFS(ADJ!N:N,ADJ!$E:$E,$C41)</f>
        <v>1.3489899999999999</v>
      </c>
      <c r="M41" s="14">
        <f>SUMIFS('NWC1'!M:M,'NWC1'!$C:$C,$C41)-SUMIFS(ADJ!O:O,ADJ!$E:$E,$C41)</f>
        <v>0.21380000000000002</v>
      </c>
      <c r="N41" s="14">
        <f>SUMIFS('NWC1'!N:N,'NWC1'!$C:$C,$C41)-SUMIFS(ADJ!P:P,ADJ!$E:$E,$C41)</f>
        <v>0.66918</v>
      </c>
      <c r="O41" s="14">
        <f>SUMIFS('NWC1'!O:O,'NWC1'!$C:$C,$C41)-SUMIFS(ADJ!Q:Q,ADJ!$E:$E,$C41)</f>
        <v>5.4251300000000002</v>
      </c>
      <c r="P41" s="14">
        <f>SUMIFS('NWC1'!P:P,'NWC1'!$C:$C,$C41)-SUMIFS(ADJ!R:R,ADJ!$E:$E,$C41)</f>
        <v>5.6001400000000006</v>
      </c>
      <c r="Q41" s="14">
        <f>SUMIFS('NWC1'!Q:Q,'NWC1'!$C:$C,$C41)-SUMIFS(ADJ!S:S,ADJ!$E:$E,$C41)</f>
        <v>4.8886799999999999</v>
      </c>
      <c r="R41" s="14">
        <f>SUMIFS('NWC1'!R:R,'NWC1'!$C:$C,$C41)-SUMIFS(ADJ!T:T,ADJ!$E:$E,$C41)</f>
        <v>1.1119000000000001</v>
      </c>
      <c r="S41" s="14">
        <f>SUMIFS('NWC1'!S:S,'NWC1'!$C:$C,$C41)-SUMIFS(ADJ!U:U,ADJ!$E:$E,$C41)</f>
        <v>5.43933</v>
      </c>
      <c r="T41" s="14">
        <f>SUMIFS('NWC1'!T:T,'NWC1'!$C:$C,$C41)-SUMIFS(ADJ!V:V,ADJ!$E:$E,$C41)</f>
        <v>3.8437899999999998</v>
      </c>
      <c r="U41" s="14">
        <f>SUMIFS('NWC1'!U:U,'NWC1'!$C:$C,$C41)-SUMIFS(ADJ!W:W,ADJ!$E:$E,$C41)</f>
        <v>0.43463999999999997</v>
      </c>
      <c r="V41" s="14">
        <f>SUMIFS('NWC1'!V:V,'NWC1'!$C:$C,$C41)-SUMIFS(ADJ!X:X,ADJ!$E:$E,$C41)</f>
        <v>5.4978899999999999</v>
      </c>
      <c r="W41" s="14">
        <f>SUMIFS('NWC1'!W:W,'NWC1'!$C:$C,$C41)-SUMIFS(ADJ!Y:Y,ADJ!$E:$E,$C41)</f>
        <v>4.1983300000000003</v>
      </c>
      <c r="X41" s="14">
        <f>SUMIFS('NWC1'!X:X,'NWC1'!$C:$C,$C41)-SUMIFS(ADJ!Z:Z,ADJ!$E:$E,$C41)</f>
        <v>4.02806</v>
      </c>
      <c r="Y41" s="14">
        <f>SUMIFS('NWC1'!Y:Y,'NWC1'!$C:$C,$C41)-SUMIFS(ADJ!AA:AA,ADJ!$E:$E,$C41)</f>
        <v>0</v>
      </c>
      <c r="Z41" s="14">
        <f>SUMIFS('NWC1'!Z:Z,'NWC1'!$C:$C,$C41)-SUMIFS(ADJ!AB:AB,ADJ!$E:$E,$C41)</f>
        <v>3.4602199999999996</v>
      </c>
      <c r="AA41" s="14">
        <f>SUMIFS('NWC1'!AA:AA,'NWC1'!$C:$C,$C41)-SUMIFS(ADJ!AC:AC,ADJ!$E:$E,$C41)</f>
        <v>4.3994300000000006</v>
      </c>
      <c r="AB41" s="14">
        <f>SUMIFS('NWC1'!AB:AB,'NWC1'!$C:$C,$C41)-SUMIFS(ADJ!AD:AD,ADJ!$E:$E,$C41)</f>
        <v>3.9042500000000002</v>
      </c>
      <c r="AC41" s="14">
        <f>SUMIFS('NWC1'!AC:AC,'NWC1'!$C:$C,$C41)-SUMIFS(ADJ!AE:AE,ADJ!$E:$E,$C41)</f>
        <v>3.98306</v>
      </c>
      <c r="AD41" s="14">
        <f>SUMIFS('NWC1'!AD:AD,'NWC1'!$C:$C,$C41)-SUMIFS(ADJ!AF:AF,ADJ!$E:$E,$C41)</f>
        <v>2.3029799999999998</v>
      </c>
      <c r="AE41" s="14">
        <f>SUMIFS('NWC1'!AE:AE,'NWC1'!$C:$C,$C41)-SUMIFS(ADJ!AG:AG,ADJ!$E:$E,$C41)</f>
        <v>3.4098800000000002</v>
      </c>
      <c r="AF41" s="14">
        <f>SUMIFS('NWC1'!AF:AF,'NWC1'!$C:$C,$C41)-SUMIFS(ADJ!AH:AH,ADJ!$E:$E,$C41)</f>
        <v>5.76356</v>
      </c>
      <c r="AG41" s="14">
        <f>SUMIFS('NWC1'!AG:AG,'NWC1'!$C:$C,$C41)-SUMIFS(ADJ!AI:AI,ADJ!$E:$E,$C41)</f>
        <v>3.0628200000000003</v>
      </c>
      <c r="AH41" s="14">
        <f>SUMIFS('NWC1'!AH:AH,'NWC1'!$C:$C,$C41)-SUMIFS(ADJ!AJ:AJ,ADJ!$E:$E,$C41)</f>
        <v>3.1991900000000002</v>
      </c>
      <c r="AI41" s="14">
        <f>SUMIFS('NWC1'!AI:AI,'NWC1'!$C:$C,$C41)-SUMIFS(ADJ!AK:AK,ADJ!$E:$E,$C41)</f>
        <v>4.8542200000000006</v>
      </c>
      <c r="AJ41" s="14"/>
      <c r="AK41" s="14">
        <f>P41</f>
        <v>5.6001400000000006</v>
      </c>
      <c r="AL41" s="14">
        <f>AB41</f>
        <v>3.9042500000000002</v>
      </c>
      <c r="AM41" s="14">
        <f>AI41</f>
        <v>4.8542200000000006</v>
      </c>
      <c r="AN41" s="14"/>
      <c r="AO41" s="14">
        <f>IFERROR(AVERAGE(AG41:AI41),0)</f>
        <v>3.7054100000000005</v>
      </c>
      <c r="AP41" s="14">
        <f>IFERROR(AVERAGE(AD41:AI41),0)</f>
        <v>3.7654416666666672</v>
      </c>
      <c r="AQ41" s="14">
        <f>IFERROR(AVERAGE(AA41:AI41),0)</f>
        <v>3.8754877777777779</v>
      </c>
      <c r="AR41" s="14">
        <f>IFERROR(AVERAGE(X41:AI41),0)</f>
        <v>3.5306391666666666</v>
      </c>
    </row>
    <row r="42" spans="3:44" ht="11.25" customHeight="1" x14ac:dyDescent="0.2">
      <c r="C42" t="s">
        <v>150</v>
      </c>
      <c r="D42" s="4"/>
      <c r="E42" s="2">
        <f>SUM(E41:E41)</f>
        <v>4.9988900000000003</v>
      </c>
      <c r="F42" s="2">
        <f>SUM(F41:F41)</f>
        <v>11.54903</v>
      </c>
      <c r="G42" s="2">
        <f>SUM(G41:G41)</f>
        <v>0.10635</v>
      </c>
      <c r="H42" s="2">
        <f>SUM(H41:H41)</f>
        <v>5.72126</v>
      </c>
      <c r="I42" s="2">
        <f>SUM(I41:I41)</f>
        <v>1.63473</v>
      </c>
      <c r="J42" s="2">
        <f>SUM(J41:J41)</f>
        <v>1.6259700000000001</v>
      </c>
      <c r="K42" s="2">
        <f>SUM(K41:K41)</f>
        <v>2.9461200000000001</v>
      </c>
      <c r="L42" s="2">
        <f>SUM(L41:L41)</f>
        <v>1.3489899999999999</v>
      </c>
      <c r="M42" s="2">
        <f>SUM(M41:M41)</f>
        <v>0.21380000000000002</v>
      </c>
      <c r="N42" s="2">
        <f>SUM(N41:N41)</f>
        <v>0.66918</v>
      </c>
      <c r="O42" s="2">
        <f>SUM(O41:O41)</f>
        <v>5.4251300000000002</v>
      </c>
      <c r="P42" s="2">
        <f>SUM(P41:P41)</f>
        <v>5.6001400000000006</v>
      </c>
      <c r="Q42" s="2">
        <f>SUM(Q41:Q41)</f>
        <v>4.8886799999999999</v>
      </c>
      <c r="R42" s="2">
        <f>SUM(R41:R41)</f>
        <v>1.1119000000000001</v>
      </c>
      <c r="S42" s="2">
        <f>SUM(S41:S41)</f>
        <v>5.43933</v>
      </c>
      <c r="T42" s="2">
        <f>SUM(T41:T41)</f>
        <v>3.8437899999999998</v>
      </c>
      <c r="U42" s="2">
        <f>SUM(U41:U41)</f>
        <v>0.43463999999999997</v>
      </c>
      <c r="V42" s="2">
        <f>SUM(V41:V41)</f>
        <v>5.4978899999999999</v>
      </c>
      <c r="W42" s="2">
        <f>SUM(W41:W41)</f>
        <v>4.1983300000000003</v>
      </c>
      <c r="X42" s="2">
        <f>SUM(X41:X41)</f>
        <v>4.02806</v>
      </c>
      <c r="Y42" s="2">
        <f>SUM(Y41:Y41)</f>
        <v>0</v>
      </c>
      <c r="Z42" s="2">
        <f>SUM(Z41:Z41)</f>
        <v>3.4602199999999996</v>
      </c>
      <c r="AA42" s="2">
        <f>SUM(AA41:AA41)</f>
        <v>4.3994300000000006</v>
      </c>
      <c r="AB42" s="2">
        <f>SUM(AB41:AB41)</f>
        <v>3.9042500000000002</v>
      </c>
      <c r="AC42" s="2">
        <f>SUM(AC41:AC41)</f>
        <v>3.98306</v>
      </c>
      <c r="AD42" s="2">
        <f>SUM(AD41:AD41)</f>
        <v>2.3029799999999998</v>
      </c>
      <c r="AE42" s="2">
        <f>SUM(AE41:AE41)</f>
        <v>3.4098800000000002</v>
      </c>
      <c r="AF42" s="2">
        <f>SUM(AF41:AF41)</f>
        <v>5.76356</v>
      </c>
      <c r="AG42" s="2">
        <f>SUM(AG41:AG41)</f>
        <v>3.0628200000000003</v>
      </c>
      <c r="AH42" s="2">
        <f>SUM(AH41:AH41)</f>
        <v>3.1991900000000002</v>
      </c>
      <c r="AI42" s="2">
        <f>SUM(AI41:AI41)</f>
        <v>4.8542200000000006</v>
      </c>
      <c r="AJ42" s="2"/>
      <c r="AK42" s="2">
        <f>SUM(AK41:AK41)</f>
        <v>5.6001400000000006</v>
      </c>
      <c r="AL42" s="2">
        <f>SUM(AL41:AL41)</f>
        <v>3.9042500000000002</v>
      </c>
      <c r="AM42" s="2">
        <f>SUM(AM41:AM41)</f>
        <v>4.8542200000000006</v>
      </c>
      <c r="AN42" s="2"/>
      <c r="AO42" s="2">
        <f>SUM(AO41:AO41)</f>
        <v>3.7054100000000005</v>
      </c>
      <c r="AP42" s="2">
        <f>SUM(AP41:AP41)</f>
        <v>3.7654416666666672</v>
      </c>
      <c r="AQ42" s="2">
        <f>SUM(AQ41:AQ41)</f>
        <v>3.8754877777777779</v>
      </c>
      <c r="AR42" s="2">
        <f>SUM(AR41:AR41)</f>
        <v>3.5306391666666666</v>
      </c>
    </row>
    <row r="43" spans="3:44" ht="11.25" customHeight="1" x14ac:dyDescent="0.25">
      <c r="C43" s="43" t="s">
        <v>149</v>
      </c>
      <c r="D43" s="56"/>
      <c r="E43" s="42">
        <f>E25+E31+E34+E42+E39</f>
        <v>1449.09602</v>
      </c>
      <c r="F43" s="42">
        <f>F25+F31+F34+F42+F39</f>
        <v>1527.2330399999998</v>
      </c>
      <c r="G43" s="42">
        <f>G25+G31+G34+G42+G39</f>
        <v>1615.99803</v>
      </c>
      <c r="H43" s="42">
        <f>H25+H31+H34+H42+H39</f>
        <v>1559.42353</v>
      </c>
      <c r="I43" s="42">
        <f>I25+I31+I34+I42+I39</f>
        <v>1550.2368299999998</v>
      </c>
      <c r="J43" s="42">
        <f>J25+J31+J34+J42+J39</f>
        <v>1604.0057199999999</v>
      </c>
      <c r="K43" s="42">
        <f>K25+K31+K34+K42+K39</f>
        <v>1719.67443</v>
      </c>
      <c r="L43" s="42">
        <f>L25+L31+L34+L42+L39</f>
        <v>1691.65897</v>
      </c>
      <c r="M43" s="42">
        <f>M25+M31+M34+M42+M39</f>
        <v>1538.5094199999999</v>
      </c>
      <c r="N43" s="42">
        <f>N25+N31+N34+N42+N39</f>
        <v>1625.1228800000001</v>
      </c>
      <c r="O43" s="42">
        <f>O25+O31+O34+O42+O39</f>
        <v>1889.50245</v>
      </c>
      <c r="P43" s="42">
        <f>P25+P31+P34+P42+P39</f>
        <v>1245.3871800000002</v>
      </c>
      <c r="Q43" s="42">
        <f>Q25+Q31+Q34+Q42+Q39</f>
        <v>1328.51061</v>
      </c>
      <c r="R43" s="42">
        <f>R25+R31+R34+R42+R39</f>
        <v>1324.2310900000002</v>
      </c>
      <c r="S43" s="42">
        <f>S25+S31+S34+S42+S39</f>
        <v>1358.1352899999999</v>
      </c>
      <c r="T43" s="42">
        <f>T25+T31+T34+T42+T39</f>
        <v>1322.16176</v>
      </c>
      <c r="U43" s="42">
        <f>U25+U31+U34+U42+U39</f>
        <v>1399.5944999999999</v>
      </c>
      <c r="V43" s="42">
        <f>V25+V31+V34+V42+V39</f>
        <v>1375.3744400000003</v>
      </c>
      <c r="W43" s="42">
        <f>W25+W31+W34+W42+W39</f>
        <v>1440.63051</v>
      </c>
      <c r="X43" s="42">
        <f>X25+X31+X34+X42+X39</f>
        <v>1542.6405500000001</v>
      </c>
      <c r="Y43" s="42">
        <f>Y25+Y31+Y34+Y42+Y39</f>
        <v>1539.61178</v>
      </c>
      <c r="Z43" s="42">
        <f>Z25+Z31+Z34+Z42+Z39</f>
        <v>1185.71164</v>
      </c>
      <c r="AA43" s="42">
        <f>AA25+AA31+AA34+AA42+AA39</f>
        <v>1057.1979899999999</v>
      </c>
      <c r="AB43" s="42">
        <f>AB25+AB31+AB34+AB42+AB39</f>
        <v>1174.25425</v>
      </c>
      <c r="AC43" s="42">
        <f>AC25+AC31+AC34+AC42+AC39</f>
        <v>1219.6444799999999</v>
      </c>
      <c r="AD43" s="42">
        <f>AD25+AD31+AD34+AD42+AD39</f>
        <v>1353.3332499999999</v>
      </c>
      <c r="AE43" s="42">
        <f>AE25+AE31+AE34+AE42+AE39</f>
        <v>1433.7202699999998</v>
      </c>
      <c r="AF43" s="42">
        <f>AF25+AF31+AF34+AF42+AF39</f>
        <v>1143.8601100000001</v>
      </c>
      <c r="AG43" s="42">
        <f>AG25+AG31+AG34+AG42+AG39</f>
        <v>1289.4297899999999</v>
      </c>
      <c r="AH43" s="42">
        <f>AH25+AH31+AH34+AH42+AH39</f>
        <v>1292.4159099999999</v>
      </c>
      <c r="AI43" s="42">
        <f>AI25+AI31+AI34+AI42+AI39</f>
        <v>1285.7402099999999</v>
      </c>
      <c r="AJ43" s="42"/>
      <c r="AK43" s="42">
        <f>AK25+AK31+AK34+AK42+AK39</f>
        <v>1245.3871800000002</v>
      </c>
      <c r="AL43" s="42">
        <f>AL25+AL31+AL34+AL42+AL39</f>
        <v>1174.25425</v>
      </c>
      <c r="AM43" s="42">
        <f>AM25+AM31+AM34+AM42+AM39</f>
        <v>1285.7402099999999</v>
      </c>
      <c r="AN43" s="42"/>
      <c r="AO43" s="42">
        <f>AO25+AO31+AO34+AO42+AO39</f>
        <v>1289.1953033333332</v>
      </c>
      <c r="AP43" s="42">
        <f>AP25+AP31+AP34+AP42+AP39</f>
        <v>1299.7499233333331</v>
      </c>
      <c r="AQ43" s="42">
        <f>AQ25+AQ31+AQ34+AQ42+AQ39</f>
        <v>1249.9551400000003</v>
      </c>
      <c r="AR43" s="42">
        <f>AR25+AR31+AR34+AR42+AR39</f>
        <v>1293.1300191666667</v>
      </c>
    </row>
    <row r="44" spans="3:44" ht="12" customHeight="1" thickBot="1" x14ac:dyDescent="0.3">
      <c r="C44" s="40" t="s">
        <v>138</v>
      </c>
      <c r="D44" s="49"/>
      <c r="E44" s="39">
        <f>E22-E43</f>
        <v>-1150.6342199999999</v>
      </c>
      <c r="F44" s="39">
        <f>F22-F43</f>
        <v>-1178.9677399999998</v>
      </c>
      <c r="G44" s="39">
        <f>G22-G43</f>
        <v>-849.39522999999997</v>
      </c>
      <c r="H44" s="39">
        <f>H22-H43</f>
        <v>-1030.04321</v>
      </c>
      <c r="I44" s="39">
        <f>I22-I43</f>
        <v>-1090.48551</v>
      </c>
      <c r="J44" s="39">
        <f>J22-J43</f>
        <v>-965.62639999999988</v>
      </c>
      <c r="K44" s="39">
        <f>K22-K43</f>
        <v>-967.74690999999996</v>
      </c>
      <c r="L44" s="39">
        <f>L22-L43</f>
        <v>-319.88094999999998</v>
      </c>
      <c r="M44" s="39">
        <f>M22-M43</f>
        <v>-631.62839999999983</v>
      </c>
      <c r="N44" s="39">
        <f>N22-N43</f>
        <v>-1258.2108600000001</v>
      </c>
      <c r="O44" s="39">
        <f>O22-O43</f>
        <v>-1522.4294299999999</v>
      </c>
      <c r="P44" s="39">
        <f>P22-P43</f>
        <v>-613.15866000000017</v>
      </c>
      <c r="Q44" s="39">
        <f>Q22-Q43</f>
        <v>-786.01159000000007</v>
      </c>
      <c r="R44" s="39">
        <f>R22-R43</f>
        <v>-606.79407000000015</v>
      </c>
      <c r="S44" s="39">
        <f>S22-S43</f>
        <v>-889.25576999999998</v>
      </c>
      <c r="T44" s="39">
        <f>T22-T43</f>
        <v>-893.92523999999992</v>
      </c>
      <c r="U44" s="39">
        <f>U22-U43</f>
        <v>-877.92697999999996</v>
      </c>
      <c r="V44" s="39">
        <f>V22-V43</f>
        <v>-824.93392000000028</v>
      </c>
      <c r="W44" s="39">
        <f>W22-W43</f>
        <v>-965.98199</v>
      </c>
      <c r="X44" s="39">
        <f>X22-X43</f>
        <v>-621.81002999999998</v>
      </c>
      <c r="Y44" s="39">
        <f>Y22-Y43</f>
        <v>-431.08425999999986</v>
      </c>
      <c r="Z44" s="39">
        <f>Z22-Z43</f>
        <v>-853.05912000000001</v>
      </c>
      <c r="AA44" s="39">
        <f>AA22-AA43</f>
        <v>-325.30896999999993</v>
      </c>
      <c r="AB44" s="39">
        <f>AB22-AB43</f>
        <v>-572.06272999999999</v>
      </c>
      <c r="AC44" s="39">
        <f>AC22-AC43</f>
        <v>-657.77995999999996</v>
      </c>
      <c r="AD44" s="39">
        <f>AD22-AD43</f>
        <v>-837.04172999999992</v>
      </c>
      <c r="AE44" s="39">
        <f>AE22-AE43</f>
        <v>-433.03864999999985</v>
      </c>
      <c r="AF44" s="39">
        <f>AF22-AF43</f>
        <v>-503.56499000000008</v>
      </c>
      <c r="AG44" s="39">
        <f>AG22-AG43</f>
        <v>-676.22126999999989</v>
      </c>
      <c r="AH44" s="39">
        <f>AH22-AH43</f>
        <v>-451.3043899999999</v>
      </c>
      <c r="AI44" s="39">
        <f>AI22-AI43</f>
        <v>-510.68568999999991</v>
      </c>
      <c r="AJ44" s="39"/>
      <c r="AK44" s="39">
        <f>AK22-AK43</f>
        <v>-613.15866000000017</v>
      </c>
      <c r="AL44" s="39">
        <f>AL22-AL43</f>
        <v>-572.06272999999999</v>
      </c>
      <c r="AM44" s="39">
        <f>AM22-AM43</f>
        <v>-510.68568999999991</v>
      </c>
      <c r="AN44" s="39"/>
      <c r="AO44" s="39">
        <f>AO22-AO43</f>
        <v>-546.07044999999982</v>
      </c>
      <c r="AP44" s="39">
        <f>AP22-AP43</f>
        <v>-568.64278666666632</v>
      </c>
      <c r="AQ44" s="39">
        <f>AQ22-AQ43</f>
        <v>-551.88982000000033</v>
      </c>
      <c r="AR44" s="39">
        <f>AR22-AR43</f>
        <v>-572.74681583333336</v>
      </c>
    </row>
    <row r="45" spans="3:44" ht="11.25" customHeight="1" x14ac:dyDescent="0.2">
      <c r="C45" s="7" t="s">
        <v>137</v>
      </c>
      <c r="D45" s="4"/>
      <c r="E45" s="5">
        <f>IFERROR(E44/E56%,0)</f>
        <v>-595.79148436003254</v>
      </c>
      <c r="F45" s="5">
        <f>IFERROR(F44/F56%,0)</f>
        <v>-189.3709612003781</v>
      </c>
      <c r="G45" s="5">
        <f>IFERROR(G44/G56%,0)</f>
        <v>-62.714436177882888</v>
      </c>
      <c r="H45" s="5">
        <f>IFERROR(H44/H56%,0)</f>
        <v>-57.713892299748906</v>
      </c>
      <c r="I45" s="5">
        <f>IFERROR(I44/I56%,0)</f>
        <v>-45.282755636594516</v>
      </c>
      <c r="J45" s="5">
        <f>IFERROR(J44/J56%,0)</f>
        <v>-33.424237898193503</v>
      </c>
      <c r="K45" s="5">
        <f>IFERROR(K44/K56%,0)</f>
        <v>-27.051165090622042</v>
      </c>
      <c r="L45" s="5">
        <f>IFERROR(L44/L56%,0)</f>
        <v>-6.6024698712121763</v>
      </c>
      <c r="M45" s="5">
        <f>IFERROR(M44/M56%,0)</f>
        <v>-10.318965196133204</v>
      </c>
      <c r="N45" s="5">
        <f>IFERROR(N44/N56%,0)</f>
        <v>-19.783981292962114</v>
      </c>
      <c r="O45" s="5">
        <f>IFERROR(O44/O56%,0)</f>
        <v>-22.030227857668603</v>
      </c>
      <c r="P45" s="5">
        <f>IFERROR(P44/P56%,0)</f>
        <v>-8.0178482640475845</v>
      </c>
      <c r="Q45" s="5">
        <f>IFERROR(Q44/Q56%,0)</f>
        <v>-9.9794032470874239</v>
      </c>
      <c r="R45" s="5">
        <f>IFERROR(R44/R56%,0)</f>
        <v>-7.6110459381408839</v>
      </c>
      <c r="S45" s="5">
        <f>IFERROR(S44/S56%,0)</f>
        <v>-11.682168237343756</v>
      </c>
      <c r="T45" s="5">
        <f>IFERROR(T44/T56%,0)</f>
        <v>-11.819159510530053</v>
      </c>
      <c r="U45" s="5">
        <f>IFERROR(U44/U56%,0)</f>
        <v>-11.74153276472394</v>
      </c>
      <c r="V45" s="5">
        <f>IFERROR(V44/V56%,0)</f>
        <v>-11.218736774854737</v>
      </c>
      <c r="W45" s="5">
        <f>IFERROR(W44/W56%,0)</f>
        <v>-13.740215976610244</v>
      </c>
      <c r="X45" s="5">
        <f>IFERROR(X44/X56%,0)</f>
        <v>-9.0178447768247043</v>
      </c>
      <c r="Y45" s="5">
        <f>IFERROR(Y44/Y56%,0)</f>
        <v>-6.3823461891606312</v>
      </c>
      <c r="Z45" s="5">
        <f>IFERROR(Z44/Z56%,0)</f>
        <v>-12.462018877335376</v>
      </c>
      <c r="AA45" s="5">
        <f>IFERROR(AA44/AA56%,0)</f>
        <v>-4.5803274531252196</v>
      </c>
      <c r="AB45" s="5">
        <f>IFERROR(AB44/AB56%,0)</f>
        <v>-8.4390578219720354</v>
      </c>
      <c r="AC45" s="5">
        <f>IFERROR(AC44/AC56%,0)</f>
        <v>-9.8056394478230597</v>
      </c>
      <c r="AD45" s="5">
        <f>IFERROR(AD44/AD56%,0)</f>
        <v>-12.444612860080303</v>
      </c>
      <c r="AE45" s="5">
        <f>IFERROR(AE44/AE56%,0)</f>
        <v>-6.1065719483601137</v>
      </c>
      <c r="AF45" s="5">
        <f>IFERROR(AF44/AF56%,0)</f>
        <v>-7.0573100395676072</v>
      </c>
      <c r="AG45" s="5">
        <f>IFERROR(AG44/AG56%,0)</f>
        <v>-9.8254011106910593</v>
      </c>
      <c r="AH45" s="5">
        <f>IFERROR(AH44/AH56%,0)</f>
        <v>-6.194266877874151</v>
      </c>
      <c r="AI45" s="5">
        <f>IFERROR(AI44/AI56%,0)</f>
        <v>-6.954335843229412</v>
      </c>
      <c r="AJ45" s="2"/>
      <c r="AK45" s="5">
        <f>P45</f>
        <v>-8.0178482640475845</v>
      </c>
      <c r="AL45" s="5">
        <f>AB45</f>
        <v>-8.4390578219720354</v>
      </c>
      <c r="AM45" s="5">
        <f>AI45</f>
        <v>-6.954335843229412</v>
      </c>
      <c r="AN45" s="2"/>
      <c r="AO45" s="5">
        <f>IFERROR(AVERAGE(AG45:AI45),0)</f>
        <v>-7.6580012772648738</v>
      </c>
      <c r="AP45" s="5">
        <f>IFERROR(AVERAGE(AD45:AI45),0)</f>
        <v>-8.0970831133004406</v>
      </c>
      <c r="AQ45" s="5">
        <f>IFERROR(AVERAGE(AA45:AI45),0)</f>
        <v>-7.934169266969219</v>
      </c>
      <c r="AR45" s="5">
        <f>IFERROR(AVERAGE(X45:AI45),0)</f>
        <v>-8.2724777705036416</v>
      </c>
    </row>
    <row r="46" spans="3:44" ht="6" customHeight="1" x14ac:dyDescent="0.2"/>
    <row r="47" spans="3:44" ht="11.25" customHeight="1" x14ac:dyDescent="0.2">
      <c r="C47" t="s">
        <v>197</v>
      </c>
      <c r="E47" s="2">
        <f>IFERROR((E10/E57)*E$55,0)</f>
        <v>47.848415809286124</v>
      </c>
      <c r="F47" s="2">
        <f>IFERROR((F10/F57)*F$55,0)</f>
        <v>25.113267519475791</v>
      </c>
      <c r="G47" s="2">
        <f>IFERROR((G10/G57)*G$55,0)</f>
        <v>31.410889364115246</v>
      </c>
      <c r="H47" s="2">
        <f>IFERROR((H10/H57)*H$55,0)</f>
        <v>38.10265246134005</v>
      </c>
      <c r="I47" s="2">
        <f>IFERROR((I10/I57)*I$55,0)</f>
        <v>22.840079624143247</v>
      </c>
      <c r="J47" s="2">
        <f>IFERROR((J10/J57)*J$55,0)</f>
        <v>39.803340466816827</v>
      </c>
      <c r="K47" s="2">
        <f>IFERROR((K10/K57)*K$55,0)</f>
        <v>33.841551096056762</v>
      </c>
      <c r="L47" s="2">
        <f>IFERROR((L10/L57)*L$55,0)</f>
        <v>32.462349085667149</v>
      </c>
      <c r="M47" s="2">
        <f>IFERROR((M10/M57)*M$55,0)</f>
        <v>22.142230773811761</v>
      </c>
      <c r="N47" s="2">
        <f>IFERROR((N10/N57)*N$55,0)</f>
        <v>48.254177288370627</v>
      </c>
      <c r="O47" s="2">
        <f>IFERROR((O10/O57)*O$55,0)</f>
        <v>19.5680332536385</v>
      </c>
      <c r="P47" s="2">
        <f>IFERROR((P10/P57)*P$55,0)</f>
        <v>26.796432599557811</v>
      </c>
      <c r="Q47" s="2">
        <f>IFERROR((Q10/Q57)*Q$55,0)</f>
        <v>38.537202282226495</v>
      </c>
      <c r="R47" s="2">
        <f>IFERROR((R10/R57)*R$55,0)</f>
        <v>42.289773613621236</v>
      </c>
      <c r="S47" s="2">
        <f>IFERROR((S10/S57)*S$55,0)</f>
        <v>37.850776091429069</v>
      </c>
      <c r="T47" s="2">
        <f>IFERROR((T10/T57)*T$55,0)</f>
        <v>34.756871767190553</v>
      </c>
      <c r="U47" s="2">
        <f>IFERROR((U10/U57)*U$55,0)</f>
        <v>30.083352104233413</v>
      </c>
      <c r="V47" s="2">
        <f>IFERROR((V10/V57)*V$55,0)</f>
        <v>46.016491829735727</v>
      </c>
      <c r="W47" s="2">
        <f>IFERROR((W10/W57)*W$55,0)</f>
        <v>39.991266745802946</v>
      </c>
      <c r="X47" s="2">
        <f>IFERROR((X10/X57)*X$55,0)</f>
        <v>24.315720035817673</v>
      </c>
      <c r="Y47" s="2">
        <f>IFERROR((Y10/Y57)*Y$55,0)</f>
        <v>30.190730704033491</v>
      </c>
      <c r="Z47" s="2">
        <f>IFERROR((Z10/Z57)*Z$55,0)</f>
        <v>31.000939448054478</v>
      </c>
      <c r="AA47" s="2">
        <f>IFERROR((AA10/AA57)*AA$55,0)</f>
        <v>25.215990514017939</v>
      </c>
      <c r="AB47" s="2">
        <f>IFERROR((AB10/AB57)*AB$55,0)</f>
        <v>44.85414652383573</v>
      </c>
      <c r="AC47" s="2">
        <f>IFERROR((AC10/AC57)*AC$55,0)</f>
        <v>47.591678450407279</v>
      </c>
      <c r="AD47" s="2">
        <f>IFERROR((AD10/AD57)*AD$55,0)</f>
        <v>29.19756368111522</v>
      </c>
      <c r="AE47" s="2">
        <f>IFERROR((AE10/AE57)*AE$55,0)</f>
        <v>40.582567650843075</v>
      </c>
      <c r="AF47" s="2">
        <f>IFERROR((AF10/AF57)*AF$55,0)</f>
        <v>46.320334925419417</v>
      </c>
      <c r="AG47" s="2">
        <f>IFERROR((AG10/AG57)*AG$55,0)</f>
        <v>66.421855096942195</v>
      </c>
      <c r="AH47" s="2">
        <f>IFERROR((AH10/AH57)*AH$55,0)</f>
        <v>33.016468384961982</v>
      </c>
      <c r="AI47" s="2">
        <f>IFERROR((AI10/AI57)*AI$55,0)</f>
        <v>56.461083490080064</v>
      </c>
      <c r="AJ47" s="2"/>
      <c r="AK47" s="2">
        <f>IFERROR((AK10/AK57)*AK$55,0)</f>
        <v>30.397139344324884</v>
      </c>
      <c r="AL47" s="2">
        <f>IFERROR((AL10/AL57)*AL$55,0)</f>
        <v>32.193761778386332</v>
      </c>
      <c r="AM47" s="2">
        <f>IFERROR((AM10/AM57)*AM$55,0)</f>
        <v>38.310312483991616</v>
      </c>
      <c r="AN47" s="2"/>
      <c r="AO47" s="2">
        <f>IFERROR(AVERAGE(AG47:AI47),0)</f>
        <v>51.966468990661411</v>
      </c>
      <c r="AP47" s="2">
        <f>IFERROR(AVERAGE(AD47:AI47),0)</f>
        <v>45.333312204893652</v>
      </c>
      <c r="AQ47" s="2">
        <f>IFERROR(AVERAGE(AA47:AI47),0)</f>
        <v>43.295743190846991</v>
      </c>
      <c r="AR47" s="2">
        <f>IFERROR(AVERAGE(X47:AI47),0)</f>
        <v>39.59742324212737</v>
      </c>
    </row>
    <row r="48" spans="3:44" ht="11.25" customHeight="1" x14ac:dyDescent="0.2">
      <c r="C48" t="s">
        <v>196</v>
      </c>
      <c r="E48" s="2">
        <f>IFERROR(AVERAGE(E18:E18)/E59*E55,0)</f>
        <v>5.664421325559741E-2</v>
      </c>
      <c r="F48" s="2">
        <f>IFERROR(AVERAGE(E18:F18)/F59*F55,0)</f>
        <v>4.8389343517148541E-2</v>
      </c>
      <c r="G48" s="2">
        <f>IFERROR(AVERAGE(F18:G18)/G59*G55,0)</f>
        <v>3.9284019434642076E-2</v>
      </c>
      <c r="H48" s="2">
        <f>IFERROR(AVERAGE(G18:H18)/H59*H55,0)</f>
        <v>6.4679173410835011E-2</v>
      </c>
      <c r="I48" s="2">
        <f>IFERROR(AVERAGE(H18:I18)/I59*I55,0)</f>
        <v>5.3431910645242213E-2</v>
      </c>
      <c r="J48" s="2">
        <f>IFERROR(AVERAGE(I18:J18)/J59*J55,0)</f>
        <v>5.0370580496785389E-2</v>
      </c>
      <c r="K48" s="2">
        <f>IFERROR(AVERAGE(J18:K18)/K59*K55,0)</f>
        <v>3.8466950545284241E-2</v>
      </c>
      <c r="L48" s="2">
        <f>IFERROR(AVERAGE(K18:L18)/L59*L55,0)</f>
        <v>3.2421124645392034E-2</v>
      </c>
      <c r="M48" s="2">
        <f>IFERROR(AVERAGE(L18:M18)/M59*M55,0)</f>
        <v>5.6053216733527478E-2</v>
      </c>
      <c r="N48" s="2">
        <f>IFERROR(AVERAGE(M18:N18)/N59*N55,0)</f>
        <v>5.3827606668540723E-2</v>
      </c>
      <c r="O48" s="2">
        <f>IFERROR(AVERAGE(N18:O18)/O59*O55,0)</f>
        <v>2.6588276209429398E-2</v>
      </c>
      <c r="P48" s="2">
        <f>IFERROR(AVERAGE(O18:P18)/P59*P55,0)</f>
        <v>4.4339610584180525E-2</v>
      </c>
      <c r="Q48" s="2">
        <f>IFERROR(AVERAGE(P18:Q18)/Q59*Q55,0)</f>
        <v>4.6631784396386586E-2</v>
      </c>
      <c r="R48" s="2">
        <f>IFERROR(AVERAGE(Q18:R18)/R59*R55,0)</f>
        <v>6.4396806311760549E-2</v>
      </c>
      <c r="S48" s="2">
        <f>IFERROR(AVERAGE(R18:S18)/S59*S55,0)</f>
        <v>4.669802947703823E-2</v>
      </c>
      <c r="T48" s="2">
        <f>IFERROR(AVERAGE(S18:T18)/T59*T55,0)</f>
        <v>5.6445134000454318E-2</v>
      </c>
      <c r="U48" s="2">
        <f>IFERROR(AVERAGE(T18:U18)/U59*U55,0)</f>
        <v>4.9817318501306454E-2</v>
      </c>
      <c r="V48" s="2">
        <f>IFERROR(AVERAGE(U18:V18)/V59*V55,0)</f>
        <v>0.28412084057327991</v>
      </c>
      <c r="W48" s="2">
        <f>IFERROR(AVERAGE(V18:W18)/W59*W55,0)</f>
        <v>0.38035036056275062</v>
      </c>
      <c r="X48" s="2">
        <f>IFERROR(AVERAGE(W18:X18)/X59*X55,0)</f>
        <v>0.38298361552039195</v>
      </c>
      <c r="Y48" s="2">
        <f>IFERROR(AVERAGE(X18:Y18)/Y59*Y55,0)</f>
        <v>0.40268290498060055</v>
      </c>
      <c r="Z48" s="2">
        <f>IFERROR(AVERAGE(Y18:Z18)/Z59*Z55,0)</f>
        <v>0.30171623763979122</v>
      </c>
      <c r="AA48" s="2">
        <f>IFERROR(AVERAGE(Z18:AA18)/AA59*AA55,0)</f>
        <v>0.63143673393152755</v>
      </c>
      <c r="AB48" s="2">
        <f>IFERROR(AVERAGE(AA18:AB18)/AB59*AB55,0)</f>
        <v>0.35531504619529442</v>
      </c>
      <c r="AC48" s="2">
        <f>IFERROR(AVERAGE(AB18:AC18)/AC59*AC55,0)</f>
        <v>0.57393232012279505</v>
      </c>
      <c r="AD48" s="2">
        <f>IFERROR(AVERAGE(AC18:AD18)/AD59*AD55,0)</f>
        <v>0.64357748591055308</v>
      </c>
      <c r="AE48" s="2">
        <f>IFERROR(AVERAGE(AD18:AE18)/AE59*AE55,0)</f>
        <v>0.44555401664494415</v>
      </c>
      <c r="AF48" s="2">
        <f>IFERROR(AVERAGE(AE18:AF18)/AF59*AF55,0)</f>
        <v>0.7983194124472357</v>
      </c>
      <c r="AG48" s="2">
        <f>IFERROR(AVERAGE(AF18:AG18)/AG59*AG55,0)</f>
        <v>0.56450260829273291</v>
      </c>
      <c r="AH48" s="2">
        <f>IFERROR(AVERAGE(AG18:AH18)/AH59*AH55,0)</f>
        <v>0.52568402301215034</v>
      </c>
      <c r="AI48" s="2">
        <f>IFERROR(AVERAGE(AH18:AI18)/AI59*AI55,0)</f>
        <v>0.55845039924149187</v>
      </c>
      <c r="AJ48" s="2"/>
      <c r="AK48" s="2">
        <f>IFERROR(AVERAGE(AK18:AK18)/AK59*AK55,0)</f>
        <v>4.1783619118264129E-2</v>
      </c>
      <c r="AL48" s="2">
        <f>IFERROR(AVERAGE(AK18:AL18)/AL59*AL55,0)</f>
        <v>0.3058082934330309</v>
      </c>
      <c r="AM48" s="2">
        <f>IFERROR(AVERAGE(AL18:AM18)/AM59*AM55,0)</f>
        <v>0.53766621039778184</v>
      </c>
      <c r="AN48" s="2"/>
      <c r="AO48" s="2">
        <f>IFERROR(AVERAGE(AG48:AI48),0)</f>
        <v>0.54954567684879174</v>
      </c>
      <c r="AP48" s="2">
        <f>IFERROR(AVERAGE(AD48:AI48),0)</f>
        <v>0.58934799092485146</v>
      </c>
      <c r="AQ48" s="2">
        <f>IFERROR(AVERAGE(AA48:AI48),0)</f>
        <v>0.56630800508874723</v>
      </c>
      <c r="AR48" s="2">
        <f>IFERROR(AVERAGE(X48:AI48),0)</f>
        <v>0.51534623366162569</v>
      </c>
    </row>
    <row r="49" spans="3:45" ht="11.25" customHeight="1" x14ac:dyDescent="0.2">
      <c r="C49" t="s">
        <v>195</v>
      </c>
      <c r="E49" s="2">
        <f>IFERROR((E25/E59)*E$55,0)</f>
        <v>15.731246792610364</v>
      </c>
      <c r="F49" s="2">
        <f>IFERROR((F25/F59)*F$55,0)</f>
        <v>16.349467225952527</v>
      </c>
      <c r="G49" s="2">
        <f>IFERROR((G25/G59)*G$55,0)</f>
        <v>18.751136513803893</v>
      </c>
      <c r="H49" s="2">
        <f>IFERROR((H25/H59)*H$55,0)</f>
        <v>10.793710500209688</v>
      </c>
      <c r="I49" s="2">
        <f>IFERROR((I25/I59)*I$55,0)</f>
        <v>14.671002618883982</v>
      </c>
      <c r="J49" s="2">
        <f>IFERROR((J25/J59)*J$55,0)</f>
        <v>14.45842582773766</v>
      </c>
      <c r="K49" s="2">
        <f>IFERROR((K25/K59)*K$55,0)</f>
        <v>18.625684166309128</v>
      </c>
      <c r="L49" s="2">
        <f>IFERROR((L25/L59)*L$55,0)</f>
        <v>11.76405271783514</v>
      </c>
      <c r="M49" s="2">
        <f>IFERROR((M25/M59)*M$55,0)</f>
        <v>-11.228207281575532</v>
      </c>
      <c r="N49" s="2">
        <f>IFERROR((N25/N59)*N$55,0)</f>
        <v>-5.4515308855406071</v>
      </c>
      <c r="O49" s="2">
        <f>IFERROR((O25/O59)*O$55,0)</f>
        <v>13.230875927949064</v>
      </c>
      <c r="P49" s="2">
        <f>IFERROR((P25/P59)*P$55,0)</f>
        <v>0</v>
      </c>
      <c r="Q49" s="2">
        <f>IFERROR((Q25/Q59)*Q$55,0)</f>
        <v>7.617657553135615</v>
      </c>
      <c r="R49" s="2">
        <f>IFERROR((R25/R59)*R$55,0)</f>
        <v>1.0255573197174397</v>
      </c>
      <c r="S49" s="2">
        <f>IFERROR((S25/S59)*S$55,0)</f>
        <v>12.674498537982</v>
      </c>
      <c r="T49" s="2">
        <f>IFERROR((T25/T59)*T$55,0)</f>
        <v>1.6081291050497075</v>
      </c>
      <c r="U49" s="2">
        <f>IFERROR((U25/U59)*U$55,0)</f>
        <v>18.080884632292673</v>
      </c>
      <c r="V49" s="2">
        <f>IFERROR((V25/V59)*V$55,0)</f>
        <v>8.6229463983072314</v>
      </c>
      <c r="W49" s="2">
        <f>IFERROR((W25/W59)*W$55,0)</f>
        <v>15.027227599020183</v>
      </c>
      <c r="X49" s="2">
        <f>IFERROR((X25/X59)*X$55,0)</f>
        <v>21.651519971131645</v>
      </c>
      <c r="Y49" s="2">
        <f>IFERROR((Y25/Y59)*Y$55,0)</f>
        <v>16.001041736639369</v>
      </c>
      <c r="Z49" s="2">
        <f>IFERROR((Z25/Z59)*Z$55,0)</f>
        <v>22.454154235207245</v>
      </c>
      <c r="AA49" s="2">
        <f>IFERROR((AA25/AA59)*AA$55,0)</f>
        <v>16.672404529484922</v>
      </c>
      <c r="AB49" s="2">
        <f>IFERROR((AB25/AB59)*AB$55,0)</f>
        <v>5.4953531483092899</v>
      </c>
      <c r="AC49" s="2">
        <f>IFERROR((AC25/AC59)*AC$55,0)</f>
        <v>14.932390913915148</v>
      </c>
      <c r="AD49" s="2">
        <f>IFERROR((AD25/AD59)*AD$55,0)</f>
        <v>21.673571680816579</v>
      </c>
      <c r="AE49" s="2">
        <f>IFERROR((AE25/AE59)*AE$55,0)</f>
        <v>24.662943911120642</v>
      </c>
      <c r="AF49" s="2">
        <f>IFERROR((AF25/AF59)*AF$55,0)</f>
        <v>10.745057621379102</v>
      </c>
      <c r="AG49" s="2">
        <f>IFERROR((AG25/AG59)*AG$55,0)</f>
        <v>20.376094638551805</v>
      </c>
      <c r="AH49" s="2">
        <f>IFERROR((AH25/AH59)*AH$55,0)</f>
        <v>12.975141706798995</v>
      </c>
      <c r="AI49" s="2">
        <f>IFERROR((AI25/AI59)*AI$55,0)</f>
        <v>12.46061321985318</v>
      </c>
      <c r="AJ49" s="2"/>
      <c r="AK49" s="2">
        <f>IFERROR((AK25/AK59)*AK$55,0)</f>
        <v>0</v>
      </c>
      <c r="AL49" s="2">
        <f>IFERROR((AL25/AL59)*AL$55,0)</f>
        <v>8.7413085891537747</v>
      </c>
      <c r="AM49" s="2">
        <f>IFERROR((AM25/AM59)*AM$55,0)</f>
        <v>11.996858983807114</v>
      </c>
      <c r="AN49" s="2"/>
      <c r="AO49" s="2">
        <f>IFERROR(AVERAGE(AG49:AI49),0)</f>
        <v>15.270616521734659</v>
      </c>
      <c r="AP49" s="2">
        <f>IFERROR(AVERAGE(AD49:AI49),0)</f>
        <v>17.148903796420054</v>
      </c>
      <c r="AQ49" s="2">
        <f>IFERROR(AVERAGE(AA49:AI49),0)</f>
        <v>15.554841263358851</v>
      </c>
      <c r="AR49" s="2">
        <f>IFERROR(AVERAGE(X49:AI49),0)</f>
        <v>16.675023942767325</v>
      </c>
    </row>
    <row r="50" spans="3:45" ht="6" customHeight="1" x14ac:dyDescent="0.2"/>
    <row r="52" spans="3:45" ht="11.25" customHeight="1" x14ac:dyDescent="0.2">
      <c r="C52" t="s">
        <v>194</v>
      </c>
      <c r="E52" s="2">
        <f>+'NWC1'!E73-E44</f>
        <v>0</v>
      </c>
      <c r="F52" s="2">
        <f>+'NWC1'!F73-F44</f>
        <v>0</v>
      </c>
      <c r="G52" s="2">
        <f>+'NWC1'!G73-G44</f>
        <v>0</v>
      </c>
      <c r="H52" s="2">
        <f>+'NWC1'!H73-H44</f>
        <v>0</v>
      </c>
      <c r="I52" s="2">
        <f>+'NWC1'!I73-I44</f>
        <v>0</v>
      </c>
      <c r="J52" s="2">
        <f>+'NWC1'!J73-J44</f>
        <v>0</v>
      </c>
      <c r="K52" s="2">
        <f>+'NWC1'!K73-K44</f>
        <v>0</v>
      </c>
      <c r="L52" s="2">
        <f>+'NWC1'!L73-L44</f>
        <v>0</v>
      </c>
      <c r="M52" s="2">
        <f>+'NWC1'!M73-M44</f>
        <v>0</v>
      </c>
      <c r="N52" s="2">
        <f>+'NWC1'!N73-N44</f>
        <v>0</v>
      </c>
      <c r="O52" s="2">
        <f>+'NWC1'!O73-O44</f>
        <v>0</v>
      </c>
      <c r="P52" s="2">
        <f>+'NWC1'!P73-P44</f>
        <v>0</v>
      </c>
      <c r="Q52" s="2">
        <f>+'NWC1'!Q73-Q44</f>
        <v>0</v>
      </c>
      <c r="R52" s="2">
        <f>+'NWC1'!R73-R44</f>
        <v>0</v>
      </c>
      <c r="S52" s="2">
        <f>+'NWC1'!S73-S44</f>
        <v>0</v>
      </c>
      <c r="T52" s="2">
        <f>+'NWC1'!T73-T44</f>
        <v>0</v>
      </c>
      <c r="U52" s="2">
        <f>+'NWC1'!U73-U44</f>
        <v>0</v>
      </c>
      <c r="V52" s="2">
        <f>+'NWC1'!V73-V44</f>
        <v>0</v>
      </c>
      <c r="W52" s="2">
        <f>+'NWC1'!W73-W44</f>
        <v>0</v>
      </c>
      <c r="X52" s="2">
        <f>+'NWC1'!X73-X44</f>
        <v>0</v>
      </c>
      <c r="Y52" s="2">
        <f>+'NWC1'!Y73-Y44</f>
        <v>0</v>
      </c>
      <c r="Z52" s="2">
        <f>+'NWC1'!Z73-Z44</f>
        <v>0</v>
      </c>
      <c r="AA52" s="2">
        <f>+'NWC1'!AA73-AA44</f>
        <v>0</v>
      </c>
      <c r="AB52" s="2">
        <f>+'NWC1'!AB73-AB44</f>
        <v>0</v>
      </c>
      <c r="AC52" s="2">
        <f>+'NWC1'!AC73-AC44</f>
        <v>0</v>
      </c>
      <c r="AD52" s="2">
        <f>+'NWC1'!AD73-AD44</f>
        <v>0</v>
      </c>
      <c r="AE52" s="2">
        <f>+'NWC1'!AE73-AE44</f>
        <v>0</v>
      </c>
      <c r="AF52" s="2">
        <f>+'NWC1'!AF73-AF44</f>
        <v>0</v>
      </c>
      <c r="AG52" s="2">
        <f>+'NWC1'!AG73-AG44</f>
        <v>0</v>
      </c>
      <c r="AH52" s="2">
        <f>+'NWC1'!AH73-AH44</f>
        <v>0</v>
      </c>
      <c r="AI52" s="2">
        <f>+'NWC1'!AI73-AI44</f>
        <v>0</v>
      </c>
      <c r="AJ52" s="2"/>
      <c r="AK52" s="2">
        <f>+'NWC1'!AK73-AK44</f>
        <v>0</v>
      </c>
      <c r="AL52" s="2">
        <f>+'NWC1'!AL73-AL44</f>
        <v>0</v>
      </c>
      <c r="AM52" s="2">
        <f>+'NWC1'!AM73-AM44</f>
        <v>0</v>
      </c>
      <c r="AN52" s="2"/>
      <c r="AO52" s="2">
        <f>+'NWC1'!AO73-AO44</f>
        <v>0</v>
      </c>
      <c r="AP52" s="2">
        <f>+'NWC1'!AP73-AP44</f>
        <v>0</v>
      </c>
      <c r="AQ52" s="2">
        <f>+'NWC1'!AQ73-AQ44</f>
        <v>0</v>
      </c>
      <c r="AR52" s="2">
        <f>+'NWC1'!AR73-AR44</f>
        <v>0</v>
      </c>
      <c r="AS52" s="2"/>
    </row>
    <row r="55" spans="3:45" ht="11.25" customHeight="1" x14ac:dyDescent="0.2">
      <c r="C55" t="s">
        <v>193</v>
      </c>
      <c r="E55">
        <v>31</v>
      </c>
      <c r="F55">
        <f>F8-E8</f>
        <v>31</v>
      </c>
      <c r="G55">
        <f>G8-F8</f>
        <v>30</v>
      </c>
      <c r="H55">
        <f>H8-G8</f>
        <v>31</v>
      </c>
      <c r="I55">
        <f>I8-H8</f>
        <v>31</v>
      </c>
      <c r="J55">
        <f>J8-I8</f>
        <v>30</v>
      </c>
      <c r="K55">
        <f>K8-J8</f>
        <v>31</v>
      </c>
      <c r="L55">
        <f>L8-K8</f>
        <v>30</v>
      </c>
      <c r="M55">
        <f>M8-L8</f>
        <v>31</v>
      </c>
      <c r="N55">
        <f>N8-M8</f>
        <v>31</v>
      </c>
      <c r="O55">
        <f>O8-N8</f>
        <v>29</v>
      </c>
      <c r="P55">
        <f>P8-O8</f>
        <v>31</v>
      </c>
      <c r="Q55">
        <f>Q8-P8</f>
        <v>30</v>
      </c>
      <c r="R55">
        <f>R8-Q8</f>
        <v>31</v>
      </c>
      <c r="S55">
        <f>S8-R8</f>
        <v>30</v>
      </c>
      <c r="T55">
        <f>T8-S8</f>
        <v>31</v>
      </c>
      <c r="U55">
        <f>U8-T8</f>
        <v>31</v>
      </c>
      <c r="V55">
        <f>V8-U8</f>
        <v>30</v>
      </c>
      <c r="W55">
        <f>W8-V8</f>
        <v>31</v>
      </c>
      <c r="X55">
        <f>X8-W8</f>
        <v>30</v>
      </c>
      <c r="Y55">
        <f>Y8-X8</f>
        <v>31</v>
      </c>
      <c r="Z55">
        <f>Z8-Y8</f>
        <v>31</v>
      </c>
      <c r="AA55">
        <f>AA8-Z8</f>
        <v>28</v>
      </c>
      <c r="AB55">
        <f>AB8-AA8</f>
        <v>31</v>
      </c>
      <c r="AC55">
        <f>AC8-AB8</f>
        <v>30</v>
      </c>
      <c r="AD55">
        <f>AD8-AC8</f>
        <v>31</v>
      </c>
      <c r="AE55">
        <f>AE8-AD8</f>
        <v>30</v>
      </c>
      <c r="AF55">
        <f>AF8-AE8</f>
        <v>31</v>
      </c>
      <c r="AG55">
        <f>AG8-AF8</f>
        <v>31</v>
      </c>
      <c r="AH55">
        <f>AH8-AG8</f>
        <v>30</v>
      </c>
      <c r="AI55">
        <f>AI8-AH8</f>
        <v>31</v>
      </c>
      <c r="AK55">
        <v>365</v>
      </c>
      <c r="AL55">
        <f>AL8-P8</f>
        <v>365</v>
      </c>
      <c r="AM55">
        <f>AM8-W8</f>
        <v>365</v>
      </c>
      <c r="AO55" s="29"/>
      <c r="AP55" s="29"/>
      <c r="AQ55" s="29"/>
      <c r="AR55" s="29"/>
    </row>
    <row r="56" spans="3:45" ht="11.25" customHeight="1" x14ac:dyDescent="0.2">
      <c r="C56" t="s">
        <v>192</v>
      </c>
      <c r="E56" s="2">
        <f>SUM(E57:E57)</f>
        <v>193.12699999999998</v>
      </c>
      <c r="F56" s="2">
        <f>SUM(E57:F57)</f>
        <v>622.57049999999992</v>
      </c>
      <c r="G56" s="2">
        <f>SUM(E57:G57)</f>
        <v>1354.3854999999999</v>
      </c>
      <c r="H56" s="2">
        <f>SUM(E57:H57)</f>
        <v>1784.7404999999999</v>
      </c>
      <c r="I56" s="2">
        <f>SUM(E57:I57)</f>
        <v>2408.1695</v>
      </c>
      <c r="J56" s="2">
        <f>SUM(E57:J57)</f>
        <v>2889.0005000000001</v>
      </c>
      <c r="K56" s="2">
        <f>SUM(E57:K57)</f>
        <v>3577.4684999999999</v>
      </c>
      <c r="L56" s="2">
        <f>SUM(E57:L57)</f>
        <v>4844.8680000000004</v>
      </c>
      <c r="M56" s="2">
        <f>SUM(E57:M57)</f>
        <v>6121.0440000000008</v>
      </c>
      <c r="N56" s="2">
        <f>SUM(E57:N57)</f>
        <v>6359.7455000000009</v>
      </c>
      <c r="O56" s="2">
        <f>SUM(E57:O57)</f>
        <v>6910.6386000000011</v>
      </c>
      <c r="P56" s="2">
        <f>SUM(E57:P57)</f>
        <v>7647.4216000000006</v>
      </c>
      <c r="Q56" s="2">
        <f>SUM(F57:Q57)</f>
        <v>7876.3386</v>
      </c>
      <c r="R56" s="2">
        <f>SUM(G57:R57)</f>
        <v>7972.5451000000003</v>
      </c>
      <c r="S56" s="2">
        <f>SUM(H57:S57)</f>
        <v>7612.0780999999997</v>
      </c>
      <c r="T56" s="2">
        <f>SUM(I57:T57)</f>
        <v>7563.3570999999993</v>
      </c>
      <c r="U56" s="2">
        <f>SUM(J57:U57)</f>
        <v>7477.1070999999993</v>
      </c>
      <c r="V56" s="2">
        <f>SUM(K57:V57)</f>
        <v>7353.1800999999996</v>
      </c>
      <c r="W56" s="2">
        <f>SUM(L57:W57)</f>
        <v>7030.3261000000002</v>
      </c>
      <c r="X56" s="2">
        <f>SUM(M57:X57)</f>
        <v>6895.3285999999989</v>
      </c>
      <c r="Y56" s="2">
        <f>SUM(N57:Y57)</f>
        <v>6754.3227399999996</v>
      </c>
      <c r="Z56" s="2">
        <f>SUM(O57:Z57)</f>
        <v>6845.27225</v>
      </c>
      <c r="AA56" s="2">
        <f>SUM(P57:AA57)</f>
        <v>7102.3081499999998</v>
      </c>
      <c r="AB56" s="2">
        <f>SUM(Q57:AB57)</f>
        <v>6778.7511599999989</v>
      </c>
      <c r="AC56" s="2">
        <f>SUM(R57:AC57)</f>
        <v>6708.180159999999</v>
      </c>
      <c r="AD56" s="2">
        <f>SUM(S57:AD57)</f>
        <v>6726.1371599999993</v>
      </c>
      <c r="AE56" s="2">
        <f>SUM(T57:AE57)</f>
        <v>7091.3542599999992</v>
      </c>
      <c r="AF56" s="2">
        <f>SUM(U57:AF57)</f>
        <v>7135.3672599999991</v>
      </c>
      <c r="AG56" s="2">
        <f>SUM(V57:AG57)</f>
        <v>6882.3782599999986</v>
      </c>
      <c r="AH56" s="2">
        <f>SUM(W57:AH57)</f>
        <v>7285.840259999999</v>
      </c>
      <c r="AI56" s="2">
        <f>SUM(X57:AI57)</f>
        <v>7343.4142599999996</v>
      </c>
      <c r="AJ56" s="2"/>
      <c r="AK56" s="2">
        <f>P56</f>
        <v>7647.4216000000006</v>
      </c>
      <c r="AL56" s="2">
        <f>AB56</f>
        <v>6778.7511599999989</v>
      </c>
      <c r="AM56" s="2">
        <f>AI56</f>
        <v>7343.4142599999996</v>
      </c>
      <c r="AO56" s="29"/>
      <c r="AP56" s="29"/>
      <c r="AQ56" s="29"/>
      <c r="AR56" s="29"/>
    </row>
    <row r="57" spans="3:45" ht="11.25" customHeight="1" x14ac:dyDescent="0.2">
      <c r="C57" t="s">
        <v>191</v>
      </c>
      <c r="E57" s="2">
        <f>+'RPL1'!E10</f>
        <v>193.12699999999998</v>
      </c>
      <c r="F57" s="2">
        <f>+'RPL1'!F10</f>
        <v>429.44349999999997</v>
      </c>
      <c r="G57" s="2">
        <f>+'RPL1'!G10</f>
        <v>731.81500000000005</v>
      </c>
      <c r="H57" s="2">
        <f>+'RPL1'!H10</f>
        <v>430.35500000000002</v>
      </c>
      <c r="I57" s="2">
        <f>+'RPL1'!I10</f>
        <v>623.42899999999997</v>
      </c>
      <c r="J57" s="2">
        <f>+'RPL1'!J10</f>
        <v>480.83100000000002</v>
      </c>
      <c r="K57" s="2">
        <f>+'RPL1'!K10</f>
        <v>688.46799999999996</v>
      </c>
      <c r="L57" s="2">
        <f>+'RPL1'!L10</f>
        <v>1267.3995</v>
      </c>
      <c r="M57" s="2">
        <f>+'RPL1'!M10</f>
        <v>1276.1760000000002</v>
      </c>
      <c r="N57" s="2">
        <f>+'RPL1'!N10</f>
        <v>238.70149999999998</v>
      </c>
      <c r="O57" s="2">
        <f>+'RPL1'!O10</f>
        <v>550.8931</v>
      </c>
      <c r="P57" s="2">
        <f>+'RPL1'!P10</f>
        <v>736.78299999999979</v>
      </c>
      <c r="Q57" s="2">
        <f>+'RPL1'!Q10</f>
        <v>422.04399999999998</v>
      </c>
      <c r="R57" s="2">
        <f>+'RPL1'!R10</f>
        <v>525.65</v>
      </c>
      <c r="S57" s="2">
        <f>+'RPL1'!S10</f>
        <v>371.34799999999996</v>
      </c>
      <c r="T57" s="2">
        <f>+'RPL1'!T10</f>
        <v>381.63400000000001</v>
      </c>
      <c r="U57" s="2">
        <f>+'RPL1'!U10</f>
        <v>537.17899999999997</v>
      </c>
      <c r="V57" s="2">
        <f>+'RPL1'!V10</f>
        <v>356.904</v>
      </c>
      <c r="W57" s="2">
        <f>+'RPL1'!W10</f>
        <v>365.61400000000003</v>
      </c>
      <c r="X57" s="2">
        <f>+'RPL1'!X10</f>
        <v>1132.4019999999998</v>
      </c>
      <c r="Y57" s="2">
        <f>+'RPL1'!Y10</f>
        <v>1135.1701400000002</v>
      </c>
      <c r="Z57" s="2">
        <f>+'RPL1'!Z10</f>
        <v>329.65100999999999</v>
      </c>
      <c r="AA57" s="2">
        <f>+'RPL1'!AA10</f>
        <v>807.92899999999997</v>
      </c>
      <c r="AB57" s="2">
        <f>+'RPL1'!AB10</f>
        <v>413.2260099999998</v>
      </c>
      <c r="AC57" s="2">
        <f>+'RPL1'!AC10</f>
        <v>351.47300000000001</v>
      </c>
      <c r="AD57" s="2">
        <f>+'RPL1'!AD10</f>
        <v>543.60699999999997</v>
      </c>
      <c r="AE57" s="2">
        <f>+'RPL1'!AE10</f>
        <v>736.56510000000014</v>
      </c>
      <c r="AF57" s="2">
        <f>+'RPL1'!AF10</f>
        <v>425.64699999999999</v>
      </c>
      <c r="AG57" s="2">
        <f>+'RPL1'!AG10</f>
        <v>284.19</v>
      </c>
      <c r="AH57" s="2">
        <f>+'RPL1'!AH10</f>
        <v>760.36599999999999</v>
      </c>
      <c r="AI57" s="2">
        <f>+'RPL1'!AI10</f>
        <v>423.18799999999999</v>
      </c>
      <c r="AJ57" s="2"/>
      <c r="AK57" s="2">
        <f>+'RPL1'!AK10</f>
        <v>7647.4216000000006</v>
      </c>
      <c r="AL57" s="2">
        <f>+'RPL1'!AL10</f>
        <v>6778.7511599999989</v>
      </c>
      <c r="AM57" s="2">
        <f>+'RPL1'!AM10</f>
        <v>7343.4142599999996</v>
      </c>
      <c r="AO57" s="2"/>
      <c r="AP57" s="2"/>
      <c r="AQ57" s="2"/>
      <c r="AR57" s="2"/>
    </row>
    <row r="58" spans="3:45" ht="11.25" customHeight="1" x14ac:dyDescent="0.2">
      <c r="C58" t="s">
        <v>190</v>
      </c>
      <c r="E58" s="2">
        <f>'RPL1'!E23</f>
        <v>501.62028000000009</v>
      </c>
      <c r="F58" s="2">
        <f>'RPL1'!F23</f>
        <v>536.03161</v>
      </c>
      <c r="G58" s="2">
        <f>'RPL1'!G23</f>
        <v>567.48325</v>
      </c>
      <c r="H58" s="2">
        <f>'RPL1'!H23</f>
        <v>466.99545000000001</v>
      </c>
      <c r="I58" s="2">
        <f>'RPL1'!I23</f>
        <v>514.5730299999999</v>
      </c>
      <c r="J58" s="2">
        <f>'RPL1'!J23</f>
        <v>518.78140000000008</v>
      </c>
      <c r="K58" s="2">
        <f>'RPL1'!K23</f>
        <v>580.92053999999996</v>
      </c>
      <c r="L58" s="2">
        <f>'RPL1'!L23</f>
        <v>592.93060999999989</v>
      </c>
      <c r="M58" s="2">
        <f>'RPL1'!M23</f>
        <v>460.04145000000005</v>
      </c>
      <c r="N58" s="2">
        <f>'RPL1'!N23</f>
        <v>484.39767999999998</v>
      </c>
      <c r="O58" s="2">
        <f>'RPL1'!O23</f>
        <v>659.81619000000012</v>
      </c>
      <c r="P58" s="2">
        <f>'RPL1'!P23</f>
        <v>621.95644000000004</v>
      </c>
      <c r="Q58" s="2">
        <f>'RPL1'!Q23</f>
        <v>498.70060999999993</v>
      </c>
      <c r="R58" s="2">
        <f>'RPL1'!R23</f>
        <v>441.31925000000001</v>
      </c>
      <c r="S58" s="2">
        <f>'RPL1'!S23</f>
        <v>520.37555000000009</v>
      </c>
      <c r="T58" s="2">
        <f>'RPL1'!T23</f>
        <v>495.55203</v>
      </c>
      <c r="U58" s="2">
        <f>'RPL1'!U23</f>
        <v>522.09445999999991</v>
      </c>
      <c r="V58" s="2">
        <f>'RPL1'!V23</f>
        <v>469.77301</v>
      </c>
      <c r="W58" s="2">
        <f>'RPL1'!W23</f>
        <v>534.29615000000001</v>
      </c>
      <c r="X58" s="2">
        <f>'RPL1'!X23</f>
        <v>525.67834000000005</v>
      </c>
      <c r="Y58" s="2">
        <f>'RPL1'!Y23</f>
        <v>517.73645999999997</v>
      </c>
      <c r="Z58" s="2">
        <f>'RPL1'!Z23</f>
        <v>87.993160000000259</v>
      </c>
      <c r="AA58" s="2">
        <f>'RPL1'!AA23</f>
        <v>406.25329999999985</v>
      </c>
      <c r="AB58" s="2">
        <f>'RPL1'!AB23</f>
        <v>526.93153000000075</v>
      </c>
      <c r="AC58" s="2">
        <f>'RPL1'!AC23</f>
        <v>456.45871999999991</v>
      </c>
      <c r="AD58" s="2">
        <f>'RPL1'!AD23</f>
        <v>539.78719000000001</v>
      </c>
      <c r="AE58" s="2">
        <f>'RPL1'!AE23</f>
        <v>570.38994000000002</v>
      </c>
      <c r="AF58" s="2">
        <f>'RPL1'!AF23</f>
        <v>448.12102999999991</v>
      </c>
      <c r="AG58" s="2">
        <f>'RPL1'!AG23</f>
        <v>516.98306000000002</v>
      </c>
      <c r="AH58" s="2">
        <f>'RPL1'!AH23</f>
        <v>525.17484999999999</v>
      </c>
      <c r="AI58" s="2">
        <f>'RPL1'!AI23</f>
        <v>525.3996199999998</v>
      </c>
      <c r="AJ58" s="2"/>
      <c r="AK58" s="2">
        <f>'RPL1'!AK23</f>
        <v>6505.5479299999997</v>
      </c>
      <c r="AL58" s="2">
        <f>'RPL1'!AL23</f>
        <v>5546.7038500000008</v>
      </c>
      <c r="AM58" s="2">
        <f>'RPL1'!AM23</f>
        <v>5646.9072000000006</v>
      </c>
    </row>
    <row r="59" spans="3:45" ht="11.25" customHeight="1" x14ac:dyDescent="0.2">
      <c r="C59" t="s">
        <v>189</v>
      </c>
      <c r="E59" s="2">
        <f>'RPL1'!E23-'RPL1'!E17</f>
        <v>202.92982000000006</v>
      </c>
      <c r="F59" s="2">
        <f>'RPL1'!F23-'RPL1'!F17</f>
        <v>237.54817000000003</v>
      </c>
      <c r="G59" s="2">
        <f>'RPL1'!G23-'RPL1'!G17</f>
        <v>283.16858000000002</v>
      </c>
      <c r="H59" s="2">
        <f>'RPL1'!H23-'RPL1'!H17</f>
        <v>190.30639000000002</v>
      </c>
      <c r="I59" s="2">
        <f>'RPL1'!I23-'RPL1'!I17</f>
        <v>245.60079999999994</v>
      </c>
      <c r="J59" s="2">
        <f>'RPL1'!J23-'RPL1'!J17</f>
        <v>252.12335999999999</v>
      </c>
      <c r="K59" s="2">
        <f>'RPL1'!K23-'RPL1'!K17</f>
        <v>312.61952999999994</v>
      </c>
      <c r="L59" s="2">
        <f>'RPL1'!L23-'RPL1'!L17</f>
        <v>326.19472999999999</v>
      </c>
      <c r="M59" s="2">
        <f>'RPL1'!M23-'RPL1'!M17</f>
        <v>194.95973000000004</v>
      </c>
      <c r="N59" s="2">
        <f>'RPL1'!N23-'RPL1'!N17</f>
        <v>203.0207299999999</v>
      </c>
      <c r="O59" s="2">
        <f>'RPL1'!O23-'RPL1'!O17</f>
        <v>384.49578000000002</v>
      </c>
      <c r="P59" s="2">
        <f>'RPL1'!P23-'RPL1'!P17</f>
        <v>246.46405000000004</v>
      </c>
      <c r="Q59" s="2">
        <f>'RPL1'!Q23-'RPL1'!Q17</f>
        <v>226.78951999999992</v>
      </c>
      <c r="R59" s="2">
        <f>'RPL1'!R23-'RPL1'!R17</f>
        <v>169.69972000000001</v>
      </c>
      <c r="S59" s="2">
        <f>'RPL1'!S23-'RPL1'!S17</f>
        <v>226.46780000000001</v>
      </c>
      <c r="T59" s="2">
        <f>'RPL1'!T23-'RPL1'!T17</f>
        <v>193.60606000000001</v>
      </c>
      <c r="U59" s="2">
        <f>'RPL1'!U23-'RPL1'!U17</f>
        <v>225.58660999999995</v>
      </c>
      <c r="V59" s="2">
        <f>'RPL1'!V23-'RPL1'!V17</f>
        <v>177.6026</v>
      </c>
      <c r="W59" s="2">
        <f>'RPL1'!W23-'RPL1'!W17</f>
        <v>243.82024999999999</v>
      </c>
      <c r="X59" s="2">
        <f>'RPL1'!X23-'RPL1'!X17</f>
        <v>234.33274000000006</v>
      </c>
      <c r="Y59" s="2">
        <f>'RPL1'!Y23-'RPL1'!Y17</f>
        <v>230.29813000000001</v>
      </c>
      <c r="Z59" s="2">
        <f>'RPL1'!Z23-'RPL1'!Z17</f>
        <v>307.36536000000007</v>
      </c>
      <c r="AA59" s="2">
        <f>'RPL1'!AA23-'RPL1'!AA17</f>
        <v>161.47708000000003</v>
      </c>
      <c r="AB59" s="2">
        <f>'RPL1'!AB23-'RPL1'!AB17</f>
        <v>374.42017000000004</v>
      </c>
      <c r="AC59" s="2">
        <f>'RPL1'!AC23-'RPL1'!AC17</f>
        <v>224.32191999999995</v>
      </c>
      <c r="AD59" s="2">
        <f>'RPL1'!AD23-'RPL1'!AD17</f>
        <v>206.71500000000003</v>
      </c>
      <c r="AE59" s="2">
        <f>'RPL1'!AE23-'RPL1'!AE17</f>
        <v>288.95621000000006</v>
      </c>
      <c r="AF59" s="2">
        <f>'RPL1'!AF23-'RPL1'!AF17</f>
        <v>166.64648</v>
      </c>
      <c r="AG59" s="2">
        <f>'RPL1'!AG23-'RPL1'!AG17</f>
        <v>235.67140000000006</v>
      </c>
      <c r="AH59" s="2">
        <f>'RPL1'!AH23-'RPL1'!AH17</f>
        <v>244.91061999999999</v>
      </c>
      <c r="AI59" s="2">
        <f>'RPL1'!AI23-'RPL1'!AI17</f>
        <v>238.22548999999992</v>
      </c>
      <c r="AK59" s="2">
        <f>'RPL1'!AK23-'RPL1'!AK17</f>
        <v>3079.4316699999995</v>
      </c>
      <c r="AL59" s="2">
        <f>'RPL1'!AL23-'RPL1'!AL17</f>
        <v>2771.4660399999998</v>
      </c>
      <c r="AM59" s="2">
        <f>'RPL1'!AM23-'RPL1'!AM17</f>
        <v>2913.3406</v>
      </c>
    </row>
    <row r="61" spans="3:45" ht="10.5" x14ac:dyDescent="0.25">
      <c r="P61" s="65"/>
      <c r="R61" s="65"/>
      <c r="X61" s="65">
        <f>X8</f>
        <v>45626</v>
      </c>
      <c r="Y61" s="65">
        <f>Y8</f>
        <v>45657</v>
      </c>
      <c r="Z61" s="65">
        <f>Z8</f>
        <v>45688</v>
      </c>
      <c r="AA61" s="65">
        <f>AA8</f>
        <v>45716</v>
      </c>
      <c r="AB61" s="65">
        <f>AB8</f>
        <v>45747</v>
      </c>
      <c r="AC61" s="65">
        <f>AC8</f>
        <v>45777</v>
      </c>
      <c r="AD61" s="65">
        <f>AD8</f>
        <v>45808</v>
      </c>
      <c r="AE61" s="65">
        <f>AE8</f>
        <v>45838</v>
      </c>
      <c r="AF61" s="65">
        <f>AF8</f>
        <v>45869</v>
      </c>
      <c r="AG61" s="65">
        <f>AG8</f>
        <v>45900</v>
      </c>
      <c r="AH61" s="65">
        <f>AH8</f>
        <v>45930</v>
      </c>
      <c r="AI61" s="65">
        <f>AI8</f>
        <v>45961</v>
      </c>
    </row>
    <row r="62" spans="3:45" x14ac:dyDescent="0.2">
      <c r="W62" s="62" t="s">
        <v>175</v>
      </c>
      <c r="X62" s="2">
        <f>X10</f>
        <v>917.83900000000006</v>
      </c>
      <c r="Y62" s="2">
        <f>Y10</f>
        <v>1105.5360000000001</v>
      </c>
      <c r="Z62" s="2">
        <f>Z10</f>
        <v>329.661</v>
      </c>
      <c r="AA62" s="2">
        <f>AA10</f>
        <v>727.59749999999997</v>
      </c>
      <c r="AB62" s="2">
        <f>AB10</f>
        <v>597.9</v>
      </c>
      <c r="AC62" s="2">
        <f>AC10</f>
        <v>557.57299999999998</v>
      </c>
      <c r="AD62" s="2">
        <f>AD10</f>
        <v>512</v>
      </c>
      <c r="AE62" s="2">
        <f>AE10</f>
        <v>996.39009999999996</v>
      </c>
      <c r="AF62" s="2">
        <f>AF10</f>
        <v>636.00360000000001</v>
      </c>
      <c r="AG62" s="2">
        <f>AG10</f>
        <v>608.91700000000003</v>
      </c>
      <c r="AH62" s="2">
        <f>AH10</f>
        <v>836.82</v>
      </c>
      <c r="AI62" s="2">
        <f>AI10</f>
        <v>770.76300000000003</v>
      </c>
    </row>
    <row r="63" spans="3:45" x14ac:dyDescent="0.2">
      <c r="W63" s="62" t="s">
        <v>168</v>
      </c>
      <c r="X63" s="2">
        <f>X18</f>
        <v>2.99152</v>
      </c>
      <c r="Y63" s="2">
        <f>Y18</f>
        <v>2.99152</v>
      </c>
      <c r="Z63" s="2">
        <f>Z18</f>
        <v>2.99152</v>
      </c>
      <c r="AA63" s="2">
        <f>AA18</f>
        <v>4.2915200000000002</v>
      </c>
      <c r="AB63" s="2">
        <f>AB18</f>
        <v>4.2915200000000002</v>
      </c>
      <c r="AC63" s="2">
        <f>AC18</f>
        <v>4.2915200000000002</v>
      </c>
      <c r="AD63" s="2">
        <f>AD18</f>
        <v>4.2915200000000002</v>
      </c>
      <c r="AE63" s="2">
        <f>AE18</f>
        <v>4.2915200000000002</v>
      </c>
      <c r="AF63" s="2">
        <f>AF18</f>
        <v>4.2915200000000002</v>
      </c>
      <c r="AG63" s="2">
        <f>AG18</f>
        <v>4.2915200000000002</v>
      </c>
      <c r="AH63" s="2">
        <f>AH18</f>
        <v>4.2915200000000002</v>
      </c>
      <c r="AI63" s="2">
        <f>AI18</f>
        <v>4.2915200000000002</v>
      </c>
    </row>
    <row r="64" spans="3:45" x14ac:dyDescent="0.2">
      <c r="W64" s="62" t="s">
        <v>188</v>
      </c>
      <c r="X64" s="2">
        <f>X21</f>
        <v>0</v>
      </c>
      <c r="Y64" s="2">
        <f>Y21</f>
        <v>0</v>
      </c>
      <c r="Z64" s="2">
        <f>Z21</f>
        <v>0</v>
      </c>
      <c r="AA64" s="2">
        <f>AA21</f>
        <v>0</v>
      </c>
      <c r="AB64" s="2">
        <f>AB21</f>
        <v>0</v>
      </c>
      <c r="AC64" s="2">
        <f>AC21</f>
        <v>0</v>
      </c>
      <c r="AD64" s="2">
        <f>AD21</f>
        <v>0</v>
      </c>
      <c r="AE64" s="2">
        <f>AE21</f>
        <v>0</v>
      </c>
      <c r="AF64" s="2">
        <f>AF21</f>
        <v>0</v>
      </c>
      <c r="AG64" s="2">
        <f>AG21</f>
        <v>0</v>
      </c>
      <c r="AH64" s="2">
        <f>AH21</f>
        <v>0</v>
      </c>
      <c r="AI64" s="2">
        <f>AI21</f>
        <v>0</v>
      </c>
    </row>
    <row r="65" spans="23:35" x14ac:dyDescent="0.2">
      <c r="W65" s="62" t="s">
        <v>187</v>
      </c>
      <c r="X65" s="2">
        <f>-X25</f>
        <v>-169.12200000000001</v>
      </c>
      <c r="Y65" s="2">
        <f>-Y25</f>
        <v>-118.87128999999999</v>
      </c>
      <c r="Z65" s="2">
        <f>-Z25</f>
        <v>-222.63320000000002</v>
      </c>
      <c r="AA65" s="2">
        <f>-AA25</f>
        <v>-96.150399999999991</v>
      </c>
      <c r="AB65" s="2">
        <f>-AB25</f>
        <v>-66.373259999999988</v>
      </c>
      <c r="AC65" s="2">
        <f>-AC25</f>
        <v>-111.65541999999999</v>
      </c>
      <c r="AD65" s="2">
        <f>-AD25</f>
        <v>-144.52427</v>
      </c>
      <c r="AE65" s="2">
        <f>-AE25</f>
        <v>-237.55035999999998</v>
      </c>
      <c r="AF65" s="2">
        <f>-AF25</f>
        <v>-57.762129999999999</v>
      </c>
      <c r="AG65" s="2">
        <f>-AG25</f>
        <v>-154.90525</v>
      </c>
      <c r="AH65" s="2">
        <f>-AH25</f>
        <v>-105.925</v>
      </c>
      <c r="AI65" s="2">
        <f>-AI25</f>
        <v>-95.755990000000011</v>
      </c>
    </row>
    <row r="66" spans="23:35" x14ac:dyDescent="0.2">
      <c r="W66" s="62" t="s">
        <v>158</v>
      </c>
      <c r="X66" s="2">
        <f>-X31</f>
        <v>-16.874379999999999</v>
      </c>
      <c r="Y66" s="2">
        <f>-Y31</f>
        <v>-16.874379999999999</v>
      </c>
      <c r="Z66" s="2">
        <f>-Z31</f>
        <v>-16.874379999999999</v>
      </c>
      <c r="AA66" s="2">
        <f>-AA31</f>
        <v>-15.654999999999999</v>
      </c>
      <c r="AB66" s="2">
        <f>-AB31</f>
        <v>-83.500690000000006</v>
      </c>
      <c r="AC66" s="2">
        <f>-AC31</f>
        <v>-83.500690000000006</v>
      </c>
      <c r="AD66" s="2">
        <f>-AD31</f>
        <v>-83.500690000000006</v>
      </c>
      <c r="AE66" s="2">
        <f>-AE31</f>
        <v>-83.500690000000006</v>
      </c>
      <c r="AF66" s="2">
        <f>-AF31</f>
        <v>-15.654999999999999</v>
      </c>
      <c r="AG66" s="2">
        <f>-AG31</f>
        <v>-15.654999999999999</v>
      </c>
      <c r="AH66" s="2">
        <f>-AH31</f>
        <v>-16.234999999999999</v>
      </c>
      <c r="AI66" s="2">
        <f>-AI31</f>
        <v>-16.234999999999999</v>
      </c>
    </row>
    <row r="67" spans="23:35" x14ac:dyDescent="0.2">
      <c r="W67" s="62" t="s">
        <v>186</v>
      </c>
      <c r="X67" s="2">
        <f>-X34</f>
        <v>-933.346</v>
      </c>
      <c r="Y67" s="2">
        <f>-Y34</f>
        <v>-933.346</v>
      </c>
      <c r="Z67" s="2">
        <f>-Z34</f>
        <v>-933.346</v>
      </c>
      <c r="AA67" s="2">
        <f>-AA34</f>
        <v>-933.346</v>
      </c>
      <c r="AB67" s="2">
        <f>-AB34</f>
        <v>-925.17</v>
      </c>
      <c r="AC67" s="2">
        <f>-AC34</f>
        <v>-925.17</v>
      </c>
      <c r="AD67" s="2">
        <f>-AD34</f>
        <v>-925.17</v>
      </c>
      <c r="AE67" s="2">
        <f>-AE34</f>
        <v>-851.17</v>
      </c>
      <c r="AF67" s="2">
        <f>-AF34</f>
        <v>-851.17</v>
      </c>
      <c r="AG67" s="2">
        <f>-AG34</f>
        <v>-851.17</v>
      </c>
      <c r="AH67" s="2">
        <f>-AH34</f>
        <v>-851.17</v>
      </c>
      <c r="AI67" s="2">
        <f>-AI34</f>
        <v>-810.14499999999998</v>
      </c>
    </row>
    <row r="68" spans="23:35" x14ac:dyDescent="0.2">
      <c r="W68" s="62" t="s">
        <v>152</v>
      </c>
      <c r="X68" s="2">
        <f>-X39</f>
        <v>-419.27010999999999</v>
      </c>
      <c r="Y68" s="2">
        <f>-Y39</f>
        <v>-470.52010999999999</v>
      </c>
      <c r="Z68" s="2">
        <f>-Z39</f>
        <v>-9.3978400000000004</v>
      </c>
      <c r="AA68" s="2">
        <f>-AA39</f>
        <v>-7.6471599999999995</v>
      </c>
      <c r="AB68" s="2">
        <f>-AB39</f>
        <v>-95.306049999999999</v>
      </c>
      <c r="AC68" s="2">
        <f>-AC39</f>
        <v>-95.335310000000007</v>
      </c>
      <c r="AD68" s="2">
        <f>-AD39</f>
        <v>-197.83531000000002</v>
      </c>
      <c r="AE68" s="2">
        <f>-AE39</f>
        <v>-258.08933999999999</v>
      </c>
      <c r="AF68" s="2">
        <f>-AF39</f>
        <v>-213.50942000000001</v>
      </c>
      <c r="AG68" s="2">
        <f>-AG39</f>
        <v>-264.63672000000003</v>
      </c>
      <c r="AH68" s="2">
        <f>-AH39</f>
        <v>-315.88672000000003</v>
      </c>
      <c r="AI68" s="2">
        <f>-AI39</f>
        <v>-358.75</v>
      </c>
    </row>
    <row r="69" spans="23:35" x14ac:dyDescent="0.2">
      <c r="W69" s="64" t="s">
        <v>150</v>
      </c>
      <c r="X69" s="14">
        <f>-X42</f>
        <v>-4.02806</v>
      </c>
      <c r="Y69" s="14">
        <f>-Y42</f>
        <v>0</v>
      </c>
      <c r="Z69" s="14">
        <f>-Z42</f>
        <v>-3.4602199999999996</v>
      </c>
      <c r="AA69" s="14">
        <f>-AA42</f>
        <v>-4.3994300000000006</v>
      </c>
      <c r="AB69" s="14">
        <f>-AB42</f>
        <v>-3.9042500000000002</v>
      </c>
      <c r="AC69" s="14">
        <f>-AC42</f>
        <v>-3.98306</v>
      </c>
      <c r="AD69" s="14">
        <f>-AD42</f>
        <v>-2.3029799999999998</v>
      </c>
      <c r="AE69" s="14">
        <f>-AE42</f>
        <v>-3.4098800000000002</v>
      </c>
      <c r="AF69" s="14">
        <f>-AF42</f>
        <v>-5.76356</v>
      </c>
      <c r="AG69" s="14">
        <f>-AG42</f>
        <v>-3.0628200000000003</v>
      </c>
      <c r="AH69" s="14">
        <f>-AH42</f>
        <v>-3.1991900000000002</v>
      </c>
      <c r="AI69" s="14">
        <f>-AI42</f>
        <v>-4.8542200000000006</v>
      </c>
    </row>
    <row r="70" spans="23:35" x14ac:dyDescent="0.2">
      <c r="W70" s="63" t="s">
        <v>185</v>
      </c>
      <c r="X70" s="2">
        <f>SUM(X62:X69)</f>
        <v>-621.81002999999976</v>
      </c>
      <c r="Y70" s="2">
        <f>SUM(Y62:Y69)</f>
        <v>-431.08425999999992</v>
      </c>
      <c r="Z70" s="2">
        <f>SUM(Z62:Z69)</f>
        <v>-853.05912000000012</v>
      </c>
      <c r="AA70" s="2">
        <f>SUM(AA62:AA69)</f>
        <v>-325.30896999999999</v>
      </c>
      <c r="AB70" s="2">
        <f>SUM(AB62:AB69)</f>
        <v>-572.06272999999999</v>
      </c>
      <c r="AC70" s="2">
        <f>SUM(AC62:AC69)</f>
        <v>-657.77996000000007</v>
      </c>
      <c r="AD70" s="2">
        <f>SUM(AD62:AD69)</f>
        <v>-837.04173000000014</v>
      </c>
      <c r="AE70" s="2">
        <f>SUM(AE62:AE69)</f>
        <v>-433.0386499999999</v>
      </c>
      <c r="AF70" s="2">
        <f>SUM(AF62:AF69)</f>
        <v>-503.56498999999985</v>
      </c>
      <c r="AG70" s="2">
        <f>SUM(AG62:AG69)</f>
        <v>-676.22126999999989</v>
      </c>
      <c r="AH70" s="2">
        <f>SUM(AH62:AH69)</f>
        <v>-451.3043899999999</v>
      </c>
      <c r="AI70" s="2">
        <f>SUM(AI62:AI69)</f>
        <v>-510.68568999999997</v>
      </c>
    </row>
    <row r="72" spans="23:35" x14ac:dyDescent="0.2">
      <c r="W72" s="62" t="s">
        <v>184</v>
      </c>
      <c r="X72" s="2">
        <f>X44-X70</f>
        <v>0</v>
      </c>
      <c r="Y72" s="2">
        <f>Y44-Y70</f>
        <v>0</v>
      </c>
      <c r="Z72" s="2">
        <f>Z44-Z70</f>
        <v>0</v>
      </c>
      <c r="AA72" s="2">
        <f>AA44-AA70</f>
        <v>0</v>
      </c>
      <c r="AB72" s="2">
        <f>AB44-AB70</f>
        <v>0</v>
      </c>
      <c r="AC72" s="2">
        <f>AC44-AC70</f>
        <v>0</v>
      </c>
      <c r="AD72" s="2">
        <f>AD44-AD70</f>
        <v>0</v>
      </c>
      <c r="AE72" s="2">
        <f>AE44-AE70</f>
        <v>0</v>
      </c>
      <c r="AF72" s="2">
        <f>AF44-AF70</f>
        <v>0</v>
      </c>
      <c r="AG72" s="2">
        <f>AG44-AG70</f>
        <v>0</v>
      </c>
      <c r="AH72" s="2">
        <f>AH44-AH70</f>
        <v>0</v>
      </c>
      <c r="AI72" s="2">
        <f>AI44-AI70</f>
        <v>0</v>
      </c>
    </row>
  </sheetData>
  <pageMargins left="0.7" right="0.7" top="0.75" bottom="0.75" header="0.3" footer="0.3"/>
  <pageSetup scale="39" orientation="landscape" r:id="rId1"/>
  <customProperties>
    <customPr name="OrphanNamesChecked" r:id="rId2"/>
  </customProperties>
  <drawing r:id="rId3"/>
  <extLst>
    <ext xmlns:x14="http://schemas.microsoft.com/office/spreadsheetml/2009/9/main" uri="{78C0D931-6437-407d-A8EE-F0AAD7539E65}">
      <x14:conditionalFormattings>
        <x14:conditionalFormatting xmlns:xm="http://schemas.microsoft.com/office/excel/2006/main">
          <x14:cfRule type="containsText" priority="1" operator="containsText" id="{71DEA8B5-F07E-47F0-A3FA-6619C72328B4}">
            <xm:f>NOT(ISERROR(SEARCH("NO",A1)))</xm:f>
            <xm:f>"NO"</xm:f>
            <x14:dxf>
              <font>
                <b/>
                <i val="0"/>
                <color rgb="FFFF0000"/>
              </font>
            </x14:dxf>
          </x14:cfRule>
          <xm:sqref>A1:A2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C4BCB-3066-4479-B7B7-5908AE714B38}">
  <sheetPr>
    <tabColor rgb="FFFFFF00"/>
    <pageSetUpPr fitToPage="1"/>
  </sheetPr>
  <dimension ref="A1:AN31"/>
  <sheetViews>
    <sheetView showGridLines="0" view="pageBreakPreview" zoomScaleNormal="100" zoomScaleSheetLayoutView="100" workbookViewId="0">
      <pane xSplit="4" ySplit="8" topLeftCell="E22" activePane="bottomRight" state="frozen"/>
      <selection pane="topRight"/>
      <selection pane="bottomLeft"/>
      <selection pane="bottomRight" activeCell="C2" sqref="C2"/>
    </sheetView>
  </sheetViews>
  <sheetFormatPr defaultRowHeight="10" outlineLevelRow="1" outlineLevelCol="1" x14ac:dyDescent="0.2"/>
  <cols>
    <col min="1" max="1" width="7.21875" customWidth="1" outlineLevel="1"/>
    <col min="2" max="2" width="1.77734375" customWidth="1"/>
    <col min="3" max="3" width="32.77734375" customWidth="1"/>
    <col min="4" max="4" width="4.33203125" customWidth="1"/>
    <col min="5" max="35" width="8.109375" bestFit="1" customWidth="1" outlineLevel="1"/>
    <col min="36" max="36" width="1.77734375" customWidth="1" outlineLevel="1"/>
    <col min="37" max="39" width="8.77734375" customWidth="1"/>
    <col min="40" max="40" width="1.77734375" customWidth="1"/>
  </cols>
  <sheetData>
    <row r="1" spans="1:39" ht="10.5" x14ac:dyDescent="0.25">
      <c r="A1" s="38" t="str">
        <f>IF(ROUND(SUM(E29:AN31),1)&lt;&gt;0,"NO","Yes")</f>
        <v>Yes</v>
      </c>
      <c r="C1" t="s">
        <v>451</v>
      </c>
    </row>
    <row r="2" spans="1:39" ht="10.5" x14ac:dyDescent="0.25">
      <c r="A2" s="38" t="str">
        <f>IF(COUNTIF(E29:AN31,"&gt;0.5")+COUNTIF(E29:AN31,"&lt;-0.5")&lt;1,"Yes","No")</f>
        <v>Yes</v>
      </c>
      <c r="C2" t="s">
        <v>450</v>
      </c>
    </row>
    <row r="3" spans="1:39" x14ac:dyDescent="0.2">
      <c r="A3">
        <f>2-COUNTIF(A1:A2,"Yes")</f>
        <v>0</v>
      </c>
      <c r="C3" t="s">
        <v>36</v>
      </c>
    </row>
    <row r="4" spans="1:39" x14ac:dyDescent="0.2">
      <c r="C4" t="s">
        <v>212</v>
      </c>
    </row>
    <row r="7" spans="1:39" ht="13.5" customHeight="1" x14ac:dyDescent="0.55000000000000004">
      <c r="C7" s="34" t="s">
        <v>212</v>
      </c>
      <c r="D7" s="31"/>
      <c r="E7" s="36" t="s">
        <v>32</v>
      </c>
      <c r="F7" s="36"/>
      <c r="G7" s="36"/>
      <c r="H7" s="36"/>
      <c r="I7" s="36"/>
      <c r="J7" s="36"/>
      <c r="K7" s="36"/>
      <c r="L7" s="36"/>
      <c r="M7" s="36"/>
      <c r="N7" s="36"/>
      <c r="O7" s="36"/>
      <c r="P7" s="36"/>
      <c r="Q7" s="36" t="s">
        <v>31</v>
      </c>
      <c r="R7" s="36"/>
      <c r="S7" s="36"/>
      <c r="T7" s="36"/>
      <c r="U7" s="36"/>
      <c r="V7" s="36"/>
      <c r="W7" s="36"/>
      <c r="X7" s="36"/>
      <c r="Y7" s="36"/>
      <c r="Z7" s="36"/>
      <c r="AA7" s="36"/>
      <c r="AB7" s="36"/>
      <c r="AC7" s="36" t="s">
        <v>35</v>
      </c>
      <c r="AD7" s="36"/>
      <c r="AE7" s="36"/>
      <c r="AF7" s="36"/>
      <c r="AG7" s="36"/>
      <c r="AH7" s="36"/>
      <c r="AI7" s="36"/>
      <c r="AJ7" s="31"/>
      <c r="AK7" s="31"/>
      <c r="AL7" s="31"/>
      <c r="AM7" s="31"/>
    </row>
    <row r="8" spans="1:39" ht="10.5" x14ac:dyDescent="0.25">
      <c r="C8" s="34" t="str">
        <f>C3</f>
        <v>($ in 000s)</v>
      </c>
      <c r="D8" s="34" t="s">
        <v>33</v>
      </c>
      <c r="E8" s="32">
        <f>TB!K1</f>
        <v>45046</v>
      </c>
      <c r="F8" s="32">
        <f>TB!L1</f>
        <v>45077</v>
      </c>
      <c r="G8" s="32">
        <f>TB!M1</f>
        <v>45107</v>
      </c>
      <c r="H8" s="32">
        <f>TB!N1</f>
        <v>45138</v>
      </c>
      <c r="I8" s="32">
        <f>TB!O1</f>
        <v>45169</v>
      </c>
      <c r="J8" s="32">
        <f>TB!P1</f>
        <v>45199</v>
      </c>
      <c r="K8" s="32">
        <f>TB!Q1</f>
        <v>45230</v>
      </c>
      <c r="L8" s="32">
        <f>TB!R1</f>
        <v>45260</v>
      </c>
      <c r="M8" s="32">
        <f>TB!S1</f>
        <v>45291</v>
      </c>
      <c r="N8" s="32">
        <f>TB!T1</f>
        <v>45322</v>
      </c>
      <c r="O8" s="32">
        <f>TB!U1</f>
        <v>45351</v>
      </c>
      <c r="P8" s="32">
        <f>TB!V1</f>
        <v>45382</v>
      </c>
      <c r="Q8" s="32">
        <f>TB!W1</f>
        <v>45412</v>
      </c>
      <c r="R8" s="32">
        <f>TB!X1</f>
        <v>45443</v>
      </c>
      <c r="S8" s="32">
        <f>TB!Y1</f>
        <v>45473</v>
      </c>
      <c r="T8" s="32">
        <f>TB!Z1</f>
        <v>45504</v>
      </c>
      <c r="U8" s="32">
        <f>TB!AA1</f>
        <v>45535</v>
      </c>
      <c r="V8" s="32">
        <f>TB!AB1</f>
        <v>45565</v>
      </c>
      <c r="W8" s="32">
        <f>TB!AC1</f>
        <v>45596</v>
      </c>
      <c r="X8" s="32">
        <f>TB!AD1</f>
        <v>45626</v>
      </c>
      <c r="Y8" s="32">
        <f>TB!AE1</f>
        <v>45657</v>
      </c>
      <c r="Z8" s="32">
        <f>TB!AF1</f>
        <v>45688</v>
      </c>
      <c r="AA8" s="32">
        <f>TB!AG1</f>
        <v>45716</v>
      </c>
      <c r="AB8" s="32">
        <f>TB!AH1</f>
        <v>45747</v>
      </c>
      <c r="AC8" s="32">
        <f>TB!AI1</f>
        <v>45777</v>
      </c>
      <c r="AD8" s="32">
        <f>TB!AJ1</f>
        <v>45808</v>
      </c>
      <c r="AE8" s="32">
        <f>TB!AK1</f>
        <v>45838</v>
      </c>
      <c r="AF8" s="32">
        <f>TB!AL1</f>
        <v>45869</v>
      </c>
      <c r="AG8" s="32">
        <f>TB!AM1</f>
        <v>45900</v>
      </c>
      <c r="AH8" s="32">
        <f>TB!AN1</f>
        <v>45930</v>
      </c>
      <c r="AI8" s="32">
        <f>TB!AO1</f>
        <v>45961</v>
      </c>
      <c r="AJ8" s="31"/>
      <c r="AK8" s="32">
        <f>P8</f>
        <v>45382</v>
      </c>
      <c r="AL8" s="32">
        <f>AB8</f>
        <v>45747</v>
      </c>
      <c r="AM8" s="32">
        <f>AI8</f>
        <v>45961</v>
      </c>
    </row>
    <row r="9" spans="1:39" ht="11.25" customHeight="1" outlineLevel="1" x14ac:dyDescent="0.2">
      <c r="C9" s="70" t="s">
        <v>211</v>
      </c>
      <c r="D9" s="28"/>
      <c r="E9" s="26"/>
      <c r="F9" s="26"/>
      <c r="G9" s="26"/>
      <c r="H9" s="26"/>
      <c r="I9" s="26"/>
      <c r="J9" s="26"/>
      <c r="K9" s="26"/>
      <c r="L9" s="26"/>
      <c r="M9" s="26"/>
      <c r="N9" s="26"/>
      <c r="O9" s="26"/>
      <c r="P9" s="26"/>
      <c r="Q9" s="26"/>
      <c r="R9" s="26"/>
      <c r="S9" s="26"/>
      <c r="T9" s="26"/>
      <c r="U9" s="26"/>
      <c r="V9" s="26"/>
      <c r="W9" s="26"/>
      <c r="X9" s="26"/>
      <c r="Y9" s="26"/>
      <c r="Z9" s="26"/>
      <c r="AA9" s="26"/>
      <c r="AB9" s="26"/>
      <c r="AC9" s="26"/>
      <c r="AD9" s="26"/>
      <c r="AE9" s="26"/>
      <c r="AF9" s="26"/>
      <c r="AG9" s="26"/>
      <c r="AH9" s="26"/>
      <c r="AI9" s="26"/>
      <c r="AJ9" s="29"/>
      <c r="AK9" s="29"/>
      <c r="AL9" s="29"/>
      <c r="AM9" s="29"/>
    </row>
    <row r="10" spans="1:39" ht="11.25" customHeight="1" outlineLevel="1" x14ac:dyDescent="0.2">
      <c r="C10" s="70" t="s">
        <v>210</v>
      </c>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row>
    <row r="11" spans="1:39" ht="11.25" customHeight="1" x14ac:dyDescent="0.2">
      <c r="C11" s="69" t="s">
        <v>209</v>
      </c>
      <c r="D11" s="4"/>
      <c r="E11" s="29">
        <v>0</v>
      </c>
      <c r="F11" s="29">
        <v>0</v>
      </c>
      <c r="G11" s="29">
        <v>0</v>
      </c>
      <c r="H11" s="29">
        <v>0</v>
      </c>
      <c r="I11" s="29">
        <v>0</v>
      </c>
      <c r="J11" s="29">
        <v>0</v>
      </c>
      <c r="K11" s="29">
        <v>0</v>
      </c>
      <c r="L11" s="29">
        <v>0</v>
      </c>
      <c r="M11" s="29">
        <v>0</v>
      </c>
      <c r="N11" s="29">
        <v>0</v>
      </c>
      <c r="O11" s="29">
        <v>0</v>
      </c>
      <c r="P11" s="29">
        <v>0</v>
      </c>
      <c r="Q11" s="29">
        <v>0</v>
      </c>
      <c r="R11" s="29">
        <v>0</v>
      </c>
      <c r="S11" s="29">
        <v>0</v>
      </c>
      <c r="T11" s="29">
        <v>0</v>
      </c>
      <c r="U11" s="29">
        <v>0</v>
      </c>
      <c r="V11" s="29">
        <v>0</v>
      </c>
      <c r="W11" s="29">
        <v>0</v>
      </c>
      <c r="X11" s="29">
        <v>0</v>
      </c>
      <c r="Y11" s="29">
        <v>0</v>
      </c>
      <c r="Z11" s="29">
        <v>0</v>
      </c>
      <c r="AA11" s="29">
        <v>0</v>
      </c>
      <c r="AB11" s="29">
        <v>0</v>
      </c>
      <c r="AC11" s="29">
        <v>0</v>
      </c>
      <c r="AD11" s="29">
        <v>0</v>
      </c>
      <c r="AE11" s="29">
        <v>0</v>
      </c>
      <c r="AF11" s="29">
        <v>0</v>
      </c>
      <c r="AG11" s="29">
        <v>0</v>
      </c>
      <c r="AH11" s="29">
        <v>0</v>
      </c>
      <c r="AI11" s="29">
        <v>0</v>
      </c>
      <c r="AJ11" s="29"/>
      <c r="AK11" s="29">
        <f>P11</f>
        <v>0</v>
      </c>
      <c r="AL11" s="29">
        <f>AB11</f>
        <v>0</v>
      </c>
      <c r="AM11" s="29">
        <f>AI11</f>
        <v>0</v>
      </c>
    </row>
    <row r="12" spans="1:39" ht="6" customHeight="1" outlineLevel="1" x14ac:dyDescent="0.2">
      <c r="D12" s="4"/>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29"/>
      <c r="AE12" s="29"/>
      <c r="AF12" s="29"/>
      <c r="AG12" s="29"/>
      <c r="AH12" s="29"/>
      <c r="AI12" s="29"/>
      <c r="AJ12" s="29"/>
      <c r="AK12" s="29"/>
      <c r="AL12" s="29"/>
      <c r="AM12" s="29"/>
    </row>
    <row r="13" spans="1:39" ht="11.25" customHeight="1" outlineLevel="1" x14ac:dyDescent="0.2">
      <c r="C13" s="70" t="s">
        <v>208</v>
      </c>
      <c r="D13" s="4"/>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29"/>
      <c r="AE13" s="29"/>
      <c r="AF13" s="29"/>
      <c r="AG13" s="29"/>
      <c r="AH13" s="29"/>
      <c r="AI13" s="29"/>
      <c r="AJ13" s="29"/>
      <c r="AK13" s="29"/>
      <c r="AL13" s="29"/>
      <c r="AM13" s="29"/>
    </row>
    <row r="14" spans="1:39" ht="11.25" customHeight="1" x14ac:dyDescent="0.2">
      <c r="C14" s="69" t="s">
        <v>207</v>
      </c>
      <c r="D14" s="4"/>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c r="AF14" s="2">
        <v>0</v>
      </c>
      <c r="AG14" s="2">
        <v>0</v>
      </c>
      <c r="AH14" s="2">
        <v>0</v>
      </c>
      <c r="AI14" s="2">
        <v>0</v>
      </c>
      <c r="AJ14" s="2"/>
      <c r="AK14" s="2">
        <f>P14</f>
        <v>0</v>
      </c>
      <c r="AL14" s="2">
        <f>AB14</f>
        <v>0</v>
      </c>
      <c r="AM14" s="2">
        <f>AI14</f>
        <v>0</v>
      </c>
    </row>
    <row r="15" spans="1:39" ht="11.25" customHeight="1" x14ac:dyDescent="0.25">
      <c r="C15" s="53" t="s">
        <v>206</v>
      </c>
      <c r="D15" s="56"/>
      <c r="E15" s="42">
        <f>E11+E14</f>
        <v>0</v>
      </c>
      <c r="F15" s="42">
        <f>F11+F14</f>
        <v>0</v>
      </c>
      <c r="G15" s="42">
        <f>G11+G14</f>
        <v>0</v>
      </c>
      <c r="H15" s="42">
        <f>H11+H14</f>
        <v>0</v>
      </c>
      <c r="I15" s="42">
        <f>I11+I14</f>
        <v>0</v>
      </c>
      <c r="J15" s="42">
        <f>J11+J14</f>
        <v>0</v>
      </c>
      <c r="K15" s="42">
        <f>K11+K14</f>
        <v>0</v>
      </c>
      <c r="L15" s="42">
        <f>L11+L14</f>
        <v>0</v>
      </c>
      <c r="M15" s="42">
        <f>M11+M14</f>
        <v>0</v>
      </c>
      <c r="N15" s="42">
        <f>N11+N14</f>
        <v>0</v>
      </c>
      <c r="O15" s="42">
        <f>O11+O14</f>
        <v>0</v>
      </c>
      <c r="P15" s="42">
        <f>P11+P14</f>
        <v>0</v>
      </c>
      <c r="Q15" s="42">
        <f>Q11+Q14</f>
        <v>0</v>
      </c>
      <c r="R15" s="42">
        <f>R11+R14</f>
        <v>0</v>
      </c>
      <c r="S15" s="42">
        <f>S11+S14</f>
        <v>0</v>
      </c>
      <c r="T15" s="42">
        <f>T11+T14</f>
        <v>0</v>
      </c>
      <c r="U15" s="42">
        <f>U11+U14</f>
        <v>0</v>
      </c>
      <c r="V15" s="42">
        <f>V11+V14</f>
        <v>0</v>
      </c>
      <c r="W15" s="42">
        <f>W11+W14</f>
        <v>0</v>
      </c>
      <c r="X15" s="42">
        <f>X11+X14</f>
        <v>0</v>
      </c>
      <c r="Y15" s="42">
        <f>Y11+Y14</f>
        <v>0</v>
      </c>
      <c r="Z15" s="42">
        <f>Z11+Z14</f>
        <v>0</v>
      </c>
      <c r="AA15" s="42">
        <f>AA11+AA14</f>
        <v>0</v>
      </c>
      <c r="AB15" s="42">
        <f>AB11+AB14</f>
        <v>0</v>
      </c>
      <c r="AC15" s="42">
        <f>AC11+AC14</f>
        <v>0</v>
      </c>
      <c r="AD15" s="42">
        <f>AD11+AD14</f>
        <v>0</v>
      </c>
      <c r="AE15" s="42">
        <f>AE11+AE14</f>
        <v>0</v>
      </c>
      <c r="AF15" s="42">
        <f>AF11+AF14</f>
        <v>0</v>
      </c>
      <c r="AG15" s="42">
        <f>AG11+AG14</f>
        <v>0</v>
      </c>
      <c r="AH15" s="42">
        <f>AH11+AH14</f>
        <v>0</v>
      </c>
      <c r="AI15" s="42">
        <f>AI11+AI14</f>
        <v>0</v>
      </c>
      <c r="AJ15" s="42"/>
      <c r="AK15" s="42">
        <f>AK11+AK14</f>
        <v>0</v>
      </c>
      <c r="AL15" s="42">
        <f>AL11+AL14</f>
        <v>0</v>
      </c>
      <c r="AM15" s="42">
        <f>AM11+AM14</f>
        <v>0</v>
      </c>
    </row>
    <row r="16" spans="1:39" ht="6" customHeight="1" x14ac:dyDescent="0.2">
      <c r="D16" s="4"/>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row>
    <row r="17" spans="3:40" ht="11.25" customHeight="1" outlineLevel="1" x14ac:dyDescent="0.2">
      <c r="C17" s="70" t="s">
        <v>205</v>
      </c>
      <c r="D17" s="4"/>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row>
    <row r="18" spans="3:40" ht="11.25" customHeight="1" outlineLevel="1" x14ac:dyDescent="0.2">
      <c r="C18" s="69"/>
      <c r="D18" s="4"/>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f>P18</f>
        <v>0</v>
      </c>
      <c r="AL18" s="2">
        <f>AB18</f>
        <v>0</v>
      </c>
      <c r="AM18" s="2">
        <f>AI18</f>
        <v>0</v>
      </c>
    </row>
    <row r="19" spans="3:40" ht="11.25" customHeight="1" outlineLevel="1" x14ac:dyDescent="0.2">
      <c r="C19" s="69"/>
      <c r="D19" s="4"/>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f>P19</f>
        <v>0</v>
      </c>
      <c r="AL19" s="2">
        <f>AB19</f>
        <v>0</v>
      </c>
      <c r="AM19" s="2">
        <f>AI19</f>
        <v>0</v>
      </c>
    </row>
    <row r="20" spans="3:40" ht="11.25" customHeight="1" outlineLevel="1" x14ac:dyDescent="0.2">
      <c r="C20" s="69"/>
      <c r="D20" s="4"/>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f>P20</f>
        <v>0</v>
      </c>
      <c r="AL20" s="2">
        <f>AB20</f>
        <v>0</v>
      </c>
      <c r="AM20" s="2">
        <f>AI20</f>
        <v>0</v>
      </c>
    </row>
    <row r="21" spans="3:40" ht="11.25" customHeight="1" outlineLevel="1" x14ac:dyDescent="0.2">
      <c r="C21" s="68"/>
      <c r="D21" s="15"/>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f>P21</f>
        <v>0</v>
      </c>
      <c r="AL21" s="14">
        <f>AB21</f>
        <v>0</v>
      </c>
      <c r="AM21" s="14">
        <f>AI21</f>
        <v>0</v>
      </c>
    </row>
    <row r="22" spans="3:40" ht="11.25" customHeight="1" x14ac:dyDescent="0.2">
      <c r="C22" s="68" t="s">
        <v>204</v>
      </c>
      <c r="D22" s="15"/>
      <c r="E22" s="14">
        <f>SUM(E18:E21)</f>
        <v>0</v>
      </c>
      <c r="F22" s="14">
        <f>SUM(F18:F21)</f>
        <v>0</v>
      </c>
      <c r="G22" s="14">
        <f>SUM(G18:G21)</f>
        <v>0</v>
      </c>
      <c r="H22" s="14">
        <f>SUM(H18:H21)</f>
        <v>0</v>
      </c>
      <c r="I22" s="14">
        <f>SUM(I18:I21)</f>
        <v>0</v>
      </c>
      <c r="J22" s="14">
        <f>SUM(J18:J21)</f>
        <v>0</v>
      </c>
      <c r="K22" s="14">
        <f>SUM(K18:K21)</f>
        <v>0</v>
      </c>
      <c r="L22" s="14">
        <f>SUM(L18:L21)</f>
        <v>0</v>
      </c>
      <c r="M22" s="14">
        <f>SUM(M18:M21)</f>
        <v>0</v>
      </c>
      <c r="N22" s="14">
        <f>SUM(N18:N21)</f>
        <v>0</v>
      </c>
      <c r="O22" s="14">
        <f>SUM(O18:O21)</f>
        <v>0</v>
      </c>
      <c r="P22" s="14">
        <f>SUM(P18:P21)</f>
        <v>0</v>
      </c>
      <c r="Q22" s="14">
        <f>SUM(Q18:Q21)</f>
        <v>0</v>
      </c>
      <c r="R22" s="14">
        <f>SUM(R18:R21)</f>
        <v>0</v>
      </c>
      <c r="S22" s="14">
        <f>SUM(S18:S21)</f>
        <v>0</v>
      </c>
      <c r="T22" s="14">
        <f>SUM(T18:T21)</f>
        <v>0</v>
      </c>
      <c r="U22" s="14">
        <f>SUM(U18:U21)</f>
        <v>0</v>
      </c>
      <c r="V22" s="14">
        <f>SUM(V18:V21)</f>
        <v>0</v>
      </c>
      <c r="W22" s="14">
        <f>SUM(W18:W21)</f>
        <v>0</v>
      </c>
      <c r="X22" s="14">
        <f>SUM(X18:X21)</f>
        <v>0</v>
      </c>
      <c r="Y22" s="14">
        <f>SUM(Y18:Y21)</f>
        <v>0</v>
      </c>
      <c r="Z22" s="14">
        <f>SUM(Z18:Z21)</f>
        <v>0</v>
      </c>
      <c r="AA22" s="14">
        <f>SUM(AA18:AA21)</f>
        <v>0</v>
      </c>
      <c r="AB22" s="14">
        <f>SUM(AB18:AB21)</f>
        <v>0</v>
      </c>
      <c r="AC22" s="14">
        <f>SUM(AC18:AC21)</f>
        <v>0</v>
      </c>
      <c r="AD22" s="14">
        <f>SUM(AD18:AD21)</f>
        <v>0</v>
      </c>
      <c r="AE22" s="14">
        <f>SUM(AE18:AE21)</f>
        <v>0</v>
      </c>
      <c r="AF22" s="14">
        <f>SUM(AF18:AF21)</f>
        <v>0</v>
      </c>
      <c r="AG22" s="14">
        <f>SUM(AG18:AG21)</f>
        <v>0</v>
      </c>
      <c r="AH22" s="14">
        <f>SUM(AH18:AH21)</f>
        <v>0</v>
      </c>
      <c r="AI22" s="14">
        <f>SUM(AI18:AI21)</f>
        <v>0</v>
      </c>
      <c r="AJ22" s="14"/>
      <c r="AK22" s="14">
        <f>SUM(AK18:AK21)</f>
        <v>0</v>
      </c>
      <c r="AL22" s="14">
        <f>SUM(AL18:AL21)</f>
        <v>0</v>
      </c>
      <c r="AM22" s="14">
        <f>SUM(AM18:AM21)</f>
        <v>0</v>
      </c>
    </row>
    <row r="23" spans="3:40" ht="12" customHeight="1" thickBot="1" x14ac:dyDescent="0.3">
      <c r="C23" s="12" t="s">
        <v>203</v>
      </c>
      <c r="D23" s="67"/>
      <c r="E23" s="9">
        <f>E15+E22</f>
        <v>0</v>
      </c>
      <c r="F23" s="9">
        <f>F15+F22</f>
        <v>0</v>
      </c>
      <c r="G23" s="9">
        <f>G15+G22</f>
        <v>0</v>
      </c>
      <c r="H23" s="9">
        <f>H15+H22</f>
        <v>0</v>
      </c>
      <c r="I23" s="9">
        <f>I15+I22</f>
        <v>0</v>
      </c>
      <c r="J23" s="9">
        <f>J15+J22</f>
        <v>0</v>
      </c>
      <c r="K23" s="9">
        <f>K15+K22</f>
        <v>0</v>
      </c>
      <c r="L23" s="9">
        <f>L15+L22</f>
        <v>0</v>
      </c>
      <c r="M23" s="9">
        <f>M15+M22</f>
        <v>0</v>
      </c>
      <c r="N23" s="9">
        <f>N15+N22</f>
        <v>0</v>
      </c>
      <c r="O23" s="9">
        <f>O15+O22</f>
        <v>0</v>
      </c>
      <c r="P23" s="9">
        <f>P15+P22</f>
        <v>0</v>
      </c>
      <c r="Q23" s="9">
        <f>Q15+Q22</f>
        <v>0</v>
      </c>
      <c r="R23" s="9">
        <f>R15+R22</f>
        <v>0</v>
      </c>
      <c r="S23" s="9">
        <f>S15+S22</f>
        <v>0</v>
      </c>
      <c r="T23" s="9">
        <f>T15+T22</f>
        <v>0</v>
      </c>
      <c r="U23" s="9">
        <f>U15+U22</f>
        <v>0</v>
      </c>
      <c r="V23" s="9">
        <f>V15+V22</f>
        <v>0</v>
      </c>
      <c r="W23" s="9">
        <f>W15+W22</f>
        <v>0</v>
      </c>
      <c r="X23" s="9">
        <f>X15+X22</f>
        <v>0</v>
      </c>
      <c r="Y23" s="9">
        <f>Y15+Y22</f>
        <v>0</v>
      </c>
      <c r="Z23" s="9">
        <f>Z15+Z22</f>
        <v>0</v>
      </c>
      <c r="AA23" s="9">
        <f>AA15+AA22</f>
        <v>0</v>
      </c>
      <c r="AB23" s="9">
        <f>AB15+AB22</f>
        <v>0</v>
      </c>
      <c r="AC23" s="9">
        <f>AC15+AC22</f>
        <v>0</v>
      </c>
      <c r="AD23" s="9">
        <f>AD15+AD22</f>
        <v>0</v>
      </c>
      <c r="AE23" s="9">
        <f>AE15+AE22</f>
        <v>0</v>
      </c>
      <c r="AF23" s="9">
        <f>AF15+AF22</f>
        <v>0</v>
      </c>
      <c r="AG23" s="9">
        <f>AG15+AG22</f>
        <v>0</v>
      </c>
      <c r="AH23" s="9">
        <f>AH15+AH22</f>
        <v>0</v>
      </c>
      <c r="AI23" s="9">
        <f>AI15+AI22</f>
        <v>0</v>
      </c>
      <c r="AJ23" s="9"/>
      <c r="AK23" s="9">
        <f>AK15+AK22</f>
        <v>0</v>
      </c>
      <c r="AL23" s="9">
        <f>AL15+AL22</f>
        <v>0</v>
      </c>
      <c r="AM23" s="9">
        <f>AM15+AM22</f>
        <v>0</v>
      </c>
    </row>
    <row r="24" spans="3:40" ht="6" customHeight="1" x14ac:dyDescent="0.2">
      <c r="D24" s="4"/>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row>
    <row r="25" spans="3:40" ht="11.25" customHeight="1" x14ac:dyDescent="0.2">
      <c r="C25" t="s">
        <v>146</v>
      </c>
      <c r="D25" s="4"/>
      <c r="E25" s="2">
        <f>+'NWC1'!E51</f>
        <v>-1634.4889000000001</v>
      </c>
      <c r="F25" s="2">
        <f>+'NWC1'!F51</f>
        <v>-1515.8343100000002</v>
      </c>
      <c r="G25" s="2">
        <f>+'NWC1'!G51</f>
        <v>-1285.8185500000002</v>
      </c>
      <c r="H25" s="2">
        <f>+'NWC1'!H51</f>
        <v>-1744.66732</v>
      </c>
      <c r="I25" s="2">
        <f>+'NWC1'!I51</f>
        <v>-1893.5655899999999</v>
      </c>
      <c r="J25" s="2">
        <f>+'NWC1'!J51</f>
        <v>-1712.3810799999999</v>
      </c>
      <c r="K25" s="2">
        <f>+'NWC1'!K51</f>
        <v>-1802.0490499999999</v>
      </c>
      <c r="L25" s="2">
        <f>+'NWC1'!L51</f>
        <v>-1828.55198</v>
      </c>
      <c r="M25" s="2">
        <f>+'NWC1'!M51</f>
        <v>-2956.0589800000002</v>
      </c>
      <c r="N25" s="2">
        <f>+'NWC1'!N51</f>
        <v>-3328.94526</v>
      </c>
      <c r="O25" s="2">
        <f>+'NWC1'!O51</f>
        <v>-3360.91174</v>
      </c>
      <c r="P25" s="2">
        <f>+'NWC1'!P51</f>
        <v>-2467.13717</v>
      </c>
      <c r="Q25" s="2">
        <f>+'NWC1'!Q51</f>
        <v>-2552.3519000000001</v>
      </c>
      <c r="R25" s="2">
        <f>+'NWC1'!R51</f>
        <v>-2457.46513</v>
      </c>
      <c r="S25" s="2">
        <f>+'NWC1'!S51</f>
        <v>-2590.8992799999996</v>
      </c>
      <c r="T25" s="2">
        <f>+'NWC1'!T51</f>
        <v>-2431.6507199999996</v>
      </c>
      <c r="U25" s="2">
        <f>+'NWC1'!U51</f>
        <v>-2430.7370000000001</v>
      </c>
      <c r="V25" s="2">
        <f>+'NWC1'!V51</f>
        <v>-2168.6964600000001</v>
      </c>
      <c r="W25" s="2">
        <f>+'NWC1'!W51</f>
        <v>-2132.2815499999997</v>
      </c>
      <c r="X25" s="2">
        <f>+'NWC1'!X51</f>
        <v>-2394.8332499999997</v>
      </c>
      <c r="Y25" s="2">
        <f>+'NWC1'!Y51</f>
        <v>-2701.4361799999997</v>
      </c>
      <c r="Z25" s="2">
        <f>+'NWC1'!Z51</f>
        <v>-3318.5348999999997</v>
      </c>
      <c r="AA25" s="2">
        <f>+'NWC1'!AA51</f>
        <v>-2791.1657299999997</v>
      </c>
      <c r="AB25" s="2">
        <f>+'NWC1'!AB51</f>
        <v>-2857.098</v>
      </c>
      <c r="AC25" s="2">
        <f>+'NWC1'!AC51</f>
        <v>-2540.75189</v>
      </c>
      <c r="AD25" s="2">
        <f>+'NWC1'!AD51</f>
        <v>-2423.83347</v>
      </c>
      <c r="AE25" s="2">
        <f>+'NWC1'!AE51</f>
        <v>-2106.0055499999999</v>
      </c>
      <c r="AF25" s="2">
        <f>+'NWC1'!AF51</f>
        <v>-2154.0578599999999</v>
      </c>
      <c r="AG25" s="2">
        <f>+'NWC1'!AG51</f>
        <v>-2093.9210800000001</v>
      </c>
      <c r="AH25" s="2">
        <f>+'NWC1'!AH51</f>
        <v>-2007.01935</v>
      </c>
      <c r="AI25" s="2">
        <f>+'NWC1'!AI51</f>
        <v>-1764.08347</v>
      </c>
      <c r="AJ25" s="2"/>
      <c r="AK25" s="14">
        <f>P25</f>
        <v>-2467.13717</v>
      </c>
      <c r="AL25" s="14">
        <f>AB25</f>
        <v>-2857.098</v>
      </c>
      <c r="AM25" s="14">
        <f>AI25</f>
        <v>-1764.08347</v>
      </c>
    </row>
    <row r="26" spans="3:40" ht="12" customHeight="1" thickBot="1" x14ac:dyDescent="0.3">
      <c r="C26" s="40" t="s">
        <v>202</v>
      </c>
      <c r="D26" s="49"/>
      <c r="E26" s="39">
        <f>SUM(E23:E25)</f>
        <v>-1634.4889000000001</v>
      </c>
      <c r="F26" s="39">
        <f>SUM(F23:F25)</f>
        <v>-1515.8343100000002</v>
      </c>
      <c r="G26" s="39">
        <f>SUM(G23:G25)</f>
        <v>-1285.8185500000002</v>
      </c>
      <c r="H26" s="39">
        <f>SUM(H23:H25)</f>
        <v>-1744.66732</v>
      </c>
      <c r="I26" s="39">
        <f>SUM(I23:I25)</f>
        <v>-1893.5655899999999</v>
      </c>
      <c r="J26" s="39">
        <f>SUM(J23:J25)</f>
        <v>-1712.3810799999999</v>
      </c>
      <c r="K26" s="39">
        <f>SUM(K23:K25)</f>
        <v>-1802.0490499999999</v>
      </c>
      <c r="L26" s="39">
        <f>SUM(L23:L25)</f>
        <v>-1828.55198</v>
      </c>
      <c r="M26" s="39">
        <f>SUM(M23:M25)</f>
        <v>-2956.0589800000002</v>
      </c>
      <c r="N26" s="39">
        <f>SUM(N23:N25)</f>
        <v>-3328.94526</v>
      </c>
      <c r="O26" s="39">
        <f>SUM(O23:O25)</f>
        <v>-3360.91174</v>
      </c>
      <c r="P26" s="39">
        <f>SUM(P23:P25)</f>
        <v>-2467.13717</v>
      </c>
      <c r="Q26" s="39">
        <f>SUM(Q23:Q25)</f>
        <v>-2552.3519000000001</v>
      </c>
      <c r="R26" s="39">
        <f>SUM(R23:R25)</f>
        <v>-2457.46513</v>
      </c>
      <c r="S26" s="39">
        <f>SUM(S23:S25)</f>
        <v>-2590.8992799999996</v>
      </c>
      <c r="T26" s="39">
        <f>SUM(T23:T25)</f>
        <v>-2431.6507199999996</v>
      </c>
      <c r="U26" s="39">
        <f>SUM(U23:U25)</f>
        <v>-2430.7370000000001</v>
      </c>
      <c r="V26" s="39">
        <f>SUM(V23:V25)</f>
        <v>-2168.6964600000001</v>
      </c>
      <c r="W26" s="39">
        <f>SUM(W23:W25)</f>
        <v>-2132.2815499999997</v>
      </c>
      <c r="X26" s="39">
        <f>SUM(X23:X25)</f>
        <v>-2394.8332499999997</v>
      </c>
      <c r="Y26" s="39">
        <f>SUM(Y23:Y25)</f>
        <v>-2701.4361799999997</v>
      </c>
      <c r="Z26" s="39">
        <f>SUM(Z23:Z25)</f>
        <v>-3318.5348999999997</v>
      </c>
      <c r="AA26" s="39">
        <f>SUM(AA23:AA25)</f>
        <v>-2791.1657299999997</v>
      </c>
      <c r="AB26" s="39">
        <f>SUM(AB23:AB25)</f>
        <v>-2857.098</v>
      </c>
      <c r="AC26" s="39">
        <f>SUM(AC23:AC25)</f>
        <v>-2540.75189</v>
      </c>
      <c r="AD26" s="39">
        <f>SUM(AD23:AD25)</f>
        <v>-2423.83347</v>
      </c>
      <c r="AE26" s="39">
        <f>SUM(AE23:AE25)</f>
        <v>-2106.0055499999999</v>
      </c>
      <c r="AF26" s="39">
        <f>SUM(AF23:AF25)</f>
        <v>-2154.0578599999999</v>
      </c>
      <c r="AG26" s="39">
        <f>SUM(AG23:AG25)</f>
        <v>-2093.9210800000001</v>
      </c>
      <c r="AH26" s="39">
        <f>SUM(AH23:AH25)</f>
        <v>-2007.01935</v>
      </c>
      <c r="AI26" s="39">
        <f>SUM(AI23:AI25)</f>
        <v>-1764.08347</v>
      </c>
      <c r="AJ26" s="39"/>
      <c r="AK26" s="39">
        <f>SUM(AK23:AK25)</f>
        <v>-2467.13717</v>
      </c>
      <c r="AL26" s="39">
        <f>SUM(AL23:AL25)</f>
        <v>-2857.098</v>
      </c>
      <c r="AM26" s="39">
        <f>SUM(AM23:AM25)</f>
        <v>-1764.08347</v>
      </c>
    </row>
    <row r="27" spans="3:40" ht="6" customHeight="1" x14ac:dyDescent="0.2"/>
    <row r="29" spans="3:40" ht="11.25" customHeight="1" x14ac:dyDescent="0.2">
      <c r="C29" t="s">
        <v>201</v>
      </c>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row>
    <row r="30" spans="3:40" ht="11.25" customHeight="1" x14ac:dyDescent="0.2">
      <c r="C30" t="s">
        <v>200</v>
      </c>
      <c r="E30" s="2">
        <f>SUM('BS1'!E27:E27)-E14</f>
        <v>0</v>
      </c>
      <c r="F30" s="2">
        <f>SUM('BS1'!F27:F27)-F14</f>
        <v>0</v>
      </c>
      <c r="G30" s="2">
        <f>SUM('BS1'!G27:G27)-G14</f>
        <v>0</v>
      </c>
      <c r="H30" s="2">
        <f>SUM('BS1'!H27:H27)-H14</f>
        <v>0</v>
      </c>
      <c r="I30" s="2">
        <f>SUM('BS1'!I27:I27)-I14</f>
        <v>0</v>
      </c>
      <c r="J30" s="2">
        <f>SUM('BS1'!J27:J27)-J14</f>
        <v>0</v>
      </c>
      <c r="K30" s="2">
        <f>SUM('BS1'!K27:K27)-K14</f>
        <v>0</v>
      </c>
      <c r="L30" s="2">
        <f>SUM('BS1'!L27:L27)-L14</f>
        <v>0</v>
      </c>
      <c r="M30" s="2">
        <f>SUM('BS1'!M27:M27)-M14</f>
        <v>0</v>
      </c>
      <c r="N30" s="2">
        <f>SUM('BS1'!N27:N27)-N14</f>
        <v>0</v>
      </c>
      <c r="O30" s="2">
        <f>SUM('BS1'!O27:O27)-O14</f>
        <v>0</v>
      </c>
      <c r="P30" s="2">
        <f>SUM('BS1'!P27:P27)-P14</f>
        <v>0</v>
      </c>
      <c r="Q30" s="2">
        <f>SUM('BS1'!Q27:Q27)-Q14</f>
        <v>0</v>
      </c>
      <c r="R30" s="2">
        <f>SUM('BS1'!R27:R27)-R14</f>
        <v>0</v>
      </c>
      <c r="S30" s="2">
        <f>SUM('BS1'!S27:S27)-S14</f>
        <v>0</v>
      </c>
      <c r="T30" s="2">
        <f>SUM('BS1'!T27:T27)-T14</f>
        <v>0</v>
      </c>
      <c r="U30" s="2">
        <f>SUM('BS1'!U27:U27)-U14</f>
        <v>0</v>
      </c>
      <c r="V30" s="2">
        <f>SUM('BS1'!V27:V27)-V14</f>
        <v>0</v>
      </c>
      <c r="W30" s="2">
        <f>SUM('BS1'!W27:W27)-W14</f>
        <v>0</v>
      </c>
      <c r="X30" s="2">
        <f>SUM('BS1'!X27:X27)-X14</f>
        <v>0</v>
      </c>
      <c r="Y30" s="2">
        <f>SUM('BS1'!Y27:Y27)-Y14</f>
        <v>0</v>
      </c>
      <c r="Z30" s="2">
        <f>SUM('BS1'!Z27:Z27)-Z14</f>
        <v>0</v>
      </c>
      <c r="AA30" s="2">
        <f>SUM('BS1'!AA27:AA27)-AA14</f>
        <v>0</v>
      </c>
      <c r="AB30" s="2">
        <f>SUM('BS1'!AB27:AB27)-AB14</f>
        <v>0</v>
      </c>
      <c r="AC30" s="2">
        <f>SUM('BS1'!AC27:AC27)-AC14</f>
        <v>0</v>
      </c>
      <c r="AD30" s="2">
        <f>SUM('BS1'!AD27:AD27)-AD14</f>
        <v>0</v>
      </c>
      <c r="AE30" s="2">
        <f>SUM('BS1'!AE27:AE27)-AE14</f>
        <v>0</v>
      </c>
      <c r="AF30" s="2">
        <f>SUM('BS1'!AF27:AF27)-AF14</f>
        <v>0</v>
      </c>
      <c r="AG30" s="2">
        <f>SUM('BS1'!AG27:AG27)-AG14</f>
        <v>0</v>
      </c>
      <c r="AH30" s="2">
        <f>SUM('BS1'!AH27:AH27)-AH14</f>
        <v>0</v>
      </c>
      <c r="AI30" s="2">
        <f>SUM('BS1'!AI27:AI27)-AI14</f>
        <v>0</v>
      </c>
      <c r="AJ30" s="2"/>
      <c r="AK30" s="2">
        <f>SUM('BS1'!AK27:AK27)-AK14</f>
        <v>0</v>
      </c>
      <c r="AL30" s="2">
        <f>SUM('BS1'!AL27:AL27)-AL14</f>
        <v>0</v>
      </c>
      <c r="AM30" s="2">
        <f>SUM('BS1'!AM27:AM27)-AM14</f>
        <v>0</v>
      </c>
    </row>
    <row r="31" spans="3:40" ht="11.25" customHeight="1" x14ac:dyDescent="0.2">
      <c r="C31" t="s">
        <v>199</v>
      </c>
      <c r="E31" s="2">
        <f>+'NWC1'!E51-E25</f>
        <v>0</v>
      </c>
      <c r="F31" s="2">
        <f>+'NWC1'!F51-F25</f>
        <v>0</v>
      </c>
      <c r="G31" s="2">
        <f>+'NWC1'!G51-G25</f>
        <v>0</v>
      </c>
      <c r="H31" s="2">
        <f>+'NWC1'!H51-H25</f>
        <v>0</v>
      </c>
      <c r="I31" s="2">
        <f>+'NWC1'!I51-I25</f>
        <v>0</v>
      </c>
      <c r="J31" s="2">
        <f>+'NWC1'!J51-J25</f>
        <v>0</v>
      </c>
      <c r="K31" s="2">
        <f>+'NWC1'!K51-K25</f>
        <v>0</v>
      </c>
      <c r="L31" s="2">
        <f>+'NWC1'!L51-L25</f>
        <v>0</v>
      </c>
      <c r="M31" s="2">
        <f>+'NWC1'!M51-M25</f>
        <v>0</v>
      </c>
      <c r="N31" s="2">
        <f>+'NWC1'!N51-N25</f>
        <v>0</v>
      </c>
      <c r="O31" s="2">
        <f>+'NWC1'!O51-O25</f>
        <v>0</v>
      </c>
      <c r="P31" s="2">
        <f>+'NWC1'!P51-P25</f>
        <v>0</v>
      </c>
      <c r="Q31" s="2">
        <f>+'NWC1'!Q51-Q25</f>
        <v>0</v>
      </c>
      <c r="R31" s="2">
        <f>+'NWC1'!R51-R25</f>
        <v>0</v>
      </c>
      <c r="S31" s="2">
        <f>+'NWC1'!S51-S25</f>
        <v>0</v>
      </c>
      <c r="T31" s="2">
        <f>+'NWC1'!T51-T25</f>
        <v>0</v>
      </c>
      <c r="U31" s="2">
        <f>+'NWC1'!U51-U25</f>
        <v>0</v>
      </c>
      <c r="V31" s="2">
        <f>+'NWC1'!V51-V25</f>
        <v>0</v>
      </c>
      <c r="W31" s="2">
        <f>+'NWC1'!W51-W25</f>
        <v>0</v>
      </c>
      <c r="X31" s="2">
        <f>+'NWC1'!X51-X25</f>
        <v>0</v>
      </c>
      <c r="Y31" s="2">
        <f>+'NWC1'!Y51-Y25</f>
        <v>0</v>
      </c>
      <c r="Z31" s="2">
        <f>+'NWC1'!Z51-Z25</f>
        <v>0</v>
      </c>
      <c r="AA31" s="2">
        <f>+'NWC1'!AA51-AA25</f>
        <v>0</v>
      </c>
      <c r="AB31" s="2">
        <f>+'NWC1'!AB51-AB25</f>
        <v>0</v>
      </c>
      <c r="AC31" s="2">
        <f>+'NWC1'!AC51-AC25</f>
        <v>0</v>
      </c>
      <c r="AD31" s="2">
        <f>+'NWC1'!AD51-AD25</f>
        <v>0</v>
      </c>
      <c r="AE31" s="2">
        <f>+'NWC1'!AE51-AE25</f>
        <v>0</v>
      </c>
      <c r="AF31" s="2">
        <f>+'NWC1'!AF51-AF25</f>
        <v>0</v>
      </c>
      <c r="AG31" s="2">
        <f>+'NWC1'!AG51-AG25</f>
        <v>0</v>
      </c>
      <c r="AH31" s="2">
        <f>+'NWC1'!AH51-AH25</f>
        <v>0</v>
      </c>
      <c r="AI31" s="2">
        <f>+'NWC1'!AI51-AI25</f>
        <v>0</v>
      </c>
      <c r="AJ31" s="2"/>
      <c r="AK31" s="2">
        <f>+'NWC1'!AK51-AK25</f>
        <v>0</v>
      </c>
      <c r="AL31" s="2">
        <f>+'NWC1'!AL51-AL25</f>
        <v>0</v>
      </c>
      <c r="AM31" s="2">
        <f>+'NWC1'!AM51-AM25</f>
        <v>0</v>
      </c>
    </row>
  </sheetData>
  <pageMargins left="0.7" right="0.7" top="0.75" bottom="0.75" header="0.3" footer="0.3"/>
  <pageSetup scale="48" orientation="landscape" r:id="rId1"/>
  <customProperties>
    <customPr name="OrphanNamesChecked" r:id="rId2"/>
  </customProperties>
  <extLst>
    <ext xmlns:x14="http://schemas.microsoft.com/office/spreadsheetml/2009/9/main" uri="{78C0D931-6437-407d-A8EE-F0AAD7539E65}">
      <x14:conditionalFormattings>
        <x14:conditionalFormatting xmlns:xm="http://schemas.microsoft.com/office/excel/2006/main">
          <x14:cfRule type="containsText" priority="1" operator="containsText" id="{453CEAAE-B654-473C-83F7-6D29DB4482B1}">
            <xm:f>NOT(ISERROR(SEARCH("NO",A1)))</xm:f>
            <xm:f>"NO"</xm:f>
            <x14:dxf>
              <font>
                <b/>
                <i val="0"/>
                <color rgb="FFFF0000"/>
              </font>
            </x14:dxf>
          </x14:cfRule>
          <xm:sqref>A1:A2</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CA033-9B35-4E5C-811A-60571EAE5FBF}">
  <sheetPr>
    <tabColor rgb="FFFFFF00"/>
    <pageSetUpPr fitToPage="1"/>
  </sheetPr>
  <dimension ref="A1:AR89"/>
  <sheetViews>
    <sheetView showGridLines="0" view="pageBreakPreview" zoomScaleNormal="100" zoomScaleSheetLayoutView="100" workbookViewId="0">
      <pane xSplit="4" ySplit="8" topLeftCell="E10" activePane="bottomRight" state="frozen"/>
      <selection pane="topRight"/>
      <selection pane="bottomLeft"/>
      <selection pane="bottomRight" activeCell="C2" sqref="C2"/>
    </sheetView>
  </sheetViews>
  <sheetFormatPr defaultRowHeight="10" outlineLevelCol="1" x14ac:dyDescent="0.2"/>
  <cols>
    <col min="1" max="1" width="9.33203125" customWidth="1" outlineLevel="1"/>
    <col min="2" max="2" width="1.77734375" customWidth="1"/>
    <col min="3" max="3" width="29.33203125" bestFit="1" customWidth="1"/>
    <col min="4" max="4" width="4.33203125" customWidth="1"/>
    <col min="5" max="35" width="7.77734375" customWidth="1"/>
    <col min="36" max="36" width="1.77734375" customWidth="1"/>
    <col min="37" max="39" width="8.77734375" customWidth="1"/>
    <col min="40" max="40" width="1.77734375" customWidth="1"/>
    <col min="41" max="44" width="8.77734375" customWidth="1"/>
    <col min="45" max="45" width="1.77734375" customWidth="1"/>
  </cols>
  <sheetData>
    <row r="1" spans="1:44" ht="10.5" x14ac:dyDescent="0.25">
      <c r="A1" s="38" t="str">
        <f>IF(ROUND(SUM(E47:AS51),1)&lt;&gt;0,"NO","Yes")</f>
        <v>Yes</v>
      </c>
      <c r="C1" t="s">
        <v>451</v>
      </c>
    </row>
    <row r="2" spans="1:44" ht="10.5" x14ac:dyDescent="0.25">
      <c r="A2" s="38" t="str">
        <f>IF(COUNTIF(E47:AS51,"&gt;0.5")+COUNTIF(E47:AS51,"&lt;-0.5")&lt;1,"Yes","No")</f>
        <v>Yes</v>
      </c>
      <c r="C2" t="s">
        <v>450</v>
      </c>
    </row>
    <row r="3" spans="1:44" x14ac:dyDescent="0.2">
      <c r="A3">
        <f>2-COUNTIF(A1:A2,"Yes")</f>
        <v>0</v>
      </c>
      <c r="C3" t="s">
        <v>36</v>
      </c>
    </row>
    <row r="4" spans="1:44" x14ac:dyDescent="0.2">
      <c r="C4" t="s">
        <v>228</v>
      </c>
    </row>
    <row r="6" spans="1:44" x14ac:dyDescent="0.2">
      <c r="E6" s="45" t="str">
        <f>TEXT(E8,"mmmm")</f>
        <v>April</v>
      </c>
      <c r="F6" s="45" t="str">
        <f>TEXT(F8,"mmmm")</f>
        <v>May</v>
      </c>
      <c r="G6" s="45" t="str">
        <f>TEXT(G8,"mmmm")</f>
        <v>June</v>
      </c>
      <c r="H6" s="45" t="str">
        <f>TEXT(H8,"mmmm")</f>
        <v>July</v>
      </c>
      <c r="I6" s="45" t="str">
        <f>TEXT(I8,"mmmm")</f>
        <v>August</v>
      </c>
      <c r="J6" s="45" t="str">
        <f>TEXT(J8,"mmmm")</f>
        <v>September</v>
      </c>
      <c r="K6" s="45" t="str">
        <f>TEXT(K8,"mmmm")</f>
        <v>October</v>
      </c>
      <c r="L6" s="45" t="str">
        <f>TEXT(L8,"mmmm")</f>
        <v>November</v>
      </c>
      <c r="M6" s="45" t="str">
        <f>TEXT(M8,"mmmm")</f>
        <v>December</v>
      </c>
      <c r="N6" s="45" t="str">
        <f>TEXT(N8,"mmmm")</f>
        <v>January</v>
      </c>
      <c r="O6" s="45" t="str">
        <f>TEXT(O8,"mmmm")</f>
        <v>February</v>
      </c>
      <c r="P6" s="45" t="str">
        <f>TEXT(P8,"mmmm")</f>
        <v>March</v>
      </c>
      <c r="Q6" s="45" t="str">
        <f>TEXT(Q8,"mmmm")</f>
        <v>April</v>
      </c>
      <c r="R6" s="45" t="str">
        <f>TEXT(R8,"mmmm")</f>
        <v>May</v>
      </c>
      <c r="S6" s="45" t="str">
        <f>TEXT(S8,"mmmm")</f>
        <v>June</v>
      </c>
      <c r="T6" s="45" t="str">
        <f>TEXT(T8,"mmmm")</f>
        <v>July</v>
      </c>
      <c r="U6" s="45" t="str">
        <f>TEXT(U8,"mmmm")</f>
        <v>August</v>
      </c>
      <c r="V6" s="45" t="str">
        <f>TEXT(V8,"mmmm")</f>
        <v>September</v>
      </c>
      <c r="W6" s="45" t="str">
        <f>TEXT(W8,"mmmm")</f>
        <v>October</v>
      </c>
      <c r="X6" s="45" t="str">
        <f>TEXT(X8,"mmmm")</f>
        <v>November</v>
      </c>
      <c r="Y6" s="45" t="str">
        <f>TEXT(Y8,"mmmm")</f>
        <v>December</v>
      </c>
      <c r="Z6" s="45" t="str">
        <f>TEXT(Z8,"mmmm")</f>
        <v>January</v>
      </c>
      <c r="AA6" s="45" t="str">
        <f>TEXT(AA8,"mmmm")</f>
        <v>February</v>
      </c>
      <c r="AB6" s="45" t="str">
        <f>TEXT(AB8,"mmmm")</f>
        <v>March</v>
      </c>
      <c r="AC6" s="45" t="str">
        <f>TEXT(AC8,"mmmm")</f>
        <v>April</v>
      </c>
      <c r="AD6" s="45" t="str">
        <f>TEXT(AD8,"mmmm")</f>
        <v>May</v>
      </c>
      <c r="AE6" s="45" t="str">
        <f>TEXT(AE8,"mmmm")</f>
        <v>June</v>
      </c>
      <c r="AF6" s="45" t="str">
        <f>TEXT(AF8,"mmmm")</f>
        <v>July</v>
      </c>
      <c r="AG6" s="45" t="str">
        <f>TEXT(AG8,"mmmm")</f>
        <v>August</v>
      </c>
      <c r="AH6" s="45" t="str">
        <f>TEXT(AH8,"mmmm")</f>
        <v>September</v>
      </c>
      <c r="AI6" s="45" t="str">
        <f>TEXT(AI8,"mmmm")</f>
        <v>October</v>
      </c>
    </row>
    <row r="7" spans="1:44" ht="13.5" customHeight="1" x14ac:dyDescent="0.55000000000000004">
      <c r="C7" s="34" t="str">
        <f>C4</f>
        <v>Net Working Capital Ratio Analysis</v>
      </c>
      <c r="D7" s="34"/>
      <c r="E7" s="36" t="s">
        <v>32</v>
      </c>
      <c r="F7" s="36"/>
      <c r="G7" s="36"/>
      <c r="H7" s="36"/>
      <c r="I7" s="36"/>
      <c r="J7" s="36"/>
      <c r="K7" s="36"/>
      <c r="L7" s="36"/>
      <c r="M7" s="36"/>
      <c r="N7" s="36"/>
      <c r="O7" s="36"/>
      <c r="P7" s="36"/>
      <c r="Q7" s="36" t="s">
        <v>31</v>
      </c>
      <c r="R7" s="36"/>
      <c r="S7" s="36"/>
      <c r="T7" s="36"/>
      <c r="U7" s="36"/>
      <c r="V7" s="36"/>
      <c r="W7" s="36"/>
      <c r="X7" s="36"/>
      <c r="Y7" s="36"/>
      <c r="Z7" s="36"/>
      <c r="AA7" s="36"/>
      <c r="AB7" s="36"/>
      <c r="AC7" s="36" t="s">
        <v>35</v>
      </c>
      <c r="AD7" s="36"/>
      <c r="AE7" s="36"/>
      <c r="AF7" s="36"/>
      <c r="AG7" s="36"/>
      <c r="AH7" s="36"/>
      <c r="AI7" s="36"/>
      <c r="AJ7" s="74"/>
      <c r="AK7" s="74"/>
      <c r="AL7" s="74"/>
      <c r="AM7" s="74"/>
      <c r="AN7" s="74"/>
      <c r="AO7" s="36" t="s">
        <v>183</v>
      </c>
      <c r="AP7" s="36"/>
      <c r="AQ7" s="36"/>
      <c r="AR7" s="36"/>
    </row>
    <row r="8" spans="1:44" ht="10.5" x14ac:dyDescent="0.25">
      <c r="C8" s="34" t="str">
        <f>C3</f>
        <v>($ in 000s)</v>
      </c>
      <c r="D8" s="34" t="s">
        <v>33</v>
      </c>
      <c r="E8" s="32">
        <f>TB!K1</f>
        <v>45046</v>
      </c>
      <c r="F8" s="32">
        <f>TB!L1</f>
        <v>45077</v>
      </c>
      <c r="G8" s="32">
        <f>TB!M1</f>
        <v>45107</v>
      </c>
      <c r="H8" s="32">
        <f>TB!N1</f>
        <v>45138</v>
      </c>
      <c r="I8" s="32">
        <f>TB!O1</f>
        <v>45169</v>
      </c>
      <c r="J8" s="32">
        <f>TB!P1</f>
        <v>45199</v>
      </c>
      <c r="K8" s="32">
        <f>TB!Q1</f>
        <v>45230</v>
      </c>
      <c r="L8" s="32">
        <f>TB!R1</f>
        <v>45260</v>
      </c>
      <c r="M8" s="32">
        <f>TB!S1</f>
        <v>45291</v>
      </c>
      <c r="N8" s="32">
        <f>TB!T1</f>
        <v>45322</v>
      </c>
      <c r="O8" s="32">
        <f>TB!U1</f>
        <v>45351</v>
      </c>
      <c r="P8" s="32">
        <f>TB!V1</f>
        <v>45382</v>
      </c>
      <c r="Q8" s="32">
        <f>TB!W1</f>
        <v>45412</v>
      </c>
      <c r="R8" s="32">
        <f>TB!X1</f>
        <v>45443</v>
      </c>
      <c r="S8" s="32">
        <f>TB!Y1</f>
        <v>45473</v>
      </c>
      <c r="T8" s="32">
        <f>TB!Z1</f>
        <v>45504</v>
      </c>
      <c r="U8" s="32">
        <f>TB!AA1</f>
        <v>45535</v>
      </c>
      <c r="V8" s="32">
        <f>TB!AB1</f>
        <v>45565</v>
      </c>
      <c r="W8" s="32">
        <f>TB!AC1</f>
        <v>45596</v>
      </c>
      <c r="X8" s="32">
        <f>TB!AD1</f>
        <v>45626</v>
      </c>
      <c r="Y8" s="32">
        <f>TB!AE1</f>
        <v>45657</v>
      </c>
      <c r="Z8" s="32">
        <f>TB!AF1</f>
        <v>45688</v>
      </c>
      <c r="AA8" s="32">
        <f>TB!AG1</f>
        <v>45716</v>
      </c>
      <c r="AB8" s="32">
        <f>TB!AH1</f>
        <v>45747</v>
      </c>
      <c r="AC8" s="32">
        <f>TB!AI1</f>
        <v>45777</v>
      </c>
      <c r="AD8" s="32">
        <f>TB!AJ1</f>
        <v>45808</v>
      </c>
      <c r="AE8" s="32">
        <f>TB!AK1</f>
        <v>45838</v>
      </c>
      <c r="AF8" s="32">
        <f>TB!AL1</f>
        <v>45869</v>
      </c>
      <c r="AG8" s="32">
        <f>TB!AM1</f>
        <v>45900</v>
      </c>
      <c r="AH8" s="32">
        <f>TB!AN1</f>
        <v>45930</v>
      </c>
      <c r="AI8" s="32">
        <f>TB!AO1</f>
        <v>45961</v>
      </c>
      <c r="AJ8" s="74"/>
      <c r="AK8" s="32">
        <f>+P8</f>
        <v>45382</v>
      </c>
      <c r="AL8" s="32">
        <f>+AB8</f>
        <v>45747</v>
      </c>
      <c r="AM8" s="32">
        <f>+AI8</f>
        <v>45961</v>
      </c>
      <c r="AN8" s="74"/>
      <c r="AO8" s="32" t="s">
        <v>182</v>
      </c>
      <c r="AP8" s="32" t="s">
        <v>181</v>
      </c>
      <c r="AQ8" s="32" t="s">
        <v>180</v>
      </c>
      <c r="AR8" s="32" t="s">
        <v>179</v>
      </c>
    </row>
    <row r="9" spans="1:44" ht="11.25" customHeight="1" x14ac:dyDescent="0.2">
      <c r="C9" t="s">
        <v>227</v>
      </c>
      <c r="E9">
        <v>31</v>
      </c>
      <c r="F9">
        <f>_xlfn.DAYS(F8,E8)</f>
        <v>31</v>
      </c>
      <c r="G9">
        <f>_xlfn.DAYS(G8,F8)</f>
        <v>30</v>
      </c>
      <c r="H9">
        <f>_xlfn.DAYS(H8,G8)</f>
        <v>31</v>
      </c>
      <c r="I9">
        <f>_xlfn.DAYS(I8,H8)</f>
        <v>31</v>
      </c>
      <c r="J9">
        <f>_xlfn.DAYS(J8,I8)</f>
        <v>30</v>
      </c>
      <c r="K9">
        <f>_xlfn.DAYS(K8,J8)</f>
        <v>31</v>
      </c>
      <c r="L9">
        <f>_xlfn.DAYS(L8,K8)</f>
        <v>30</v>
      </c>
      <c r="M9">
        <f>_xlfn.DAYS(M8,L8)</f>
        <v>31</v>
      </c>
      <c r="N9">
        <f>_xlfn.DAYS(N8,M8)</f>
        <v>31</v>
      </c>
      <c r="O9">
        <f>_xlfn.DAYS(O8,N8)</f>
        <v>29</v>
      </c>
      <c r="P9">
        <f>_xlfn.DAYS(P8,O8)</f>
        <v>31</v>
      </c>
      <c r="Q9">
        <f>_xlfn.DAYS(Q8,P8)</f>
        <v>30</v>
      </c>
      <c r="R9">
        <f>_xlfn.DAYS(R8,Q8)</f>
        <v>31</v>
      </c>
      <c r="S9">
        <f>_xlfn.DAYS(S8,R8)</f>
        <v>30</v>
      </c>
      <c r="T9">
        <f>_xlfn.DAYS(T8,S8)</f>
        <v>31</v>
      </c>
      <c r="U9">
        <f>_xlfn.DAYS(U8,T8)</f>
        <v>31</v>
      </c>
      <c r="V9">
        <f>_xlfn.DAYS(V8,U8)</f>
        <v>30</v>
      </c>
      <c r="W9">
        <f>_xlfn.DAYS(W8,V8)</f>
        <v>31</v>
      </c>
      <c r="X9">
        <f>_xlfn.DAYS(X8,W8)</f>
        <v>30</v>
      </c>
      <c r="Y9">
        <f>_xlfn.DAYS(Y8,X8)</f>
        <v>31</v>
      </c>
      <c r="Z9">
        <f>_xlfn.DAYS(Z8,Y8)</f>
        <v>31</v>
      </c>
      <c r="AA9">
        <f>_xlfn.DAYS(AA8,Z8)</f>
        <v>28</v>
      </c>
      <c r="AB9">
        <f>_xlfn.DAYS(AB8,AA8)</f>
        <v>31</v>
      </c>
      <c r="AC9">
        <f>_xlfn.DAYS(AC8,AB8)</f>
        <v>30</v>
      </c>
      <c r="AD9">
        <f>_xlfn.DAYS(AD8,AC8)</f>
        <v>31</v>
      </c>
      <c r="AE9">
        <f>_xlfn.DAYS(AE8,AD8)</f>
        <v>30</v>
      </c>
      <c r="AF9">
        <f>_xlfn.DAYS(AF8,AE8)</f>
        <v>31</v>
      </c>
      <c r="AG9">
        <f>_xlfn.DAYS(AG8,AF8)</f>
        <v>31</v>
      </c>
      <c r="AH9">
        <f>_xlfn.DAYS(AH8,AG8)</f>
        <v>30</v>
      </c>
      <c r="AI9">
        <f>_xlfn.DAYS(AI8,AH8)</f>
        <v>31</v>
      </c>
      <c r="AK9" s="72">
        <v>365</v>
      </c>
      <c r="AL9" s="72">
        <f>AL8-P8</f>
        <v>365</v>
      </c>
      <c r="AM9" s="72">
        <f>AM8-W8</f>
        <v>365</v>
      </c>
      <c r="AO9" s="72">
        <f>AVERAGE(AG9:AI9)</f>
        <v>30.666666666666668</v>
      </c>
      <c r="AP9" s="72">
        <f>AVERAGE(AD9:AI9)</f>
        <v>30.666666666666668</v>
      </c>
      <c r="AQ9" s="72">
        <f>AVERAGE(AA9:AI9)</f>
        <v>30.333333333333332</v>
      </c>
      <c r="AR9" s="72">
        <f>AVERAGE(X9:AI9)</f>
        <v>30.416666666666668</v>
      </c>
    </row>
    <row r="10" spans="1:44" ht="11.25" customHeight="1" x14ac:dyDescent="0.2">
      <c r="C10" t="s">
        <v>175</v>
      </c>
      <c r="D10" s="2"/>
      <c r="E10" s="29">
        <f>'BS1'!E10</f>
        <v>298.09100000000001</v>
      </c>
      <c r="F10" s="29">
        <f>'BS1'!F10</f>
        <v>347.89449999999999</v>
      </c>
      <c r="G10" s="29">
        <f>'BS1'!G10</f>
        <v>766.23199999999997</v>
      </c>
      <c r="H10" s="29">
        <f>'BS1'!H10</f>
        <v>528.95699999999999</v>
      </c>
      <c r="I10" s="29">
        <f>'BS1'!I10</f>
        <v>459.32799999999997</v>
      </c>
      <c r="J10" s="29">
        <f>'BS1'!J10</f>
        <v>637.95600000000002</v>
      </c>
      <c r="K10" s="29">
        <f>'BS1'!K10</f>
        <v>751.57500000000005</v>
      </c>
      <c r="L10" s="29">
        <f>'BS1'!L10</f>
        <v>1371.4255000000001</v>
      </c>
      <c r="M10" s="29">
        <f>'BS1'!M10</f>
        <v>911.52850000000001</v>
      </c>
      <c r="N10" s="29">
        <f>'BS1'!N10</f>
        <v>371.55950000000001</v>
      </c>
      <c r="O10" s="29">
        <f>'BS1'!O10</f>
        <v>371.72050000000002</v>
      </c>
      <c r="P10" s="29">
        <f>'BS1'!P10</f>
        <v>636.87599999999998</v>
      </c>
      <c r="Q10" s="29">
        <f>'BS1'!Q10</f>
        <v>542.14649999999995</v>
      </c>
      <c r="R10" s="29">
        <f>'BS1'!R10</f>
        <v>717.08450000000005</v>
      </c>
      <c r="S10" s="29">
        <f>'BS1'!S10</f>
        <v>468.52699999999999</v>
      </c>
      <c r="T10" s="29">
        <f>'BS1'!T10</f>
        <v>427.88400000000001</v>
      </c>
      <c r="U10" s="29">
        <f>'BS1'!U10</f>
        <v>521.29499999999996</v>
      </c>
      <c r="V10" s="29">
        <f>'BS1'!V10</f>
        <v>547.44899999999996</v>
      </c>
      <c r="W10" s="29">
        <f>'BS1'!W10</f>
        <v>471.65699999999998</v>
      </c>
      <c r="X10" s="29">
        <f>'BS1'!X10</f>
        <v>917.83900000000006</v>
      </c>
      <c r="Y10" s="29">
        <f>'BS1'!Y10</f>
        <v>1105.5360000000001</v>
      </c>
      <c r="Z10" s="29">
        <f>'BS1'!Z10</f>
        <v>329.661</v>
      </c>
      <c r="AA10" s="29">
        <f>'BS1'!AA10</f>
        <v>727.59749999999997</v>
      </c>
      <c r="AB10" s="29">
        <f>'BS1'!AB10</f>
        <v>597.9</v>
      </c>
      <c r="AC10" s="29">
        <f>'BS1'!AC10</f>
        <v>557.57299999999998</v>
      </c>
      <c r="AD10" s="29">
        <f>'BS1'!AD10</f>
        <v>512</v>
      </c>
      <c r="AE10" s="29">
        <f>'BS1'!AE10</f>
        <v>996.39009999999996</v>
      </c>
      <c r="AF10" s="29">
        <f>'BS1'!AF10</f>
        <v>636.00360000000001</v>
      </c>
      <c r="AG10" s="29">
        <f>'BS1'!AG10</f>
        <v>608.91700000000003</v>
      </c>
      <c r="AH10" s="29">
        <f>'BS1'!AH10</f>
        <v>836.82</v>
      </c>
      <c r="AI10" s="29">
        <f>'BS1'!AI10</f>
        <v>770.76300000000003</v>
      </c>
      <c r="AK10" s="29">
        <f>+P10</f>
        <v>636.87599999999998</v>
      </c>
      <c r="AL10" s="29">
        <f>+AB10</f>
        <v>597.9</v>
      </c>
      <c r="AM10" s="29">
        <f>+AI10</f>
        <v>770.76300000000003</v>
      </c>
      <c r="AO10" s="29">
        <f>AVERAGE(AG10:AI10)</f>
        <v>738.83333333333337</v>
      </c>
      <c r="AP10" s="29">
        <f>AVERAGE(AD10:AI10)</f>
        <v>726.81561666666676</v>
      </c>
      <c r="AQ10" s="29">
        <f>AVERAGE(AA10:AI10)</f>
        <v>693.77379999999994</v>
      </c>
      <c r="AR10" s="29">
        <f>AVERAGE(X10:AI10)</f>
        <v>716.41668333333337</v>
      </c>
    </row>
    <row r="11" spans="1:44" ht="11.25" customHeight="1" x14ac:dyDescent="0.2">
      <c r="C11" t="s">
        <v>28</v>
      </c>
      <c r="E11" s="2">
        <f>'PL1'!E10</f>
        <v>193.12699999999998</v>
      </c>
      <c r="F11" s="2">
        <f>'PL1'!F10</f>
        <v>429.44349999999997</v>
      </c>
      <c r="G11" s="2">
        <f>'PL1'!G10</f>
        <v>731.81500000000005</v>
      </c>
      <c r="H11" s="2">
        <f>'PL1'!H10</f>
        <v>430.35500000000002</v>
      </c>
      <c r="I11" s="2">
        <f>'PL1'!I10</f>
        <v>623.42899999999997</v>
      </c>
      <c r="J11" s="2">
        <f>'PL1'!J10</f>
        <v>480.83100000000002</v>
      </c>
      <c r="K11" s="2">
        <f>'PL1'!K10</f>
        <v>688.46799999999996</v>
      </c>
      <c r="L11" s="2">
        <f>'PL1'!L10</f>
        <v>1267.3995</v>
      </c>
      <c r="M11" s="2">
        <f>'PL1'!M10</f>
        <v>1276.1760000000002</v>
      </c>
      <c r="N11" s="2">
        <f>'PL1'!N10</f>
        <v>238.70149999999998</v>
      </c>
      <c r="O11" s="2">
        <f>'PL1'!O10</f>
        <v>550.8931</v>
      </c>
      <c r="P11" s="2">
        <f>'PL1'!P10</f>
        <v>736.78299999999979</v>
      </c>
      <c r="Q11" s="2">
        <f>'PL1'!Q10</f>
        <v>422.04399999999998</v>
      </c>
      <c r="R11" s="2">
        <f>'PL1'!R10</f>
        <v>525.65</v>
      </c>
      <c r="S11" s="2">
        <f>'PL1'!S10</f>
        <v>371.34799999999996</v>
      </c>
      <c r="T11" s="2">
        <f>'PL1'!T10</f>
        <v>381.63400000000001</v>
      </c>
      <c r="U11" s="2">
        <f>'PL1'!U10</f>
        <v>537.17899999999997</v>
      </c>
      <c r="V11" s="2">
        <f>'PL1'!V10</f>
        <v>356.904</v>
      </c>
      <c r="W11" s="2">
        <f>'PL1'!W10</f>
        <v>365.61400000000003</v>
      </c>
      <c r="X11" s="2">
        <f>'PL1'!X10</f>
        <v>1132.4019999999998</v>
      </c>
      <c r="Y11" s="2">
        <f>'PL1'!Y10</f>
        <v>1135.1701400000002</v>
      </c>
      <c r="Z11" s="2">
        <f>'PL1'!Z10</f>
        <v>329.65100999999999</v>
      </c>
      <c r="AA11" s="2">
        <f>'PL1'!AA10</f>
        <v>807.92899999999997</v>
      </c>
      <c r="AB11" s="2">
        <f>'PL1'!AB10</f>
        <v>413.2260099999998</v>
      </c>
      <c r="AC11" s="2">
        <f>'PL1'!AC10</f>
        <v>351.47300000000001</v>
      </c>
      <c r="AD11" s="2">
        <f>'PL1'!AD10</f>
        <v>543.60699999999997</v>
      </c>
      <c r="AE11" s="2">
        <f>'PL1'!AE10</f>
        <v>736.56510000000014</v>
      </c>
      <c r="AF11" s="2">
        <f>'PL1'!AF10</f>
        <v>425.64699999999999</v>
      </c>
      <c r="AG11" s="2">
        <f>'PL1'!AG10</f>
        <v>284.19</v>
      </c>
      <c r="AH11" s="2">
        <f>'PL1'!AH10</f>
        <v>760.36599999999999</v>
      </c>
      <c r="AI11" s="2">
        <f>'PL1'!AI10</f>
        <v>423.18799999999999</v>
      </c>
      <c r="AK11" s="2">
        <f>SUM(E11:P11)</f>
        <v>7647.4216000000006</v>
      </c>
      <c r="AL11" s="2">
        <f>SUM(Q11:AB11)</f>
        <v>6778.7511599999989</v>
      </c>
      <c r="AM11" s="2">
        <f>SUM(X11:AI11)</f>
        <v>7343.4142599999996</v>
      </c>
      <c r="AN11" s="2"/>
      <c r="AO11" s="2">
        <f>AVERAGE(AG11:AI11)</f>
        <v>489.24800000000005</v>
      </c>
      <c r="AP11" s="2">
        <f>AVERAGE(AD11:AI11)</f>
        <v>528.92718333333335</v>
      </c>
      <c r="AQ11" s="2">
        <f>AVERAGE(AA11:AI11)</f>
        <v>527.35456777777779</v>
      </c>
      <c r="AR11" s="2">
        <f>AVERAGE(X11:AI11)</f>
        <v>611.95118833333333</v>
      </c>
    </row>
    <row r="12" spans="1:44" ht="6" customHeight="1" x14ac:dyDescent="0.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K12" s="2"/>
      <c r="AL12" s="2"/>
      <c r="AM12" s="2"/>
      <c r="AN12" s="2"/>
      <c r="AO12" s="2"/>
      <c r="AP12" s="2"/>
      <c r="AQ12" s="2"/>
      <c r="AR12" s="2"/>
    </row>
    <row r="13" spans="1:44" ht="11.25" customHeight="1" x14ac:dyDescent="0.2">
      <c r="C13" t="s">
        <v>226</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c r="AF13" s="2">
        <v>0</v>
      </c>
      <c r="AG13" s="2">
        <v>0</v>
      </c>
      <c r="AH13" s="2">
        <v>0</v>
      </c>
      <c r="AI13" s="2">
        <v>0</v>
      </c>
      <c r="AK13" s="2">
        <f>+P13</f>
        <v>0</v>
      </c>
      <c r="AL13" s="2">
        <f>+AB13</f>
        <v>0</v>
      </c>
      <c r="AM13" s="2">
        <f>+AI13</f>
        <v>0</v>
      </c>
      <c r="AN13" s="2"/>
      <c r="AO13" s="2">
        <f>AVERAGE(AG13:AI13)</f>
        <v>0</v>
      </c>
      <c r="AP13" s="2">
        <f>AVERAGE(AD13:AI13)</f>
        <v>0</v>
      </c>
      <c r="AQ13" s="2">
        <f>AVERAGE(AA13:AI13)</f>
        <v>0</v>
      </c>
      <c r="AR13" s="2">
        <f>AVERAGE(X13:AI13)</f>
        <v>0</v>
      </c>
    </row>
    <row r="14" spans="1:44" ht="11.25" customHeight="1" x14ac:dyDescent="0.2">
      <c r="C14" t="s">
        <v>187</v>
      </c>
      <c r="E14" s="2">
        <f>'BS1'!E20</f>
        <v>102.97868</v>
      </c>
      <c r="F14" s="2">
        <f>'BS1'!F20</f>
        <v>125.28341999999999</v>
      </c>
      <c r="G14" s="2">
        <f>'BS1'!G20</f>
        <v>176.99108999999999</v>
      </c>
      <c r="H14" s="2">
        <f>'BS1'!H20</f>
        <v>66.261679999999998</v>
      </c>
      <c r="I14" s="2">
        <f>'BS1'!I20</f>
        <v>116.23258</v>
      </c>
      <c r="J14" s="2">
        <f>'BS1'!J20</f>
        <v>121.51022999999999</v>
      </c>
      <c r="K14" s="2">
        <f>'BS1'!K20</f>
        <v>187.83073000000002</v>
      </c>
      <c r="L14" s="2">
        <f>'BS1'!L20</f>
        <v>127.91239999999999</v>
      </c>
      <c r="M14" s="2">
        <f>'BS1'!M20</f>
        <v>-70.614460000000008</v>
      </c>
      <c r="N14" s="2">
        <f>'BS1'!N20</f>
        <v>-35.702379999999998</v>
      </c>
      <c r="O14" s="2">
        <f>'BS1'!O20</f>
        <v>175.42123999999998</v>
      </c>
      <c r="P14" s="2">
        <f>'BS1'!P20</f>
        <v>0</v>
      </c>
      <c r="Q14" s="2">
        <f>'BS1'!Q20</f>
        <v>57.586829999999999</v>
      </c>
      <c r="R14" s="2">
        <f>'BS1'!R20</f>
        <v>5.61409</v>
      </c>
      <c r="S14" s="2">
        <f>'BS1'!S20</f>
        <v>95.67886</v>
      </c>
      <c r="T14" s="2">
        <f>'BS1'!T20</f>
        <v>10.043340000000001</v>
      </c>
      <c r="U14" s="2">
        <f>'BS1'!U20</f>
        <v>131.57436999999999</v>
      </c>
      <c r="V14" s="2">
        <f>'BS1'!V20</f>
        <v>51.048589999999997</v>
      </c>
      <c r="W14" s="2">
        <f>'BS1'!W20</f>
        <v>118.19169000000001</v>
      </c>
      <c r="X14" s="2">
        <f>'BS1'!X20</f>
        <v>169.12200000000001</v>
      </c>
      <c r="Y14" s="2">
        <f>'BS1'!Y20</f>
        <v>118.87128999999999</v>
      </c>
      <c r="Z14" s="2">
        <f>'BS1'!Z20</f>
        <v>222.63320000000002</v>
      </c>
      <c r="AA14" s="2">
        <f>'BS1'!AA20</f>
        <v>96.150399999999991</v>
      </c>
      <c r="AB14" s="2">
        <f>'BS1'!AB20</f>
        <v>66.373259999999988</v>
      </c>
      <c r="AC14" s="2">
        <f>'BS1'!AC20</f>
        <v>111.65541999999999</v>
      </c>
      <c r="AD14" s="2">
        <f>'BS1'!AD20</f>
        <v>144.52427</v>
      </c>
      <c r="AE14" s="2">
        <f>'BS1'!AE20</f>
        <v>237.55035999999998</v>
      </c>
      <c r="AF14" s="2">
        <f>'BS1'!AF20</f>
        <v>57.762129999999999</v>
      </c>
      <c r="AG14" s="2">
        <f>'BS1'!AG20</f>
        <v>154.90525</v>
      </c>
      <c r="AH14" s="2">
        <f>'BS1'!AH20</f>
        <v>105.925</v>
      </c>
      <c r="AI14" s="2">
        <f>'BS1'!AI20</f>
        <v>95.755990000000011</v>
      </c>
      <c r="AK14" s="2">
        <f>+P14</f>
        <v>0</v>
      </c>
      <c r="AL14" s="2">
        <f>+AB14</f>
        <v>66.373259999999988</v>
      </c>
      <c r="AM14" s="2">
        <f>+AI14</f>
        <v>95.755990000000011</v>
      </c>
      <c r="AN14" s="2"/>
      <c r="AO14" s="2">
        <f>AVERAGE(AG14:AI14)</f>
        <v>118.86207999999999</v>
      </c>
      <c r="AP14" s="2">
        <f>AVERAGE(AD14:AI14)</f>
        <v>132.73716666666664</v>
      </c>
      <c r="AQ14" s="2">
        <f>AVERAGE(AA14:AI14)</f>
        <v>118.95578666666665</v>
      </c>
      <c r="AR14" s="2">
        <f>AVERAGE(X14:AI14)</f>
        <v>131.76904750000003</v>
      </c>
    </row>
    <row r="15" spans="1:44" ht="11.25" customHeight="1" x14ac:dyDescent="0.2">
      <c r="C15" t="s">
        <v>225</v>
      </c>
      <c r="E15" s="2">
        <f>'PL2'!E112-'PL2'!E45</f>
        <v>202.92982000000006</v>
      </c>
      <c r="F15" s="2">
        <f>'PL2'!F112-'PL2'!F45</f>
        <v>237.54817000000003</v>
      </c>
      <c r="G15" s="2">
        <f>'PL2'!G112-'PL2'!G45</f>
        <v>283.16858000000002</v>
      </c>
      <c r="H15" s="2">
        <f>'PL2'!H112-'PL2'!H45</f>
        <v>190.30639000000002</v>
      </c>
      <c r="I15" s="2">
        <f>'PL2'!I112-'PL2'!I45</f>
        <v>245.60079999999994</v>
      </c>
      <c r="J15" s="2">
        <f>'PL2'!J112-'PL2'!J45</f>
        <v>252.12335999999999</v>
      </c>
      <c r="K15" s="2">
        <f>'PL2'!K112-'PL2'!K45</f>
        <v>312.61952999999983</v>
      </c>
      <c r="L15" s="2">
        <f>'PL2'!L112-'PL2'!L45</f>
        <v>326.19472999999999</v>
      </c>
      <c r="M15" s="2">
        <f>'PL2'!M112-'PL2'!M45</f>
        <v>194.95973000000004</v>
      </c>
      <c r="N15" s="2">
        <f>'PL2'!N112-'PL2'!N45</f>
        <v>203.0207299999999</v>
      </c>
      <c r="O15" s="2">
        <f>'PL2'!O112-'PL2'!O45</f>
        <v>384.49578000000002</v>
      </c>
      <c r="P15" s="2">
        <f>'PL2'!P112-'PL2'!P45</f>
        <v>246.46405000000004</v>
      </c>
      <c r="Q15" s="2">
        <f>'PL2'!Q112-'PL2'!Q45</f>
        <v>226.78951999999992</v>
      </c>
      <c r="R15" s="2">
        <f>'PL2'!R112-'PL2'!R45</f>
        <v>169.69972000000001</v>
      </c>
      <c r="S15" s="2">
        <f>'PL2'!S112-'PL2'!S45</f>
        <v>226.46780000000001</v>
      </c>
      <c r="T15" s="2">
        <f>'PL2'!T112-'PL2'!T45</f>
        <v>193.60606000000001</v>
      </c>
      <c r="U15" s="2">
        <f>'PL2'!U112-'PL2'!U45</f>
        <v>225.58661000000006</v>
      </c>
      <c r="V15" s="2">
        <f>'PL2'!V112-'PL2'!V45</f>
        <v>177.60260000000005</v>
      </c>
      <c r="W15" s="2">
        <f>'PL2'!W112-'PL2'!W45</f>
        <v>243.82025000000004</v>
      </c>
      <c r="X15" s="2">
        <f>'PL2'!X112-'PL2'!X45</f>
        <v>234.33274</v>
      </c>
      <c r="Y15" s="2">
        <f>'PL2'!Y112-'PL2'!Y45</f>
        <v>230.2981299999999</v>
      </c>
      <c r="Z15" s="2">
        <f>'PL2'!Z112-'PL2'!Z45</f>
        <v>307.36536000000012</v>
      </c>
      <c r="AA15" s="2">
        <f>'PL2'!AA112-'PL2'!AA45</f>
        <v>161.47708</v>
      </c>
      <c r="AB15" s="2">
        <f>'PL2'!AB112-'PL2'!AB45</f>
        <v>374.42016999999998</v>
      </c>
      <c r="AC15" s="2">
        <f>'PL2'!AC112-'PL2'!AC45</f>
        <v>224.32191999999992</v>
      </c>
      <c r="AD15" s="2">
        <f>'PL2'!AD112-'PL2'!AD45</f>
        <v>206.71500000000003</v>
      </c>
      <c r="AE15" s="2">
        <f>'PL2'!AE112-'PL2'!AE45</f>
        <v>288.95621000000011</v>
      </c>
      <c r="AF15" s="2">
        <f>'PL2'!AF112-'PL2'!AF45</f>
        <v>166.64648000000005</v>
      </c>
      <c r="AG15" s="2">
        <f>'PL2'!AG112-'PL2'!AG45</f>
        <v>235.67140000000006</v>
      </c>
      <c r="AH15" s="2">
        <f>'PL2'!AH112-'PL2'!AH45</f>
        <v>244.91061999999999</v>
      </c>
      <c r="AI15" s="2">
        <f>'PL2'!AI112-'PL2'!AI45</f>
        <v>238.22548999999992</v>
      </c>
      <c r="AK15" s="2">
        <f>SUM(E15:P15)</f>
        <v>3079.4316699999999</v>
      </c>
      <c r="AL15" s="2">
        <f>SUM(Q15:AB15)</f>
        <v>2771.4660400000002</v>
      </c>
      <c r="AM15" s="2">
        <f>SUM(X15:AI15)</f>
        <v>2913.3406</v>
      </c>
      <c r="AN15" s="2"/>
      <c r="AO15" s="2">
        <f>AVERAGE(AG15:AI15)</f>
        <v>239.60250333333332</v>
      </c>
      <c r="AP15" s="2">
        <f>AVERAGE(AD15:AI15)</f>
        <v>230.18753333333333</v>
      </c>
      <c r="AQ15" s="2">
        <f>AVERAGE(AA15:AI15)</f>
        <v>237.92715222222225</v>
      </c>
      <c r="AR15" s="2">
        <f>AVERAGE(X15:AI15)</f>
        <v>242.77838333333332</v>
      </c>
    </row>
    <row r="16" spans="1:44" ht="6" customHeight="1" x14ac:dyDescent="0.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K16" s="2"/>
      <c r="AL16" s="2"/>
      <c r="AM16" s="2"/>
      <c r="AN16" s="2"/>
      <c r="AO16" s="2"/>
      <c r="AP16" s="2"/>
      <c r="AQ16" s="2"/>
      <c r="AR16" s="2"/>
    </row>
    <row r="17" spans="3:44" ht="11.25" customHeight="1" x14ac:dyDescent="0.2">
      <c r="C17" t="s">
        <v>136</v>
      </c>
      <c r="E17" s="2">
        <f>IFERROR((E10/E11)*E9,0)</f>
        <v>47.848415809286124</v>
      </c>
      <c r="F17" s="2">
        <f>IFERROR((F10/F11)*F9,0)</f>
        <v>25.113267519475791</v>
      </c>
      <c r="G17" s="2">
        <f>IFERROR((G10/G11)*G9,0)</f>
        <v>31.410889364115246</v>
      </c>
      <c r="H17" s="2">
        <f>IFERROR((H10/H11)*H9,0)</f>
        <v>38.10265246134005</v>
      </c>
      <c r="I17" s="2">
        <f>IFERROR((I10/I11)*I9,0)</f>
        <v>22.840079624143247</v>
      </c>
      <c r="J17" s="2">
        <f>IFERROR((J10/J11)*J9,0)</f>
        <v>39.803340466816827</v>
      </c>
      <c r="K17" s="2">
        <f>IFERROR((K10/K11)*K9,0)</f>
        <v>33.841551096056762</v>
      </c>
      <c r="L17" s="2">
        <f>IFERROR((L10/L11)*L9,0)</f>
        <v>32.462349085667149</v>
      </c>
      <c r="M17" s="2">
        <f>IFERROR((M10/M11)*M9,0)</f>
        <v>22.142230773811761</v>
      </c>
      <c r="N17" s="2">
        <f>IFERROR((N10/N11)*N9,0)</f>
        <v>48.254177288370627</v>
      </c>
      <c r="O17" s="2">
        <f>IFERROR((O10/O11)*O9,0)</f>
        <v>19.5680332536385</v>
      </c>
      <c r="P17" s="2">
        <f>IFERROR((P10/P11)*P9,0)</f>
        <v>26.796432599557811</v>
      </c>
      <c r="Q17" s="2">
        <f>IFERROR((Q10/Q11)*Q9,0)</f>
        <v>38.537202282226495</v>
      </c>
      <c r="R17" s="2">
        <f>IFERROR((R10/R11)*R9,0)</f>
        <v>42.289773613621236</v>
      </c>
      <c r="S17" s="2">
        <f>IFERROR((S10/S11)*S9,0)</f>
        <v>37.850776091429069</v>
      </c>
      <c r="T17" s="2">
        <f>IFERROR((T10/T11)*T9,0)</f>
        <v>34.756871767190553</v>
      </c>
      <c r="U17" s="2">
        <f>IFERROR((U10/U11)*U9,0)</f>
        <v>30.083352104233413</v>
      </c>
      <c r="V17" s="2">
        <f>IFERROR((V10/V11)*V9,0)</f>
        <v>46.016491829735727</v>
      </c>
      <c r="W17" s="2">
        <f>IFERROR((W10/W11)*W9,0)</f>
        <v>39.991266745802946</v>
      </c>
      <c r="X17" s="2">
        <f>IFERROR((X10/X11)*X9,0)</f>
        <v>24.315720035817673</v>
      </c>
      <c r="Y17" s="2">
        <f>IFERROR((Y10/Y11)*Y9,0)</f>
        <v>30.190730704033491</v>
      </c>
      <c r="Z17" s="2">
        <f>IFERROR((Z10/Z11)*Z9,0)</f>
        <v>31.000939448054478</v>
      </c>
      <c r="AA17" s="2">
        <f>IFERROR((AA10/AA11)*AA9,0)</f>
        <v>25.215990514017939</v>
      </c>
      <c r="AB17" s="2">
        <f>IFERROR((AB10/AB11)*AB9,0)</f>
        <v>44.85414652383573</v>
      </c>
      <c r="AC17" s="2">
        <f>IFERROR((AC10/AC11)*AC9,0)</f>
        <v>47.591678450407279</v>
      </c>
      <c r="AD17" s="2">
        <f>IFERROR((AD10/AD11)*AD9,0)</f>
        <v>29.19756368111522</v>
      </c>
      <c r="AE17" s="2">
        <f>IFERROR((AE10/AE11)*AE9,0)</f>
        <v>40.582567650843075</v>
      </c>
      <c r="AF17" s="2">
        <f>IFERROR((AF10/AF11)*AF9,0)</f>
        <v>46.320334925419417</v>
      </c>
      <c r="AG17" s="2">
        <f>IFERROR((AG10/AG11)*AG9,0)</f>
        <v>66.421855096942195</v>
      </c>
      <c r="AH17" s="2">
        <f>IFERROR((AH10/AH11)*AH9,0)</f>
        <v>33.016468384961982</v>
      </c>
      <c r="AI17" s="2">
        <f>IFERROR((AI10/AI11)*AI9,0)</f>
        <v>56.461083490080064</v>
      </c>
      <c r="AJ17" s="2"/>
      <c r="AK17" s="2">
        <f>IFERROR((AK10/AK11)*AK9,0)</f>
        <v>30.397139344324884</v>
      </c>
      <c r="AL17" s="2">
        <f>IFERROR((AL10/AL11)*AL9,0)</f>
        <v>32.193761778386332</v>
      </c>
      <c r="AM17" s="2">
        <f>IFERROR((AM10/AM11)*AM9,0)</f>
        <v>38.310312483991616</v>
      </c>
      <c r="AN17" s="2"/>
      <c r="AO17" s="2">
        <f>AVERAGE(AG17:AI17)</f>
        <v>51.966468990661411</v>
      </c>
      <c r="AP17" s="2">
        <f>AVERAGE(AD17:AI17)</f>
        <v>45.333312204893652</v>
      </c>
      <c r="AQ17" s="2">
        <f>AVERAGE(AA17:AI17)</f>
        <v>43.295743190846991</v>
      </c>
      <c r="AR17" s="2">
        <f>AVERAGE(X17:AI17)</f>
        <v>39.59742324212737</v>
      </c>
    </row>
    <row r="18" spans="3:44" ht="11.25" customHeight="1" x14ac:dyDescent="0.2">
      <c r="C18" t="s">
        <v>135</v>
      </c>
      <c r="E18" s="2">
        <f>IFERROR((AVERAGE(E13:E13)/E15)*E9,0)</f>
        <v>0</v>
      </c>
      <c r="F18" s="2">
        <f>IFERROR((AVERAGE(E13:F13)/F15)*F9,0)</f>
        <v>0</v>
      </c>
      <c r="G18" s="2">
        <f>IFERROR((AVERAGE(F13:G13)/G15)*G9,0)</f>
        <v>0</v>
      </c>
      <c r="H18" s="2">
        <f>IFERROR((AVERAGE(G13:H13)/H15)*H9,0)</f>
        <v>0</v>
      </c>
      <c r="I18" s="2">
        <f>IFERROR((AVERAGE(H13:I13)/I15)*I9,0)</f>
        <v>0</v>
      </c>
      <c r="J18" s="2">
        <f>IFERROR((AVERAGE(I13:J13)/J15)*J9,0)</f>
        <v>0</v>
      </c>
      <c r="K18" s="2">
        <f>IFERROR((AVERAGE(J13:K13)/K15)*K9,0)</f>
        <v>0</v>
      </c>
      <c r="L18" s="2">
        <f>IFERROR((AVERAGE(K13:L13)/L15)*L9,0)</f>
        <v>0</v>
      </c>
      <c r="M18" s="2">
        <f>IFERROR((AVERAGE(L13:M13)/M15)*M9,0)</f>
        <v>0</v>
      </c>
      <c r="N18" s="2">
        <f>IFERROR((AVERAGE(M13:N13)/N15)*N9,0)</f>
        <v>0</v>
      </c>
      <c r="O18" s="2">
        <f>IFERROR((AVERAGE(N13:O13)/O15)*O9,0)</f>
        <v>0</v>
      </c>
      <c r="P18" s="2">
        <f>IFERROR((AVERAGE(O13:P13)/P15)*P9,0)</f>
        <v>0</v>
      </c>
      <c r="Q18" s="2">
        <f>IFERROR((AVERAGE(P13:Q13)/Q15)*Q9,0)</f>
        <v>0</v>
      </c>
      <c r="R18" s="2">
        <f>IFERROR((AVERAGE(Q13:R13)/R15)*R9,0)</f>
        <v>0</v>
      </c>
      <c r="S18" s="2">
        <f>IFERROR((AVERAGE(R13:S13)/S15)*S9,0)</f>
        <v>0</v>
      </c>
      <c r="T18" s="2">
        <f>IFERROR((AVERAGE(S13:T13)/T15)*T9,0)</f>
        <v>0</v>
      </c>
      <c r="U18" s="2">
        <f>IFERROR((AVERAGE(T13:U13)/U15)*U9,0)</f>
        <v>0</v>
      </c>
      <c r="V18" s="2">
        <f>IFERROR((AVERAGE(U13:V13)/V15)*V9,0)</f>
        <v>0</v>
      </c>
      <c r="W18" s="2">
        <f>IFERROR((AVERAGE(V13:W13)/W15)*W9,0)</f>
        <v>0</v>
      </c>
      <c r="X18" s="2">
        <f>IFERROR((AVERAGE(W13:X13)/X15)*X9,0)</f>
        <v>0</v>
      </c>
      <c r="Y18" s="2">
        <f>IFERROR((AVERAGE(X13:Y13)/Y15)*Y9,0)</f>
        <v>0</v>
      </c>
      <c r="Z18" s="2">
        <f>IFERROR((AVERAGE(Y13:Z13)/Z15)*Z9,0)</f>
        <v>0</v>
      </c>
      <c r="AA18" s="2">
        <f>IFERROR((AVERAGE(Z13:AA13)/AA15)*AA9,0)</f>
        <v>0</v>
      </c>
      <c r="AB18" s="2">
        <f>IFERROR((AVERAGE(AA13:AB13)/AB15)*AB9,0)</f>
        <v>0</v>
      </c>
      <c r="AC18" s="2">
        <f>IFERROR((AVERAGE(AB13:AC13)/AC15)*AC9,0)</f>
        <v>0</v>
      </c>
      <c r="AD18" s="2">
        <f>IFERROR((AVERAGE(AC13:AD13)/AD15)*AD9,0)</f>
        <v>0</v>
      </c>
      <c r="AE18" s="2">
        <f>IFERROR((AVERAGE(AD13:AE13)/AE15)*AE9,0)</f>
        <v>0</v>
      </c>
      <c r="AF18" s="2">
        <f>IFERROR((AVERAGE(AE13:AF13)/AF15)*AF9,0)</f>
        <v>0</v>
      </c>
      <c r="AG18" s="2">
        <f>IFERROR((AVERAGE(AF13:AG13)/AG15)*AG9,0)</f>
        <v>0</v>
      </c>
      <c r="AH18" s="2">
        <f>IFERROR((AVERAGE(AG13:AH13)/AH15)*AH9,0)</f>
        <v>0</v>
      </c>
      <c r="AI18" s="2">
        <f>IFERROR((AVERAGE(AH13:AI13)/AI15)*AI9,0)</f>
        <v>0</v>
      </c>
      <c r="AJ18" s="2"/>
      <c r="AK18" s="2">
        <f>IFERROR((AVERAGE(AK13:AK13)/AK15)*AK9,0)</f>
        <v>0</v>
      </c>
      <c r="AL18" s="2">
        <f>IFERROR((AVERAGE(AL13:AL13)/AL15)*AL9,0)</f>
        <v>0</v>
      </c>
      <c r="AM18" s="2">
        <f>IFERROR((AVERAGE(AM13:AM13)/AM15)*AM9,0)</f>
        <v>0</v>
      </c>
      <c r="AN18" s="2"/>
      <c r="AO18" s="2">
        <f>AVERAGE(AG18:AI18)</f>
        <v>0</v>
      </c>
      <c r="AP18" s="2">
        <f>AVERAGE(AD18:AI18)</f>
        <v>0</v>
      </c>
      <c r="AQ18" s="2">
        <f>AVERAGE(AA18:AI18)</f>
        <v>0</v>
      </c>
      <c r="AR18" s="2">
        <f>AVERAGE(X18:AI18)</f>
        <v>0</v>
      </c>
    </row>
    <row r="19" spans="3:44" ht="11.25" customHeight="1" x14ac:dyDescent="0.2">
      <c r="C19" t="s">
        <v>134</v>
      </c>
      <c r="E19" s="2">
        <f>IFERROR((E14/E15)*E9,0)</f>
        <v>15.731246792610364</v>
      </c>
      <c r="F19" s="2">
        <f>IFERROR((F14/F15)*F9,0)</f>
        <v>16.349467225952527</v>
      </c>
      <c r="G19" s="2">
        <f>IFERROR((G14/G15)*G9,0)</f>
        <v>18.751136513803893</v>
      </c>
      <c r="H19" s="2">
        <f>IFERROR((H14/H15)*H9,0)</f>
        <v>10.793710500209688</v>
      </c>
      <c r="I19" s="2">
        <f>IFERROR((I14/I15)*I9,0)</f>
        <v>14.671002618883982</v>
      </c>
      <c r="J19" s="2">
        <f>IFERROR((J14/J15)*J9,0)</f>
        <v>14.45842582773766</v>
      </c>
      <c r="K19" s="2">
        <f>IFERROR((K14/K15)*K9,0)</f>
        <v>18.625684166309135</v>
      </c>
      <c r="L19" s="2">
        <f>IFERROR((L14/L15)*L9,0)</f>
        <v>11.76405271783514</v>
      </c>
      <c r="M19" s="2">
        <f>IFERROR((M14/M15)*M9,0)</f>
        <v>-11.228207281575532</v>
      </c>
      <c r="N19" s="2">
        <f>IFERROR((N14/N15)*N9,0)</f>
        <v>-5.4515308855406071</v>
      </c>
      <c r="O19" s="2">
        <f>IFERROR((O14/O15)*O9,0)</f>
        <v>13.230875927949064</v>
      </c>
      <c r="P19" s="2">
        <f>IFERROR((P14/P15)*P9,0)</f>
        <v>0</v>
      </c>
      <c r="Q19" s="2">
        <f>IFERROR((Q14/Q15)*Q9,0)</f>
        <v>7.617657553135615</v>
      </c>
      <c r="R19" s="2">
        <f>IFERROR((R14/R15)*R9,0)</f>
        <v>1.0255573197174397</v>
      </c>
      <c r="S19" s="2">
        <f>IFERROR((S14/S15)*S9,0)</f>
        <v>12.674498537982</v>
      </c>
      <c r="T19" s="2">
        <f>IFERROR((T14/T15)*T9,0)</f>
        <v>1.6081291050497075</v>
      </c>
      <c r="U19" s="2">
        <f>IFERROR((U14/U15)*U9,0)</f>
        <v>18.080884632292666</v>
      </c>
      <c r="V19" s="2">
        <f>IFERROR((V14/V15)*V9,0)</f>
        <v>8.6229463983072279</v>
      </c>
      <c r="W19" s="2">
        <f>IFERROR((W14/W15)*W9,0)</f>
        <v>15.027227599020179</v>
      </c>
      <c r="X19" s="2">
        <f>IFERROR((X14/X15)*X9,0)</f>
        <v>21.651519971131648</v>
      </c>
      <c r="Y19" s="2">
        <f>IFERROR((Y14/Y15)*Y9,0)</f>
        <v>16.00104173663938</v>
      </c>
      <c r="Z19" s="2">
        <f>IFERROR((Z14/Z15)*Z9,0)</f>
        <v>22.454154235207241</v>
      </c>
      <c r="AA19" s="2">
        <f>IFERROR((AA14/AA15)*AA9,0)</f>
        <v>16.672404529484925</v>
      </c>
      <c r="AB19" s="2">
        <f>IFERROR((AB14/AB15)*AB9,0)</f>
        <v>5.4953531483092908</v>
      </c>
      <c r="AC19" s="2">
        <f>IFERROR((AC14/AC15)*AC9,0)</f>
        <v>14.93239091391515</v>
      </c>
      <c r="AD19" s="2">
        <f>IFERROR((AD14/AD15)*AD9,0)</f>
        <v>21.673571680816579</v>
      </c>
      <c r="AE19" s="2">
        <f>IFERROR((AE14/AE15)*AE9,0)</f>
        <v>24.662943911120642</v>
      </c>
      <c r="AF19" s="2">
        <f>IFERROR((AF14/AF15)*AF9,0)</f>
        <v>10.745057621379097</v>
      </c>
      <c r="AG19" s="2">
        <f>IFERROR((AG14/AG15)*AG9,0)</f>
        <v>20.376094638551805</v>
      </c>
      <c r="AH19" s="2">
        <f>IFERROR((AH14/AH15)*AH9,0)</f>
        <v>12.975141706798995</v>
      </c>
      <c r="AI19" s="2">
        <f>IFERROR((AI14/AI15)*AI9,0)</f>
        <v>12.46061321985318</v>
      </c>
      <c r="AJ19" s="2"/>
      <c r="AK19" s="2">
        <f>IFERROR((AK14/AK15)*AK9,0)</f>
        <v>0</v>
      </c>
      <c r="AL19" s="2">
        <f>IFERROR((AL14/AL15)*AL9,0)</f>
        <v>8.741308589153773</v>
      </c>
      <c r="AM19" s="2">
        <f>IFERROR((AM14/AM15)*AM9,0)</f>
        <v>11.996858983807114</v>
      </c>
      <c r="AN19" s="2"/>
      <c r="AO19" s="2">
        <f>AVERAGE(AG19:AI19)</f>
        <v>15.270616521734659</v>
      </c>
      <c r="AP19" s="2">
        <f>AVERAGE(AD19:AI19)</f>
        <v>17.148903796420047</v>
      </c>
      <c r="AQ19" s="2">
        <f>AVERAGE(AA19:AI19)</f>
        <v>15.554841263358851</v>
      </c>
      <c r="AR19" s="2">
        <f>AVERAGE(X19:AI19)</f>
        <v>16.675023942767329</v>
      </c>
    </row>
    <row r="20" spans="3:44" ht="12" customHeight="1" thickBot="1" x14ac:dyDescent="0.3">
      <c r="C20" s="40" t="s">
        <v>224</v>
      </c>
      <c r="D20" s="49"/>
      <c r="E20" s="51">
        <f>E17+E18-E19</f>
        <v>32.11716901667576</v>
      </c>
      <c r="F20" s="51">
        <f>F17+F18-F19</f>
        <v>8.7638002935232642</v>
      </c>
      <c r="G20" s="51">
        <f>G17+G18-G19</f>
        <v>12.659752850311353</v>
      </c>
      <c r="H20" s="51">
        <f>H17+H18-H19</f>
        <v>27.308941961130362</v>
      </c>
      <c r="I20" s="51">
        <f>I17+I18-I19</f>
        <v>8.1690770052592647</v>
      </c>
      <c r="J20" s="51">
        <f>J17+J18-J19</f>
        <v>25.344914639079168</v>
      </c>
      <c r="K20" s="51">
        <f>K17+K18-K19</f>
        <v>15.215866929747627</v>
      </c>
      <c r="L20" s="51">
        <f>L17+L18-L19</f>
        <v>20.698296367832008</v>
      </c>
      <c r="M20" s="51">
        <f>M17+M18-M19</f>
        <v>33.370438055387297</v>
      </c>
      <c r="N20" s="51">
        <f>N17+N18-N19</f>
        <v>53.705708173911233</v>
      </c>
      <c r="O20" s="51">
        <f>O17+O18-O19</f>
        <v>6.3371573256894358</v>
      </c>
      <c r="P20" s="51">
        <f>P17+P18-P19</f>
        <v>26.796432599557811</v>
      </c>
      <c r="Q20" s="51">
        <f>Q17+Q18-Q19</f>
        <v>30.91954472909088</v>
      </c>
      <c r="R20" s="51">
        <f>R17+R18-R19</f>
        <v>41.264216293903793</v>
      </c>
      <c r="S20" s="51">
        <f>S17+S18-S19</f>
        <v>25.176277553447068</v>
      </c>
      <c r="T20" s="51">
        <f>T17+T18-T19</f>
        <v>33.148742662140847</v>
      </c>
      <c r="U20" s="51">
        <f>U17+U18-U19</f>
        <v>12.002467471940747</v>
      </c>
      <c r="V20" s="51">
        <f>V17+V18-V19</f>
        <v>37.3935454314285</v>
      </c>
      <c r="W20" s="51">
        <f>W17+W18-W19</f>
        <v>24.964039146782767</v>
      </c>
      <c r="X20" s="51">
        <f>X17+X18-X19</f>
        <v>2.6642000646860247</v>
      </c>
      <c r="Y20" s="51">
        <f>Y17+Y18-Y19</f>
        <v>14.189688967394112</v>
      </c>
      <c r="Z20" s="51">
        <f>Z17+Z18-Z19</f>
        <v>8.5467852128472366</v>
      </c>
      <c r="AA20" s="51">
        <f>AA17+AA18-AA19</f>
        <v>8.5435859845330135</v>
      </c>
      <c r="AB20" s="51">
        <f>AB17+AB18-AB19</f>
        <v>39.358793375526439</v>
      </c>
      <c r="AC20" s="51">
        <f>AC17+AC18-AC19</f>
        <v>32.65928753649213</v>
      </c>
      <c r="AD20" s="51">
        <f>AD17+AD18-AD19</f>
        <v>7.5239920002986409</v>
      </c>
      <c r="AE20" s="51">
        <f>AE17+AE18-AE19</f>
        <v>15.919623739722432</v>
      </c>
      <c r="AF20" s="51">
        <f>AF17+AF18-AF19</f>
        <v>35.57527730404032</v>
      </c>
      <c r="AG20" s="51">
        <f>AG17+AG18-AG19</f>
        <v>46.04576045839039</v>
      </c>
      <c r="AH20" s="51">
        <f>AH17+AH18-AH19</f>
        <v>20.041326678162989</v>
      </c>
      <c r="AI20" s="51">
        <f>AI17+AI18-AI19</f>
        <v>44.000470270226884</v>
      </c>
      <c r="AJ20" s="51"/>
      <c r="AK20" s="51">
        <f>AK17+AK18-AK19</f>
        <v>30.397139344324884</v>
      </c>
      <c r="AL20" s="51">
        <f>AL17+AL18-AL19</f>
        <v>23.452453189232557</v>
      </c>
      <c r="AM20" s="51">
        <f>AM17+AM18-AM19</f>
        <v>26.313453500184501</v>
      </c>
      <c r="AN20" s="51"/>
      <c r="AO20" s="51">
        <f>AVERAGE(AG20:AI20)</f>
        <v>36.695852468926752</v>
      </c>
      <c r="AP20" s="51">
        <f>AVERAGE(AD20:AI20)</f>
        <v>28.184408408473612</v>
      </c>
      <c r="AQ20" s="51">
        <f>AVERAGE(AA20:AI20)</f>
        <v>27.740901927488139</v>
      </c>
      <c r="AR20" s="51">
        <f>AVERAGE(X20:AI20)</f>
        <v>22.922399299360052</v>
      </c>
    </row>
    <row r="21" spans="3:44" ht="6" customHeight="1" x14ac:dyDescent="0.2">
      <c r="C21" s="73"/>
      <c r="E21" s="72"/>
      <c r="F21" s="72"/>
      <c r="G21" s="72"/>
      <c r="H21" s="72"/>
      <c r="I21" s="72"/>
      <c r="J21" s="72"/>
      <c r="K21" s="72"/>
      <c r="L21" s="72"/>
      <c r="M21" s="72"/>
      <c r="N21" s="72"/>
      <c r="O21" s="72"/>
      <c r="P21" s="72"/>
      <c r="Q21" s="72"/>
      <c r="R21" s="72"/>
      <c r="S21" s="72"/>
      <c r="T21" s="72"/>
      <c r="U21" s="72"/>
      <c r="V21" s="72"/>
      <c r="W21" s="72"/>
      <c r="X21" s="72"/>
      <c r="Y21" s="72"/>
      <c r="Z21" s="72"/>
      <c r="AA21" s="72"/>
      <c r="AB21" s="72"/>
      <c r="AC21" s="72"/>
      <c r="AD21" s="72"/>
      <c r="AE21" s="72"/>
      <c r="AF21" s="72"/>
      <c r="AG21" s="72"/>
      <c r="AH21" s="72"/>
      <c r="AI21" s="72"/>
    </row>
    <row r="22" spans="3:44" x14ac:dyDescent="0.2">
      <c r="C22" s="73"/>
      <c r="E22" s="72"/>
      <c r="F22" s="72"/>
      <c r="G22" s="72"/>
      <c r="H22" s="72"/>
      <c r="I22" s="72"/>
      <c r="J22" s="72"/>
      <c r="K22" s="72"/>
      <c r="L22" s="72"/>
      <c r="M22" s="72"/>
      <c r="N22" s="72"/>
      <c r="O22" s="72"/>
      <c r="P22" s="72"/>
      <c r="Q22" s="72"/>
      <c r="R22" s="72"/>
      <c r="S22" s="72"/>
      <c r="T22" s="72"/>
      <c r="U22" s="72"/>
      <c r="V22" s="72"/>
      <c r="W22" s="72"/>
      <c r="X22" s="72"/>
      <c r="Y22" s="72"/>
      <c r="Z22" s="72"/>
      <c r="AA22" s="72"/>
      <c r="AB22" s="72"/>
      <c r="AC22" s="72"/>
      <c r="AD22" s="72"/>
      <c r="AE22" s="72"/>
      <c r="AF22" s="72"/>
      <c r="AG22" s="72"/>
      <c r="AH22" s="72"/>
      <c r="AI22" s="72"/>
    </row>
    <row r="23" spans="3:44" x14ac:dyDescent="0.2">
      <c r="C23" s="73"/>
      <c r="E23" s="72"/>
      <c r="F23" s="72"/>
      <c r="G23" s="72"/>
      <c r="H23" s="72"/>
      <c r="I23" s="72"/>
      <c r="J23" s="72"/>
      <c r="K23" s="72"/>
      <c r="L23" s="72"/>
      <c r="M23" s="72"/>
      <c r="N23" s="72"/>
      <c r="O23" s="72"/>
      <c r="P23" s="72"/>
      <c r="Q23" s="72"/>
      <c r="R23" s="72"/>
      <c r="S23" s="72"/>
      <c r="T23" s="72"/>
      <c r="U23" s="72"/>
      <c r="V23" s="72"/>
      <c r="W23" s="72"/>
      <c r="X23" s="72"/>
      <c r="Y23" s="72"/>
      <c r="Z23" s="72"/>
      <c r="AA23" s="72"/>
      <c r="AB23" s="72"/>
      <c r="AC23" s="72"/>
      <c r="AD23" s="72"/>
      <c r="AE23" s="72"/>
      <c r="AF23" s="72"/>
      <c r="AG23" s="72"/>
      <c r="AH23" s="72"/>
      <c r="AI23" s="72"/>
    </row>
    <row r="24" spans="3:44" x14ac:dyDescent="0.2">
      <c r="C24" s="73"/>
      <c r="E24" s="72"/>
      <c r="F24" s="72"/>
      <c r="G24" s="72"/>
      <c r="H24" s="72"/>
      <c r="I24" s="72"/>
      <c r="J24" s="72"/>
      <c r="K24" s="72"/>
      <c r="L24" s="72"/>
      <c r="M24" s="72"/>
      <c r="N24" s="72"/>
      <c r="O24" s="72"/>
      <c r="P24" s="72"/>
      <c r="Q24" s="72"/>
      <c r="R24" s="72"/>
      <c r="S24" s="72"/>
      <c r="T24" s="72"/>
      <c r="U24" s="72"/>
      <c r="V24" s="72"/>
      <c r="W24" s="72"/>
      <c r="X24" s="72"/>
      <c r="Y24" s="72"/>
      <c r="Z24" s="72"/>
      <c r="AA24" s="72"/>
      <c r="AB24" s="72"/>
      <c r="AC24" s="72"/>
      <c r="AD24" s="72"/>
      <c r="AE24" s="72"/>
      <c r="AF24" s="72"/>
      <c r="AG24" s="72"/>
      <c r="AH24" s="72"/>
      <c r="AI24" s="72"/>
    </row>
    <row r="25" spans="3:44" x14ac:dyDescent="0.2">
      <c r="C25" s="73"/>
      <c r="E25" s="72"/>
      <c r="F25" s="72"/>
      <c r="G25" s="72"/>
      <c r="H25" s="72"/>
      <c r="I25" s="72"/>
      <c r="J25" s="72"/>
      <c r="K25" s="72"/>
      <c r="L25" s="72"/>
      <c r="M25" s="72"/>
      <c r="N25" s="72"/>
      <c r="O25" s="72"/>
      <c r="P25" s="72"/>
      <c r="Q25" s="72"/>
      <c r="R25" s="72"/>
      <c r="S25" s="72"/>
      <c r="T25" s="72"/>
      <c r="U25" s="72"/>
      <c r="V25" s="72"/>
      <c r="W25" s="72"/>
      <c r="X25" s="72"/>
      <c r="Y25" s="72"/>
      <c r="Z25" s="72"/>
      <c r="AA25" s="72"/>
      <c r="AB25" s="72"/>
      <c r="AC25" s="72"/>
      <c r="AD25" s="72"/>
      <c r="AE25" s="72"/>
      <c r="AF25" s="72"/>
      <c r="AG25" s="72"/>
      <c r="AH25" s="72"/>
      <c r="AI25" s="72"/>
    </row>
    <row r="26" spans="3:44" x14ac:dyDescent="0.2">
      <c r="C26" s="73"/>
      <c r="E26" s="72"/>
      <c r="F26" s="72"/>
      <c r="G26" s="72"/>
      <c r="H26" s="72"/>
      <c r="I26" s="72"/>
      <c r="J26" s="72"/>
      <c r="K26" s="72"/>
      <c r="L26" s="72"/>
      <c r="M26" s="72"/>
      <c r="N26" s="72"/>
      <c r="O26" s="72"/>
      <c r="P26" s="72"/>
      <c r="Q26" s="72"/>
      <c r="R26" s="72"/>
      <c r="S26" s="72"/>
      <c r="T26" s="72"/>
      <c r="U26" s="72"/>
      <c r="V26" s="72"/>
      <c r="W26" s="72"/>
      <c r="X26" s="72"/>
      <c r="Y26" s="72"/>
      <c r="Z26" s="72"/>
      <c r="AA26" s="72"/>
      <c r="AB26" s="72"/>
      <c r="AC26" s="72"/>
      <c r="AD26" s="72"/>
      <c r="AE26" s="72"/>
      <c r="AF26" s="72"/>
      <c r="AG26" s="72"/>
      <c r="AH26" s="72"/>
      <c r="AI26" s="72"/>
    </row>
    <row r="27" spans="3:44" x14ac:dyDescent="0.2">
      <c r="C27" s="73"/>
      <c r="E27" s="72"/>
      <c r="F27" s="72"/>
      <c r="G27" s="72"/>
      <c r="H27" s="72"/>
      <c r="I27" s="72"/>
      <c r="J27" s="72"/>
      <c r="K27" s="72"/>
      <c r="L27" s="72"/>
      <c r="M27" s="72"/>
      <c r="N27" s="72"/>
      <c r="O27" s="72"/>
      <c r="P27" s="72"/>
      <c r="Q27" s="72"/>
      <c r="R27" s="72"/>
      <c r="S27" s="72"/>
      <c r="T27" s="72"/>
      <c r="U27" s="72"/>
      <c r="V27" s="72"/>
      <c r="W27" s="72"/>
      <c r="X27" s="72"/>
      <c r="Y27" s="72"/>
      <c r="Z27" s="72"/>
      <c r="AA27" s="72"/>
      <c r="AB27" s="72"/>
      <c r="AC27" s="72"/>
      <c r="AD27" s="72"/>
      <c r="AE27" s="72"/>
      <c r="AF27" s="72"/>
      <c r="AG27" s="72"/>
      <c r="AH27" s="72"/>
      <c r="AI27" s="72"/>
    </row>
    <row r="28" spans="3:44" x14ac:dyDescent="0.2">
      <c r="C28" s="73"/>
      <c r="E28" s="72"/>
      <c r="F28" s="72"/>
      <c r="G28" s="72"/>
      <c r="H28" s="72"/>
      <c r="I28" s="72"/>
      <c r="J28" s="72"/>
      <c r="K28" s="72"/>
      <c r="L28" s="72"/>
      <c r="M28" s="72"/>
      <c r="N28" s="72"/>
      <c r="O28" s="72"/>
      <c r="P28" s="72"/>
      <c r="Q28" s="72"/>
      <c r="R28" s="72"/>
      <c r="S28" s="72"/>
      <c r="T28" s="72"/>
      <c r="U28" s="72"/>
      <c r="V28" s="72"/>
      <c r="W28" s="72"/>
      <c r="X28" s="72"/>
      <c r="Y28" s="72"/>
      <c r="Z28" s="72"/>
      <c r="AA28" s="72"/>
      <c r="AB28" s="72"/>
      <c r="AC28" s="72"/>
      <c r="AD28" s="72"/>
      <c r="AE28" s="72"/>
      <c r="AF28" s="72"/>
      <c r="AG28" s="72"/>
      <c r="AH28" s="72"/>
      <c r="AI28" s="72"/>
    </row>
    <row r="29" spans="3:44" x14ac:dyDescent="0.2">
      <c r="C29" s="73"/>
      <c r="E29" s="72"/>
      <c r="F29" s="72"/>
      <c r="G29" s="72"/>
      <c r="H29" s="72"/>
      <c r="I29" s="72"/>
      <c r="J29" s="72"/>
      <c r="K29" s="72"/>
      <c r="L29" s="72"/>
      <c r="M29" s="72"/>
      <c r="N29" s="72"/>
      <c r="O29" s="72"/>
      <c r="P29" s="72"/>
      <c r="Q29" s="72"/>
      <c r="R29" s="72"/>
      <c r="S29" s="72"/>
      <c r="T29" s="72"/>
      <c r="U29" s="72"/>
      <c r="V29" s="72"/>
      <c r="W29" s="72"/>
      <c r="X29" s="72"/>
      <c r="Y29" s="72"/>
      <c r="Z29" s="72"/>
      <c r="AA29" s="72"/>
      <c r="AB29" s="72"/>
      <c r="AC29" s="72"/>
      <c r="AD29" s="72"/>
      <c r="AE29" s="72"/>
      <c r="AF29" s="72"/>
      <c r="AG29" s="72"/>
      <c r="AH29" s="72"/>
      <c r="AI29" s="72"/>
    </row>
    <row r="30" spans="3:44" x14ac:dyDescent="0.2">
      <c r="C30" s="73"/>
      <c r="E30" s="72"/>
      <c r="F30" s="72"/>
      <c r="G30" s="72"/>
      <c r="H30" s="72"/>
      <c r="I30" s="72"/>
      <c r="J30" s="72"/>
      <c r="K30" s="72"/>
      <c r="L30" s="72"/>
      <c r="M30" s="72"/>
      <c r="N30" s="72"/>
      <c r="O30" s="72"/>
      <c r="P30" s="72"/>
      <c r="Q30" s="72"/>
      <c r="R30" s="72"/>
      <c r="S30" s="72"/>
      <c r="T30" s="72"/>
      <c r="U30" s="72"/>
      <c r="V30" s="72"/>
      <c r="W30" s="72"/>
      <c r="X30" s="72"/>
      <c r="Y30" s="72"/>
      <c r="Z30" s="72"/>
      <c r="AA30" s="72"/>
      <c r="AB30" s="72"/>
      <c r="AC30" s="72"/>
      <c r="AD30" s="72"/>
      <c r="AE30" s="72"/>
      <c r="AF30" s="72"/>
      <c r="AG30" s="72"/>
      <c r="AH30" s="72"/>
      <c r="AI30" s="72"/>
    </row>
    <row r="31" spans="3:44" x14ac:dyDescent="0.2">
      <c r="C31" s="73"/>
      <c r="E31" s="72"/>
      <c r="F31" s="72"/>
      <c r="G31" s="72"/>
      <c r="H31" s="72"/>
      <c r="I31" s="72"/>
      <c r="J31" s="72"/>
      <c r="K31" s="72"/>
      <c r="L31" s="72"/>
      <c r="M31" s="72"/>
      <c r="N31" s="72"/>
      <c r="O31" s="72"/>
      <c r="P31" s="72"/>
      <c r="Q31" s="72"/>
      <c r="R31" s="72"/>
      <c r="S31" s="72"/>
      <c r="T31" s="72"/>
      <c r="U31" s="72"/>
      <c r="V31" s="72"/>
      <c r="W31" s="72"/>
      <c r="X31" s="72"/>
      <c r="Y31" s="72"/>
      <c r="Z31" s="72"/>
      <c r="AA31" s="72"/>
      <c r="AB31" s="72"/>
      <c r="AC31" s="72"/>
      <c r="AD31" s="72"/>
      <c r="AE31" s="72"/>
      <c r="AF31" s="72"/>
      <c r="AG31" s="72"/>
      <c r="AH31" s="72"/>
      <c r="AI31" s="72"/>
    </row>
    <row r="32" spans="3:44" x14ac:dyDescent="0.2">
      <c r="C32" s="73"/>
      <c r="E32" s="72"/>
      <c r="F32" s="72"/>
      <c r="G32" s="72"/>
      <c r="H32" s="72"/>
      <c r="I32" s="72"/>
      <c r="J32" s="72"/>
      <c r="K32" s="72"/>
      <c r="L32" s="72"/>
      <c r="M32" s="72"/>
      <c r="N32" s="72"/>
      <c r="O32" s="72"/>
      <c r="P32" s="72"/>
      <c r="Q32" s="72"/>
      <c r="R32" s="72"/>
      <c r="S32" s="72"/>
      <c r="T32" s="72"/>
      <c r="U32" s="72"/>
      <c r="V32" s="72"/>
      <c r="W32" s="72"/>
      <c r="X32" s="72"/>
      <c r="Y32" s="72"/>
      <c r="Z32" s="72"/>
      <c r="AA32" s="72"/>
      <c r="AB32" s="72"/>
      <c r="AC32" s="72"/>
      <c r="AD32" s="72"/>
      <c r="AE32" s="72"/>
      <c r="AF32" s="72"/>
      <c r="AG32" s="72"/>
      <c r="AH32" s="72"/>
      <c r="AI32" s="72"/>
    </row>
    <row r="33" spans="3:44" x14ac:dyDescent="0.2">
      <c r="C33" s="73"/>
      <c r="E33" s="72"/>
      <c r="F33" s="72"/>
      <c r="G33" s="72"/>
      <c r="H33" s="72"/>
      <c r="I33" s="72"/>
      <c r="J33" s="72"/>
      <c r="K33" s="72"/>
      <c r="L33" s="72"/>
      <c r="M33" s="72"/>
      <c r="N33" s="72"/>
      <c r="O33" s="72"/>
      <c r="P33" s="72"/>
      <c r="Q33" s="72"/>
      <c r="R33" s="72"/>
      <c r="S33" s="72"/>
      <c r="T33" s="72"/>
      <c r="U33" s="72"/>
      <c r="V33" s="72"/>
      <c r="W33" s="72"/>
      <c r="X33" s="72"/>
      <c r="Y33" s="72"/>
      <c r="Z33" s="72"/>
      <c r="AA33" s="72"/>
      <c r="AB33" s="72"/>
      <c r="AC33" s="72"/>
      <c r="AD33" s="72"/>
      <c r="AE33" s="72"/>
      <c r="AF33" s="72"/>
      <c r="AG33" s="72"/>
      <c r="AH33" s="72"/>
      <c r="AI33" s="72"/>
    </row>
    <row r="34" spans="3:44" x14ac:dyDescent="0.2">
      <c r="C34" s="73"/>
      <c r="E34" s="72"/>
      <c r="F34" s="72"/>
      <c r="G34" s="72"/>
      <c r="H34" s="72"/>
      <c r="I34" s="72"/>
      <c r="J34" s="72"/>
      <c r="K34" s="72"/>
      <c r="L34" s="72"/>
      <c r="M34" s="72"/>
      <c r="N34" s="72"/>
      <c r="O34" s="72"/>
      <c r="P34" s="72"/>
      <c r="Q34" s="72"/>
      <c r="R34" s="72"/>
      <c r="S34" s="72"/>
      <c r="T34" s="72"/>
      <c r="U34" s="72"/>
      <c r="V34" s="72"/>
      <c r="W34" s="72"/>
      <c r="X34" s="72"/>
      <c r="Y34" s="72"/>
      <c r="Z34" s="72"/>
      <c r="AA34" s="72"/>
      <c r="AB34" s="72"/>
      <c r="AC34" s="72"/>
      <c r="AD34" s="72"/>
      <c r="AE34" s="72"/>
      <c r="AF34" s="72"/>
      <c r="AG34" s="72"/>
      <c r="AH34" s="72"/>
      <c r="AI34" s="72"/>
    </row>
    <row r="35" spans="3:44" x14ac:dyDescent="0.2">
      <c r="C35" s="73"/>
      <c r="E35" s="72"/>
      <c r="F35" s="72"/>
      <c r="G35" s="72"/>
      <c r="H35" s="72"/>
      <c r="I35" s="72"/>
      <c r="J35" s="72"/>
      <c r="K35" s="72"/>
      <c r="L35" s="72"/>
      <c r="M35" s="72"/>
      <c r="N35" s="72"/>
      <c r="O35" s="72"/>
      <c r="P35" s="72"/>
      <c r="Q35" s="72"/>
      <c r="R35" s="72"/>
      <c r="S35" s="72"/>
      <c r="T35" s="72"/>
      <c r="U35" s="72"/>
      <c r="V35" s="72"/>
      <c r="W35" s="72"/>
      <c r="X35" s="72"/>
      <c r="Y35" s="72"/>
      <c r="Z35" s="72"/>
      <c r="AA35" s="72"/>
      <c r="AB35" s="72"/>
      <c r="AC35" s="72"/>
      <c r="AD35" s="72"/>
      <c r="AE35" s="72"/>
      <c r="AF35" s="72"/>
      <c r="AG35" s="72"/>
      <c r="AH35" s="72"/>
      <c r="AI35" s="72"/>
    </row>
    <row r="36" spans="3:44" x14ac:dyDescent="0.2">
      <c r="C36" s="73"/>
      <c r="E36" s="72"/>
      <c r="F36" s="72"/>
      <c r="G36" s="72"/>
      <c r="H36" s="72"/>
      <c r="I36" s="72"/>
      <c r="J36" s="72"/>
      <c r="K36" s="72"/>
      <c r="L36" s="72"/>
      <c r="M36" s="72"/>
      <c r="N36" s="72"/>
      <c r="O36" s="72"/>
      <c r="P36" s="72"/>
      <c r="Q36" s="72"/>
      <c r="R36" s="72"/>
      <c r="S36" s="72"/>
      <c r="T36" s="72"/>
      <c r="U36" s="72"/>
      <c r="V36" s="72"/>
      <c r="W36" s="72"/>
      <c r="X36" s="72"/>
      <c r="Y36" s="72"/>
      <c r="Z36" s="72"/>
      <c r="AA36" s="72"/>
      <c r="AB36" s="72"/>
      <c r="AC36" s="72"/>
      <c r="AD36" s="72"/>
      <c r="AE36" s="72"/>
      <c r="AF36" s="72"/>
      <c r="AG36" s="72"/>
      <c r="AH36" s="72"/>
      <c r="AI36" s="72"/>
    </row>
    <row r="37" spans="3:44" x14ac:dyDescent="0.2">
      <c r="C37" s="73"/>
      <c r="E37" s="72"/>
      <c r="F37" s="72"/>
      <c r="G37" s="72"/>
      <c r="H37" s="72"/>
      <c r="I37" s="72"/>
      <c r="J37" s="72"/>
      <c r="K37" s="72"/>
      <c r="L37" s="72"/>
      <c r="M37" s="72"/>
      <c r="N37" s="72"/>
      <c r="O37" s="72"/>
      <c r="P37" s="72"/>
      <c r="Q37" s="72"/>
      <c r="R37" s="72"/>
      <c r="S37" s="72"/>
      <c r="T37" s="72"/>
      <c r="U37" s="72"/>
      <c r="V37" s="72"/>
      <c r="W37" s="72"/>
      <c r="X37" s="72"/>
      <c r="Y37" s="72"/>
      <c r="Z37" s="72"/>
      <c r="AA37" s="72"/>
      <c r="AB37" s="72"/>
      <c r="AC37" s="72"/>
      <c r="AD37" s="72"/>
      <c r="AE37" s="72"/>
      <c r="AF37" s="72"/>
      <c r="AG37" s="72"/>
      <c r="AH37" s="72"/>
      <c r="AI37" s="72"/>
    </row>
    <row r="38" spans="3:44" x14ac:dyDescent="0.2">
      <c r="C38" s="73"/>
      <c r="E38" s="72"/>
      <c r="F38" s="72"/>
      <c r="G38" s="72"/>
      <c r="H38" s="72"/>
      <c r="I38" s="72"/>
      <c r="J38" s="72"/>
      <c r="K38" s="72"/>
      <c r="L38" s="72"/>
      <c r="M38" s="72"/>
      <c r="N38" s="72"/>
      <c r="O38" s="72"/>
      <c r="P38" s="72"/>
      <c r="Q38" s="72"/>
      <c r="R38" s="72"/>
      <c r="S38" s="72"/>
      <c r="T38" s="72"/>
      <c r="U38" s="72"/>
      <c r="V38" s="72"/>
      <c r="W38" s="72"/>
      <c r="X38" s="72"/>
      <c r="Y38" s="72"/>
      <c r="Z38" s="72"/>
      <c r="AA38" s="72"/>
      <c r="AB38" s="72"/>
      <c r="AC38" s="72"/>
      <c r="AD38" s="72"/>
      <c r="AE38" s="72"/>
      <c r="AF38" s="72"/>
      <c r="AG38" s="72"/>
      <c r="AH38" s="72"/>
      <c r="AI38" s="72"/>
    </row>
    <row r="39" spans="3:44" x14ac:dyDescent="0.2">
      <c r="C39" s="73"/>
      <c r="E39" s="72"/>
      <c r="F39" s="72"/>
      <c r="G39" s="72"/>
      <c r="H39" s="72"/>
      <c r="I39" s="72"/>
      <c r="J39" s="72"/>
      <c r="K39" s="72"/>
      <c r="L39" s="72"/>
      <c r="M39" s="72"/>
      <c r="N39" s="72"/>
      <c r="O39" s="72"/>
      <c r="P39" s="72"/>
      <c r="Q39" s="72"/>
      <c r="R39" s="72"/>
      <c r="S39" s="72"/>
      <c r="T39" s="72"/>
      <c r="U39" s="72"/>
      <c r="V39" s="72"/>
      <c r="W39" s="72"/>
      <c r="X39" s="72"/>
      <c r="Y39" s="72"/>
      <c r="Z39" s="72"/>
      <c r="AA39" s="72"/>
      <c r="AB39" s="72"/>
      <c r="AC39" s="72"/>
      <c r="AD39" s="72"/>
      <c r="AE39" s="72"/>
      <c r="AF39" s="72"/>
      <c r="AG39" s="72"/>
      <c r="AH39" s="72"/>
      <c r="AI39" s="72"/>
    </row>
    <row r="40" spans="3:44" x14ac:dyDescent="0.2">
      <c r="C40" s="73"/>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c r="AE40" s="72"/>
      <c r="AF40" s="72"/>
      <c r="AG40" s="72"/>
      <c r="AH40" s="72"/>
      <c r="AI40" s="72"/>
    </row>
    <row r="41" spans="3:44" x14ac:dyDescent="0.2">
      <c r="C41" s="73"/>
      <c r="E41" s="72"/>
      <c r="F41" s="72"/>
      <c r="G41" s="72"/>
      <c r="H41" s="72"/>
      <c r="I41" s="72"/>
      <c r="J41" s="72"/>
      <c r="K41" s="72"/>
      <c r="L41" s="72"/>
      <c r="M41" s="72"/>
      <c r="N41" s="72"/>
      <c r="O41" s="72"/>
      <c r="P41" s="72"/>
      <c r="Q41" s="72"/>
      <c r="R41" s="72"/>
      <c r="S41" s="72"/>
      <c r="T41" s="72"/>
      <c r="U41" s="72"/>
      <c r="V41" s="72"/>
      <c r="W41" s="72"/>
      <c r="X41" s="72"/>
      <c r="Y41" s="72"/>
      <c r="Z41" s="72"/>
      <c r="AA41" s="72"/>
      <c r="AB41" s="72"/>
      <c r="AC41" s="72"/>
      <c r="AD41" s="72"/>
      <c r="AE41" s="72"/>
      <c r="AF41" s="72"/>
      <c r="AG41" s="72"/>
      <c r="AH41" s="72"/>
      <c r="AI41" s="72"/>
    </row>
    <row r="42" spans="3:44" x14ac:dyDescent="0.2">
      <c r="C42" s="73"/>
      <c r="E42" s="72"/>
      <c r="F42" s="72"/>
      <c r="G42" s="72"/>
      <c r="H42" s="72"/>
      <c r="I42" s="72"/>
      <c r="J42" s="72"/>
      <c r="K42" s="72"/>
      <c r="L42" s="72"/>
      <c r="M42" s="72"/>
      <c r="N42" s="72"/>
      <c r="O42" s="72"/>
      <c r="P42" s="72"/>
      <c r="Q42" s="72"/>
      <c r="R42" s="72"/>
      <c r="S42" s="72"/>
      <c r="T42" s="72"/>
      <c r="U42" s="72"/>
      <c r="V42" s="72"/>
      <c r="W42" s="72"/>
      <c r="X42" s="72"/>
      <c r="Y42" s="72"/>
      <c r="Z42" s="72"/>
      <c r="AA42" s="72"/>
      <c r="AB42" s="72"/>
      <c r="AC42" s="72"/>
      <c r="AD42" s="72"/>
      <c r="AE42" s="72"/>
      <c r="AF42" s="72"/>
      <c r="AG42" s="72"/>
      <c r="AH42" s="72"/>
      <c r="AI42" s="72"/>
    </row>
    <row r="47" spans="3:44" ht="11.25" customHeight="1" x14ac:dyDescent="0.2">
      <c r="C47" t="s">
        <v>223</v>
      </c>
      <c r="E47" s="2">
        <f>'BS1'!E37-E17</f>
        <v>0</v>
      </c>
      <c r="F47" s="2">
        <f>'BS1'!F37-F17</f>
        <v>0</v>
      </c>
      <c r="G47" s="2">
        <f>'BS1'!G37-G17</f>
        <v>0</v>
      </c>
      <c r="H47" s="2">
        <f>'BS1'!H37-H17</f>
        <v>0</v>
      </c>
      <c r="I47" s="2">
        <f>'BS1'!I37-I17</f>
        <v>0</v>
      </c>
      <c r="J47" s="2">
        <f>'BS1'!J37-J17</f>
        <v>0</v>
      </c>
      <c r="K47" s="2">
        <f>'BS1'!K37-K17</f>
        <v>0</v>
      </c>
      <c r="L47" s="2">
        <f>'BS1'!L37-L17</f>
        <v>0</v>
      </c>
      <c r="M47" s="2">
        <f>'BS1'!M37-M17</f>
        <v>0</v>
      </c>
      <c r="N47" s="2">
        <f>'BS1'!N37-N17</f>
        <v>0</v>
      </c>
      <c r="O47" s="2">
        <f>'BS1'!O37-O17</f>
        <v>0</v>
      </c>
      <c r="P47" s="2">
        <f>'BS1'!P37-P17</f>
        <v>0</v>
      </c>
      <c r="Q47" s="2">
        <f>'BS1'!Q37-Q17</f>
        <v>0</v>
      </c>
      <c r="R47" s="2">
        <f>'BS1'!R37-R17</f>
        <v>0</v>
      </c>
      <c r="S47" s="2">
        <f>'BS1'!S37-S17</f>
        <v>0</v>
      </c>
      <c r="T47" s="2">
        <f>'BS1'!T37-T17</f>
        <v>0</v>
      </c>
      <c r="U47" s="2">
        <f>'BS1'!U37-U17</f>
        <v>0</v>
      </c>
      <c r="V47" s="2">
        <f>'BS1'!V37-V17</f>
        <v>0</v>
      </c>
      <c r="W47" s="2">
        <f>'BS1'!W37-W17</f>
        <v>0</v>
      </c>
      <c r="X47" s="2">
        <f>'BS1'!X37-X17</f>
        <v>0</v>
      </c>
      <c r="Y47" s="2">
        <f>'BS1'!Y37-Y17</f>
        <v>0</v>
      </c>
      <c r="Z47" s="2">
        <f>'BS1'!Z37-Z17</f>
        <v>0</v>
      </c>
      <c r="AA47" s="2">
        <f>'BS1'!AA37-AA17</f>
        <v>0</v>
      </c>
      <c r="AB47" s="2">
        <f>'BS1'!AB37-AB17</f>
        <v>0</v>
      </c>
      <c r="AC47" s="2">
        <f>'BS1'!AC37-AC17</f>
        <v>0</v>
      </c>
      <c r="AD47" s="2">
        <f>'BS1'!AD37-AD17</f>
        <v>0</v>
      </c>
      <c r="AE47" s="2">
        <f>'BS1'!AE37-AE17</f>
        <v>0</v>
      </c>
      <c r="AF47" s="2">
        <f>'BS1'!AF37-AF17</f>
        <v>0</v>
      </c>
      <c r="AG47" s="2">
        <f>'BS1'!AG37-AG17</f>
        <v>0</v>
      </c>
      <c r="AH47" s="2">
        <f>'BS1'!AH37-AH17</f>
        <v>0</v>
      </c>
      <c r="AI47" s="2">
        <f>'BS1'!AI37-AI17</f>
        <v>0</v>
      </c>
      <c r="AJ47" s="2"/>
      <c r="AK47" s="2">
        <f>'BS1'!AK37-AK17</f>
        <v>0</v>
      </c>
      <c r="AL47" s="2">
        <f>'BS1'!AL37-AL17</f>
        <v>0</v>
      </c>
      <c r="AM47" s="2">
        <f>'BS1'!AM37-AM17</f>
        <v>0</v>
      </c>
      <c r="AN47" s="2"/>
      <c r="AO47" s="2"/>
      <c r="AP47" s="2"/>
      <c r="AQ47" s="2"/>
      <c r="AR47" s="2"/>
    </row>
    <row r="48" spans="3:44" ht="11.25" customHeight="1" x14ac:dyDescent="0.2">
      <c r="C48" t="s">
        <v>222</v>
      </c>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row>
    <row r="49" spans="3:39" ht="11.25" customHeight="1" x14ac:dyDescent="0.2">
      <c r="C49" t="s">
        <v>221</v>
      </c>
      <c r="E49" s="2">
        <f>'BS1'!E39-E19</f>
        <v>0</v>
      </c>
      <c r="F49" s="2">
        <f>'BS1'!F39-F19</f>
        <v>0</v>
      </c>
      <c r="G49" s="2">
        <f>'BS1'!G39-G19</f>
        <v>0</v>
      </c>
      <c r="H49" s="2">
        <f>'BS1'!H39-H19</f>
        <v>0</v>
      </c>
      <c r="I49" s="2">
        <f>'BS1'!I39-I19</f>
        <v>0</v>
      </c>
      <c r="J49" s="2">
        <f>'BS1'!J39-J19</f>
        <v>0</v>
      </c>
      <c r="K49" s="2">
        <f>'BS1'!K39-K19</f>
        <v>0</v>
      </c>
      <c r="L49" s="2">
        <f>'BS1'!L39-L19</f>
        <v>0</v>
      </c>
      <c r="M49" s="2">
        <f>'BS1'!M39-M19</f>
        <v>0</v>
      </c>
      <c r="N49" s="2">
        <f>'BS1'!N39-N19</f>
        <v>0</v>
      </c>
      <c r="O49" s="2">
        <f>'BS1'!O39-O19</f>
        <v>0</v>
      </c>
      <c r="P49" s="2">
        <f>'BS1'!P39-P19</f>
        <v>0</v>
      </c>
      <c r="Q49" s="2">
        <f>'BS1'!Q39-Q19</f>
        <v>0</v>
      </c>
      <c r="R49" s="2">
        <f>'BS1'!R39-R19</f>
        <v>0</v>
      </c>
      <c r="S49" s="2">
        <f>'BS1'!S39-S19</f>
        <v>0</v>
      </c>
      <c r="T49" s="2">
        <f>'BS1'!T39-T19</f>
        <v>0</v>
      </c>
      <c r="U49" s="2">
        <f>'BS1'!U39-U19</f>
        <v>0</v>
      </c>
      <c r="V49" s="2">
        <f>'BS1'!V39-V19</f>
        <v>0</v>
      </c>
      <c r="W49" s="2">
        <f>'BS1'!W39-W19</f>
        <v>0</v>
      </c>
      <c r="X49" s="2">
        <f>'BS1'!X39-X19</f>
        <v>0</v>
      </c>
      <c r="Y49" s="2">
        <f>'BS1'!Y39-Y19</f>
        <v>0</v>
      </c>
      <c r="Z49" s="2">
        <f>'BS1'!Z39-Z19</f>
        <v>0</v>
      </c>
      <c r="AA49" s="2">
        <f>'BS1'!AA39-AA19</f>
        <v>0</v>
      </c>
      <c r="AB49" s="2">
        <f>'BS1'!AB39-AB19</f>
        <v>0</v>
      </c>
      <c r="AC49" s="2">
        <f>'BS1'!AC39-AC19</f>
        <v>0</v>
      </c>
      <c r="AD49" s="2">
        <f>'BS1'!AD39-AD19</f>
        <v>0</v>
      </c>
      <c r="AE49" s="2">
        <f>'BS1'!AE39-AE19</f>
        <v>0</v>
      </c>
      <c r="AF49" s="2">
        <f>'BS1'!AF39-AF19</f>
        <v>0</v>
      </c>
      <c r="AG49" s="2">
        <f>'BS1'!AG39-AG19</f>
        <v>0</v>
      </c>
      <c r="AH49" s="2">
        <f>'BS1'!AH39-AH19</f>
        <v>0</v>
      </c>
      <c r="AI49" s="2">
        <f>'BS1'!AI39-AI19</f>
        <v>0</v>
      </c>
      <c r="AJ49" s="2"/>
      <c r="AK49" s="2">
        <f>'BS1'!AK39-AK19</f>
        <v>0</v>
      </c>
      <c r="AL49" s="2">
        <f>'BS1'!AL39-AL19</f>
        <v>0</v>
      </c>
      <c r="AM49" s="2">
        <f>'BS1'!AM39-AM19</f>
        <v>0</v>
      </c>
    </row>
    <row r="50" spans="3:39" ht="11.25" customHeight="1" x14ac:dyDescent="0.2">
      <c r="C50" t="s">
        <v>220</v>
      </c>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K50" s="2"/>
      <c r="AL50" s="2"/>
      <c r="AM50" s="2"/>
    </row>
    <row r="51" spans="3:39" x14ac:dyDescent="0.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K51" s="2"/>
      <c r="AL51" s="2"/>
      <c r="AM51" s="2"/>
    </row>
    <row r="56" spans="3:39" x14ac:dyDescent="0.2">
      <c r="E56" s="71">
        <f>E8</f>
        <v>45046</v>
      </c>
      <c r="F56" s="71">
        <f>F8</f>
        <v>45077</v>
      </c>
      <c r="G56" s="71">
        <f>G8</f>
        <v>45107</v>
      </c>
      <c r="H56" s="71">
        <f>H8</f>
        <v>45138</v>
      </c>
      <c r="I56" s="71">
        <f>I8</f>
        <v>45169</v>
      </c>
      <c r="J56" s="71">
        <f>J8</f>
        <v>45199</v>
      </c>
      <c r="K56" s="71">
        <f>K8</f>
        <v>45230</v>
      </c>
      <c r="L56" s="71">
        <f>L8</f>
        <v>45260</v>
      </c>
      <c r="M56" s="71">
        <f>M8</f>
        <v>45291</v>
      </c>
      <c r="N56" s="71">
        <f>N8</f>
        <v>45322</v>
      </c>
      <c r="O56" s="71">
        <f>O8</f>
        <v>45351</v>
      </c>
      <c r="P56" s="71">
        <f>P8</f>
        <v>45382</v>
      </c>
      <c r="Q56" s="71">
        <f>Q8</f>
        <v>45412</v>
      </c>
      <c r="R56" s="71">
        <f>R8</f>
        <v>45443</v>
      </c>
      <c r="S56" s="71">
        <f>S8</f>
        <v>45473</v>
      </c>
      <c r="T56" s="71">
        <f>T8</f>
        <v>45504</v>
      </c>
      <c r="U56" s="71">
        <f>U8</f>
        <v>45535</v>
      </c>
      <c r="V56" s="71">
        <f>V8</f>
        <v>45565</v>
      </c>
      <c r="W56" s="71">
        <f>W8</f>
        <v>45596</v>
      </c>
      <c r="X56" s="71">
        <f>X8</f>
        <v>45626</v>
      </c>
      <c r="Y56" s="71">
        <f>Y8</f>
        <v>45657</v>
      </c>
      <c r="Z56" s="71">
        <f>Z8</f>
        <v>45688</v>
      </c>
      <c r="AA56" s="71">
        <f>AA8</f>
        <v>45716</v>
      </c>
      <c r="AB56" s="71">
        <f>AB8</f>
        <v>45747</v>
      </c>
      <c r="AC56" s="71">
        <f>AC8</f>
        <v>45777</v>
      </c>
      <c r="AD56" s="71">
        <f>AD8</f>
        <v>45808</v>
      </c>
      <c r="AE56" s="71">
        <f>AE8</f>
        <v>45838</v>
      </c>
      <c r="AF56" s="71">
        <f>AF8</f>
        <v>45869</v>
      </c>
      <c r="AG56" s="71">
        <f>AG8</f>
        <v>45900</v>
      </c>
      <c r="AH56" s="71">
        <f>AH8</f>
        <v>45930</v>
      </c>
      <c r="AI56" s="71">
        <f>AI8</f>
        <v>45961</v>
      </c>
    </row>
    <row r="57" spans="3:39" x14ac:dyDescent="0.2">
      <c r="D57" t="s">
        <v>219</v>
      </c>
      <c r="E57" s="29">
        <f>E10</f>
        <v>298.09100000000001</v>
      </c>
      <c r="F57" s="29">
        <f>F10</f>
        <v>347.89449999999999</v>
      </c>
      <c r="G57" s="29">
        <f>G10</f>
        <v>766.23199999999997</v>
      </c>
      <c r="H57" s="29">
        <f>H10</f>
        <v>528.95699999999999</v>
      </c>
      <c r="I57" s="29">
        <f>I10</f>
        <v>459.32799999999997</v>
      </c>
      <c r="J57" s="29">
        <f>J10</f>
        <v>637.95600000000002</v>
      </c>
      <c r="K57" s="29">
        <f>K10</f>
        <v>751.57500000000005</v>
      </c>
      <c r="L57" s="29">
        <f>L10</f>
        <v>1371.4255000000001</v>
      </c>
      <c r="M57" s="29">
        <f>M10</f>
        <v>911.52850000000001</v>
      </c>
      <c r="N57" s="29">
        <f>N10</f>
        <v>371.55950000000001</v>
      </c>
      <c r="O57" s="29">
        <f>O10</f>
        <v>371.72050000000002</v>
      </c>
      <c r="P57" s="29">
        <f>P10</f>
        <v>636.87599999999998</v>
      </c>
      <c r="Q57" s="29">
        <f>Q10</f>
        <v>542.14649999999995</v>
      </c>
      <c r="R57" s="29">
        <f>R10</f>
        <v>717.08450000000005</v>
      </c>
      <c r="S57" s="29">
        <f>S10</f>
        <v>468.52699999999999</v>
      </c>
      <c r="T57" s="29">
        <f>T10</f>
        <v>427.88400000000001</v>
      </c>
      <c r="U57" s="29">
        <f>U10</f>
        <v>521.29499999999996</v>
      </c>
      <c r="V57" s="29">
        <f>V10</f>
        <v>547.44899999999996</v>
      </c>
      <c r="W57" s="29">
        <f>W10</f>
        <v>471.65699999999998</v>
      </c>
      <c r="X57" s="29">
        <f>X10</f>
        <v>917.83900000000006</v>
      </c>
      <c r="Y57" s="29">
        <f>Y10</f>
        <v>1105.5360000000001</v>
      </c>
      <c r="Z57" s="29">
        <f>Z10</f>
        <v>329.661</v>
      </c>
      <c r="AA57" s="29">
        <f>AA10</f>
        <v>727.59749999999997</v>
      </c>
      <c r="AB57" s="29">
        <f>AB10</f>
        <v>597.9</v>
      </c>
      <c r="AC57" s="29">
        <f>AC10</f>
        <v>557.57299999999998</v>
      </c>
      <c r="AD57" s="29">
        <f>AD10</f>
        <v>512</v>
      </c>
      <c r="AE57" s="29">
        <f>AE10</f>
        <v>996.39009999999996</v>
      </c>
      <c r="AF57" s="29">
        <f>AF10</f>
        <v>636.00360000000001</v>
      </c>
      <c r="AG57" s="29">
        <f>AG10</f>
        <v>608.91700000000003</v>
      </c>
      <c r="AH57" s="29">
        <f>AH10</f>
        <v>836.82</v>
      </c>
      <c r="AI57" s="29">
        <f>AI10</f>
        <v>770.76300000000003</v>
      </c>
    </row>
    <row r="58" spans="3:39" x14ac:dyDescent="0.2">
      <c r="D58" t="s">
        <v>218</v>
      </c>
      <c r="E58" s="2">
        <f>E17</f>
        <v>47.848415809286124</v>
      </c>
      <c r="F58" s="2">
        <f>F17</f>
        <v>25.113267519475791</v>
      </c>
      <c r="G58" s="2">
        <f>G17</f>
        <v>31.410889364115246</v>
      </c>
      <c r="H58" s="2">
        <f>H17</f>
        <v>38.10265246134005</v>
      </c>
      <c r="I58" s="2">
        <f>I17</f>
        <v>22.840079624143247</v>
      </c>
      <c r="J58" s="2">
        <f>J17</f>
        <v>39.803340466816827</v>
      </c>
      <c r="K58" s="2">
        <f>K17</f>
        <v>33.841551096056762</v>
      </c>
      <c r="L58" s="2">
        <f>L17</f>
        <v>32.462349085667149</v>
      </c>
      <c r="M58" s="2">
        <f>M17</f>
        <v>22.142230773811761</v>
      </c>
      <c r="N58" s="2">
        <f>N17</f>
        <v>48.254177288370627</v>
      </c>
      <c r="O58" s="2">
        <f>O17</f>
        <v>19.5680332536385</v>
      </c>
      <c r="P58" s="2">
        <f>P17</f>
        <v>26.796432599557811</v>
      </c>
      <c r="Q58" s="2">
        <f>Q17</f>
        <v>38.537202282226495</v>
      </c>
      <c r="R58" s="2">
        <f>R17</f>
        <v>42.289773613621236</v>
      </c>
      <c r="S58" s="2">
        <f>S17</f>
        <v>37.850776091429069</v>
      </c>
      <c r="T58" s="2">
        <f>T17</f>
        <v>34.756871767190553</v>
      </c>
      <c r="U58" s="2">
        <f>U17</f>
        <v>30.083352104233413</v>
      </c>
      <c r="V58" s="2">
        <f>V17</f>
        <v>46.016491829735727</v>
      </c>
      <c r="W58" s="2">
        <f>W17</f>
        <v>39.991266745802946</v>
      </c>
      <c r="X58" s="2">
        <f>X17</f>
        <v>24.315720035817673</v>
      </c>
      <c r="Y58" s="2">
        <f>Y17</f>
        <v>30.190730704033491</v>
      </c>
      <c r="Z58" s="2">
        <f>Z17</f>
        <v>31.000939448054478</v>
      </c>
      <c r="AA58" s="2">
        <f>AA17</f>
        <v>25.215990514017939</v>
      </c>
      <c r="AB58" s="2">
        <f>AB17</f>
        <v>44.85414652383573</v>
      </c>
      <c r="AC58" s="2">
        <f>AC17</f>
        <v>47.591678450407279</v>
      </c>
      <c r="AD58" s="2">
        <f>AD17</f>
        <v>29.19756368111522</v>
      </c>
      <c r="AE58" s="2">
        <f>AE17</f>
        <v>40.582567650843075</v>
      </c>
      <c r="AF58" s="2">
        <f>AF17</f>
        <v>46.320334925419417</v>
      </c>
      <c r="AG58" s="2">
        <f>AG17</f>
        <v>66.421855096942195</v>
      </c>
      <c r="AH58" s="2">
        <f>AH17</f>
        <v>33.016468384961982</v>
      </c>
      <c r="AI58" s="2">
        <f>AI17</f>
        <v>56.461083490080064</v>
      </c>
    </row>
    <row r="59" spans="3:39" x14ac:dyDescent="0.2">
      <c r="D59" t="s">
        <v>217</v>
      </c>
      <c r="E59" s="2">
        <f>AVERAGE($E$58:$AI$58)</f>
        <v>36.544459118775734</v>
      </c>
      <c r="F59" s="2">
        <f>AVERAGE($E$58:$AI$58)</f>
        <v>36.544459118775734</v>
      </c>
      <c r="G59" s="2">
        <f>AVERAGE($E$58:$AI$58)</f>
        <v>36.544459118775734</v>
      </c>
      <c r="H59" s="2">
        <f>AVERAGE($E$58:$AI$58)</f>
        <v>36.544459118775734</v>
      </c>
      <c r="I59" s="2">
        <f>AVERAGE($E$58:$AI$58)</f>
        <v>36.544459118775734</v>
      </c>
      <c r="J59" s="2">
        <f>AVERAGE($E$58:$AI$58)</f>
        <v>36.544459118775734</v>
      </c>
      <c r="K59" s="2">
        <f>AVERAGE($E$58:$AI$58)</f>
        <v>36.544459118775734</v>
      </c>
      <c r="L59" s="2">
        <f>AVERAGE($E$58:$AI$58)</f>
        <v>36.544459118775734</v>
      </c>
      <c r="M59" s="2">
        <f>AVERAGE($E$58:$AI$58)</f>
        <v>36.544459118775734</v>
      </c>
      <c r="N59" s="2">
        <f>AVERAGE($E$58:$AI$58)</f>
        <v>36.544459118775734</v>
      </c>
      <c r="O59" s="2">
        <f>AVERAGE($E$58:$AI$58)</f>
        <v>36.544459118775734</v>
      </c>
      <c r="P59" s="2">
        <f>AVERAGE($E$58:$AI$58)</f>
        <v>36.544459118775734</v>
      </c>
      <c r="Q59" s="2">
        <f>AVERAGE($E$58:$AI$58)</f>
        <v>36.544459118775734</v>
      </c>
      <c r="R59" s="2">
        <f>AVERAGE($E$58:$AI$58)</f>
        <v>36.544459118775734</v>
      </c>
      <c r="S59" s="2">
        <f>AVERAGE($E$58:$AI$58)</f>
        <v>36.544459118775734</v>
      </c>
      <c r="T59" s="2">
        <f>AVERAGE($E$58:$AI$58)</f>
        <v>36.544459118775734</v>
      </c>
      <c r="U59" s="2">
        <f>AVERAGE($E$58:$AI$58)</f>
        <v>36.544459118775734</v>
      </c>
      <c r="V59" s="2">
        <f>AVERAGE($E$58:$AI$58)</f>
        <v>36.544459118775734</v>
      </c>
      <c r="W59" s="2">
        <f>AVERAGE($E$58:$AI$58)</f>
        <v>36.544459118775734</v>
      </c>
      <c r="X59" s="2">
        <f>AVERAGE($E$58:$AI$58)</f>
        <v>36.544459118775734</v>
      </c>
      <c r="Y59" s="2">
        <f>AVERAGE($E$58:$AI$58)</f>
        <v>36.544459118775734</v>
      </c>
      <c r="Z59" s="2">
        <f>AVERAGE($E$58:$AI$58)</f>
        <v>36.544459118775734</v>
      </c>
      <c r="AA59" s="2">
        <f>AVERAGE($E$58:$AI$58)</f>
        <v>36.544459118775734</v>
      </c>
      <c r="AB59" s="2">
        <f>AVERAGE($E$58:$AI$58)</f>
        <v>36.544459118775734</v>
      </c>
      <c r="AC59" s="2">
        <f>AVERAGE($E$58:$AI$58)</f>
        <v>36.544459118775734</v>
      </c>
      <c r="AD59" s="2">
        <f>AVERAGE($E$58:$AI$58)</f>
        <v>36.544459118775734</v>
      </c>
      <c r="AE59" s="2">
        <f>AVERAGE($E$58:$AI$58)</f>
        <v>36.544459118775734</v>
      </c>
      <c r="AF59" s="2">
        <f>AVERAGE($E$58:$AI$58)</f>
        <v>36.544459118775734</v>
      </c>
      <c r="AG59" s="2">
        <f>AVERAGE($E$58:$AI$58)</f>
        <v>36.544459118775734</v>
      </c>
      <c r="AH59" s="2">
        <f>AVERAGE($E$58:$AI$58)</f>
        <v>36.544459118775734</v>
      </c>
      <c r="AI59" s="2">
        <f>AVERAGE($E$58:$AI$58)</f>
        <v>36.544459118775734</v>
      </c>
    </row>
    <row r="82" spans="3:35" x14ac:dyDescent="0.2">
      <c r="E82" s="71">
        <f>E56</f>
        <v>45046</v>
      </c>
      <c r="F82" s="71">
        <f>F56</f>
        <v>45077</v>
      </c>
      <c r="G82" s="71">
        <f>G56</f>
        <v>45107</v>
      </c>
      <c r="H82" s="71">
        <f>H56</f>
        <v>45138</v>
      </c>
      <c r="I82" s="71">
        <f>I56</f>
        <v>45169</v>
      </c>
      <c r="J82" s="71">
        <f>J56</f>
        <v>45199</v>
      </c>
      <c r="K82" s="71">
        <f>K56</f>
        <v>45230</v>
      </c>
      <c r="L82" s="71">
        <f>L56</f>
        <v>45260</v>
      </c>
      <c r="M82" s="71">
        <f>M56</f>
        <v>45291</v>
      </c>
      <c r="N82" s="71">
        <f>N56</f>
        <v>45322</v>
      </c>
      <c r="O82" s="71">
        <f>O56</f>
        <v>45351</v>
      </c>
      <c r="P82" s="71">
        <f>P56</f>
        <v>45382</v>
      </c>
      <c r="Q82" s="71">
        <f>Q56</f>
        <v>45412</v>
      </c>
      <c r="R82" s="71">
        <f>R56</f>
        <v>45443</v>
      </c>
      <c r="S82" s="71">
        <f>S56</f>
        <v>45473</v>
      </c>
      <c r="T82" s="71">
        <f>T56</f>
        <v>45504</v>
      </c>
      <c r="U82" s="71">
        <f>U56</f>
        <v>45535</v>
      </c>
      <c r="V82" s="71">
        <f>V56</f>
        <v>45565</v>
      </c>
      <c r="W82" s="71">
        <f>W56</f>
        <v>45596</v>
      </c>
      <c r="X82" s="71">
        <f>X56</f>
        <v>45626</v>
      </c>
      <c r="Y82" s="71">
        <f>Y56</f>
        <v>45657</v>
      </c>
      <c r="Z82" s="71">
        <f>Z56</f>
        <v>45688</v>
      </c>
      <c r="AA82" s="71">
        <f>AA56</f>
        <v>45716</v>
      </c>
      <c r="AB82" s="71">
        <f>AB56</f>
        <v>45747</v>
      </c>
      <c r="AC82" s="71">
        <f>AC56</f>
        <v>45777</v>
      </c>
      <c r="AD82" s="71">
        <f>AD56</f>
        <v>45808</v>
      </c>
      <c r="AE82" s="71">
        <f>AE56</f>
        <v>45838</v>
      </c>
      <c r="AF82" s="71">
        <f>AF56</f>
        <v>45869</v>
      </c>
      <c r="AG82" s="71">
        <f>AG56</f>
        <v>45900</v>
      </c>
      <c r="AH82" s="71">
        <f>AH56</f>
        <v>45930</v>
      </c>
      <c r="AI82" s="71">
        <f>AI56</f>
        <v>45961</v>
      </c>
    </row>
    <row r="83" spans="3:35" x14ac:dyDescent="0.2">
      <c r="D83" t="s">
        <v>216</v>
      </c>
      <c r="E83" s="2">
        <f>E14</f>
        <v>102.97868</v>
      </c>
      <c r="F83" s="2">
        <f>F14</f>
        <v>125.28341999999999</v>
      </c>
      <c r="G83" s="2">
        <f>G14</f>
        <v>176.99108999999999</v>
      </c>
      <c r="H83" s="2">
        <f>H14</f>
        <v>66.261679999999998</v>
      </c>
      <c r="I83" s="2">
        <f>I14</f>
        <v>116.23258</v>
      </c>
      <c r="J83" s="2">
        <f>J14</f>
        <v>121.51022999999999</v>
      </c>
      <c r="K83" s="2">
        <f>K14</f>
        <v>187.83073000000002</v>
      </c>
      <c r="L83" s="2">
        <f>L14</f>
        <v>127.91239999999999</v>
      </c>
      <c r="M83" s="2">
        <f>M14</f>
        <v>-70.614460000000008</v>
      </c>
      <c r="N83" s="2">
        <f>N14</f>
        <v>-35.702379999999998</v>
      </c>
      <c r="O83" s="2">
        <f>O14</f>
        <v>175.42123999999998</v>
      </c>
      <c r="P83" s="2">
        <f>P14</f>
        <v>0</v>
      </c>
      <c r="Q83" s="2">
        <f>Q14</f>
        <v>57.586829999999999</v>
      </c>
      <c r="R83" s="2">
        <f>R14</f>
        <v>5.61409</v>
      </c>
      <c r="S83" s="2">
        <f>S14</f>
        <v>95.67886</v>
      </c>
      <c r="T83" s="2">
        <f>T14</f>
        <v>10.043340000000001</v>
      </c>
      <c r="U83" s="2">
        <f>U14</f>
        <v>131.57436999999999</v>
      </c>
      <c r="V83" s="2">
        <f>V14</f>
        <v>51.048589999999997</v>
      </c>
      <c r="W83" s="2">
        <f>W14</f>
        <v>118.19169000000001</v>
      </c>
      <c r="X83" s="2">
        <f>X14</f>
        <v>169.12200000000001</v>
      </c>
      <c r="Y83" s="2">
        <f>Y14</f>
        <v>118.87128999999999</v>
      </c>
      <c r="Z83" s="2">
        <f>Z14</f>
        <v>222.63320000000002</v>
      </c>
      <c r="AA83" s="2">
        <f>AA14</f>
        <v>96.150399999999991</v>
      </c>
      <c r="AB83" s="2">
        <f>AB14</f>
        <v>66.373259999999988</v>
      </c>
      <c r="AC83" s="2">
        <f>AC14</f>
        <v>111.65541999999999</v>
      </c>
      <c r="AD83" s="2">
        <f>AD14</f>
        <v>144.52427</v>
      </c>
      <c r="AE83" s="2">
        <f>AE14</f>
        <v>237.55035999999998</v>
      </c>
      <c r="AF83" s="2">
        <f>AF14</f>
        <v>57.762129999999999</v>
      </c>
      <c r="AG83" s="2">
        <f>AG14</f>
        <v>154.90525</v>
      </c>
      <c r="AH83" s="2">
        <f>AH14</f>
        <v>105.925</v>
      </c>
      <c r="AI83" s="2">
        <f>AI14</f>
        <v>95.755990000000011</v>
      </c>
    </row>
    <row r="84" spans="3:35" x14ac:dyDescent="0.2">
      <c r="D84" t="s">
        <v>215</v>
      </c>
      <c r="E84" s="2">
        <f>E19</f>
        <v>15.731246792610364</v>
      </c>
      <c r="F84" s="2">
        <f>F19</f>
        <v>16.349467225952527</v>
      </c>
      <c r="G84" s="2">
        <f>G19</f>
        <v>18.751136513803893</v>
      </c>
      <c r="H84" s="2">
        <f>H19</f>
        <v>10.793710500209688</v>
      </c>
      <c r="I84" s="2">
        <f>I19</f>
        <v>14.671002618883982</v>
      </c>
      <c r="J84" s="2">
        <f>J19</f>
        <v>14.45842582773766</v>
      </c>
      <c r="K84" s="2">
        <f>K19</f>
        <v>18.625684166309135</v>
      </c>
      <c r="L84" s="2">
        <f>L19</f>
        <v>11.76405271783514</v>
      </c>
      <c r="M84" s="2">
        <f>M19</f>
        <v>-11.228207281575532</v>
      </c>
      <c r="N84" s="2">
        <f>N19</f>
        <v>-5.4515308855406071</v>
      </c>
      <c r="O84" s="2">
        <f>O19</f>
        <v>13.230875927949064</v>
      </c>
      <c r="P84" s="2">
        <f>P19</f>
        <v>0</v>
      </c>
      <c r="Q84" s="2">
        <f>Q19</f>
        <v>7.617657553135615</v>
      </c>
      <c r="R84" s="2">
        <f>R19</f>
        <v>1.0255573197174397</v>
      </c>
      <c r="S84" s="2">
        <f>S19</f>
        <v>12.674498537982</v>
      </c>
      <c r="T84" s="2">
        <f>T19</f>
        <v>1.6081291050497075</v>
      </c>
      <c r="U84" s="2">
        <f>U19</f>
        <v>18.080884632292666</v>
      </c>
      <c r="V84" s="2">
        <f>V19</f>
        <v>8.6229463983072279</v>
      </c>
      <c r="W84" s="2">
        <f>W19</f>
        <v>15.027227599020179</v>
      </c>
      <c r="X84" s="2">
        <f>X19</f>
        <v>21.651519971131648</v>
      </c>
      <c r="Y84" s="2">
        <f>Y19</f>
        <v>16.00104173663938</v>
      </c>
      <c r="Z84" s="2">
        <f>Z19</f>
        <v>22.454154235207241</v>
      </c>
      <c r="AA84" s="2">
        <f>AA19</f>
        <v>16.672404529484925</v>
      </c>
      <c r="AB84" s="2">
        <f>AB19</f>
        <v>5.4953531483092908</v>
      </c>
      <c r="AC84" s="2">
        <f>AC19</f>
        <v>14.93239091391515</v>
      </c>
      <c r="AD84" s="2">
        <f>AD19</f>
        <v>21.673571680816579</v>
      </c>
      <c r="AE84" s="2">
        <f>AE19</f>
        <v>24.662943911120642</v>
      </c>
      <c r="AF84" s="2">
        <f>AF19</f>
        <v>10.745057621379097</v>
      </c>
      <c r="AG84" s="2">
        <f>AG19</f>
        <v>20.376094638551805</v>
      </c>
      <c r="AH84" s="2">
        <f>AH19</f>
        <v>12.975141706798995</v>
      </c>
      <c r="AI84" s="2">
        <f>AI19</f>
        <v>12.46061321985318</v>
      </c>
    </row>
    <row r="85" spans="3:35" x14ac:dyDescent="0.2">
      <c r="D85" t="s">
        <v>214</v>
      </c>
      <c r="E85" s="2">
        <f>AVERAGE($E$84:$AI$84)</f>
        <v>12.337195244609291</v>
      </c>
      <c r="F85" s="2">
        <f>AVERAGE($E$84:$AI$84)</f>
        <v>12.337195244609291</v>
      </c>
      <c r="G85" s="2">
        <f>AVERAGE($E$84:$AI$84)</f>
        <v>12.337195244609291</v>
      </c>
      <c r="H85" s="2">
        <f>AVERAGE($E$84:$AI$84)</f>
        <v>12.337195244609291</v>
      </c>
      <c r="I85" s="2">
        <f>AVERAGE($E$84:$AI$84)</f>
        <v>12.337195244609291</v>
      </c>
      <c r="J85" s="2">
        <f>AVERAGE($E$84:$AI$84)</f>
        <v>12.337195244609291</v>
      </c>
      <c r="K85" s="2">
        <f>AVERAGE($E$84:$AI$84)</f>
        <v>12.337195244609291</v>
      </c>
      <c r="L85" s="2">
        <f>AVERAGE($E$84:$AI$84)</f>
        <v>12.337195244609291</v>
      </c>
      <c r="M85" s="2">
        <f>AVERAGE($E$84:$AI$84)</f>
        <v>12.337195244609291</v>
      </c>
      <c r="N85" s="2">
        <f>AVERAGE($E$84:$AI$84)</f>
        <v>12.337195244609291</v>
      </c>
      <c r="O85" s="2">
        <f>AVERAGE($E$84:$AI$84)</f>
        <v>12.337195244609291</v>
      </c>
      <c r="P85" s="2">
        <f>AVERAGE($E$84:$AI$84)</f>
        <v>12.337195244609291</v>
      </c>
      <c r="Q85" s="2">
        <f>AVERAGE($E$84:$AI$84)</f>
        <v>12.337195244609291</v>
      </c>
      <c r="R85" s="2">
        <f>AVERAGE($E$84:$AI$84)</f>
        <v>12.337195244609291</v>
      </c>
      <c r="S85" s="2">
        <f>AVERAGE($E$84:$AI$84)</f>
        <v>12.337195244609291</v>
      </c>
      <c r="T85" s="2">
        <f>AVERAGE($E$84:$AI$84)</f>
        <v>12.337195244609291</v>
      </c>
      <c r="U85" s="2">
        <f>AVERAGE($E$84:$AI$84)</f>
        <v>12.337195244609291</v>
      </c>
      <c r="V85" s="2">
        <f>AVERAGE($E$84:$AI$84)</f>
        <v>12.337195244609291</v>
      </c>
      <c r="W85" s="2">
        <f>AVERAGE($E$84:$AI$84)</f>
        <v>12.337195244609291</v>
      </c>
      <c r="X85" s="2">
        <f>AVERAGE($E$84:$AI$84)</f>
        <v>12.337195244609291</v>
      </c>
      <c r="Y85" s="2">
        <f>AVERAGE($E$84:$AI$84)</f>
        <v>12.337195244609291</v>
      </c>
      <c r="Z85" s="2">
        <f>AVERAGE($E$84:$AI$84)</f>
        <v>12.337195244609291</v>
      </c>
      <c r="AA85" s="2">
        <f>AVERAGE($E$84:$AI$84)</f>
        <v>12.337195244609291</v>
      </c>
      <c r="AB85" s="2">
        <f>AVERAGE($E$84:$AI$84)</f>
        <v>12.337195244609291</v>
      </c>
      <c r="AC85" s="2">
        <f>AVERAGE($E$84:$AI$84)</f>
        <v>12.337195244609291</v>
      </c>
      <c r="AD85" s="2">
        <f>AVERAGE($E$84:$AI$84)</f>
        <v>12.337195244609291</v>
      </c>
      <c r="AE85" s="2">
        <f>AVERAGE($E$84:$AI$84)</f>
        <v>12.337195244609291</v>
      </c>
      <c r="AF85" s="2">
        <f>AVERAGE($E$84:$AI$84)</f>
        <v>12.337195244609291</v>
      </c>
      <c r="AG85" s="2">
        <f>AVERAGE($E$84:$AI$84)</f>
        <v>12.337195244609291</v>
      </c>
      <c r="AH85" s="2">
        <f>AVERAGE($E$84:$AI$84)</f>
        <v>12.337195244609291</v>
      </c>
      <c r="AI85" s="2">
        <f>AVERAGE($E$84:$AI$84)</f>
        <v>12.337195244609291</v>
      </c>
    </row>
    <row r="88" spans="3:35" x14ac:dyDescent="0.2">
      <c r="C88" t="s">
        <v>32</v>
      </c>
    </row>
    <row r="89" spans="3:35" x14ac:dyDescent="0.2">
      <c r="C89" t="s">
        <v>213</v>
      </c>
    </row>
  </sheetData>
  <pageMargins left="0.7" right="0.7" top="0.75" bottom="0.75" header="0.3" footer="0.3"/>
  <pageSetup scale="33" orientation="portrait" r:id="rId1"/>
  <customProperties>
    <customPr name="OrphanNamesChecked" r:id="rId2"/>
  </customProperties>
  <drawing r:id="rId3"/>
  <extLst>
    <ext xmlns:x14="http://schemas.microsoft.com/office/spreadsheetml/2009/9/main" uri="{78C0D931-6437-407d-A8EE-F0AAD7539E65}">
      <x14:conditionalFormattings>
        <x14:conditionalFormatting xmlns:xm="http://schemas.microsoft.com/office/excel/2006/main">
          <x14:cfRule type="containsText" priority="1" operator="containsText" id="{52C9E3AB-C61F-41DF-A6DE-BC1DCF90D950}">
            <xm:f>NOT(ISERROR(SEARCH("NO",A1)))</xm:f>
            <xm:f>"NO"</xm:f>
            <x14:dxf>
              <font>
                <b/>
                <i val="0"/>
                <color rgb="FFFF0000"/>
              </font>
            </x14:dxf>
          </x14:cfRule>
          <xm:sqref>A1:A2</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EDA4E-17B5-4399-8D09-03F516D0FCC3}">
  <sheetPr>
    <tabColor rgb="FF0A2463"/>
    <pageSetUpPr fitToPage="1"/>
  </sheetPr>
  <dimension ref="D8:D10"/>
  <sheetViews>
    <sheetView showGridLines="0" view="pageBreakPreview" zoomScaleNormal="100" zoomScaleSheetLayoutView="100" workbookViewId="0">
      <selection activeCell="D9" sqref="D9"/>
    </sheetView>
  </sheetViews>
  <sheetFormatPr defaultRowHeight="10" x14ac:dyDescent="0.2"/>
  <sheetData>
    <row r="8" spans="4:4" ht="13" x14ac:dyDescent="0.3">
      <c r="D8" s="1" t="s">
        <v>451</v>
      </c>
    </row>
    <row r="9" spans="4:4" x14ac:dyDescent="0.2">
      <c r="D9" t="s">
        <v>450</v>
      </c>
    </row>
    <row r="10" spans="4:4" x14ac:dyDescent="0.2">
      <c r="D10" t="s">
        <v>229</v>
      </c>
    </row>
  </sheetData>
  <pageMargins left="0.7" right="0.7" top="0.75" bottom="0.75" header="0.3" footer="0.3"/>
  <pageSetup fitToHeight="0" orientation="landscape" r:id="rId1"/>
  <customProperties>
    <customPr name="OrphanNamesChecked" r:id="rId2"/>
  </customPropertie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2AAAC-85DE-4B47-A16B-D65791D17D67}">
  <sheetPr>
    <tabColor rgb="FFFFFF00"/>
    <pageSetUpPr fitToPage="1"/>
  </sheetPr>
  <dimension ref="A1:AQ43"/>
  <sheetViews>
    <sheetView showGridLines="0" view="pageBreakPreview" zoomScaleNormal="100" zoomScaleSheetLayoutView="100" workbookViewId="0">
      <pane xSplit="4" ySplit="8" topLeftCell="Q30" activePane="bottomRight" state="frozen"/>
      <selection pane="topRight"/>
      <selection pane="bottomLeft"/>
      <selection pane="bottomRight" activeCell="C2" sqref="C2"/>
    </sheetView>
  </sheetViews>
  <sheetFormatPr defaultRowHeight="10" outlineLevelRow="1" outlineLevelCol="1" x14ac:dyDescent="0.2"/>
  <cols>
    <col min="1" max="1" width="9.33203125" customWidth="1" outlineLevel="1"/>
    <col min="2" max="2" width="1.77734375" customWidth="1"/>
    <col min="3" max="3" width="32.77734375" customWidth="1"/>
    <col min="4" max="4" width="4.33203125" customWidth="1" outlineLevel="1"/>
    <col min="5" max="35" width="7.77734375" customWidth="1" outlineLevel="1"/>
    <col min="36" max="36" width="1.77734375" customWidth="1" outlineLevel="1"/>
    <col min="37" max="39" width="8.77734375" customWidth="1"/>
    <col min="40" max="40" width="1.77734375" customWidth="1"/>
    <col min="41" max="43" width="7.77734375" customWidth="1"/>
    <col min="44" max="44" width="1.77734375" customWidth="1"/>
  </cols>
  <sheetData>
    <row r="1" spans="1:43" ht="10.5" x14ac:dyDescent="0.25">
      <c r="A1" s="38" t="str">
        <f>IF(ROUND(SUM(E43:AN43),1)&lt;&gt;0,"NO","Yes")</f>
        <v>Yes</v>
      </c>
      <c r="C1" t="s">
        <v>451</v>
      </c>
    </row>
    <row r="2" spans="1:43" ht="10.5" x14ac:dyDescent="0.25">
      <c r="A2" s="38" t="str">
        <f>IF(COUNTIF(E43:AN43,"&gt;0.5")+COUNTIF(E43:AN43,"&lt;-0.5")&lt;1,"Yes","No")</f>
        <v>Yes</v>
      </c>
      <c r="C2" t="s">
        <v>450</v>
      </c>
    </row>
    <row r="3" spans="1:43" x14ac:dyDescent="0.2">
      <c r="A3">
        <f>2-COUNTIF(A1:A2,"Yes")</f>
        <v>0</v>
      </c>
      <c r="C3" t="s">
        <v>36</v>
      </c>
    </row>
    <row r="4" spans="1:43" x14ac:dyDescent="0.2">
      <c r="C4" t="s">
        <v>235</v>
      </c>
    </row>
    <row r="5" spans="1:43" x14ac:dyDescent="0.2">
      <c r="C5" s="37"/>
    </row>
    <row r="7" spans="1:43" ht="13.5" customHeight="1" x14ac:dyDescent="0.55000000000000004">
      <c r="C7" s="34" t="str">
        <f>C4</f>
        <v>Reported Statement of Operations</v>
      </c>
      <c r="D7" s="31"/>
      <c r="E7" s="36" t="s">
        <v>32</v>
      </c>
      <c r="F7" s="36"/>
      <c r="G7" s="36"/>
      <c r="H7" s="36"/>
      <c r="I7" s="36"/>
      <c r="J7" s="36"/>
      <c r="K7" s="36"/>
      <c r="L7" s="36"/>
      <c r="M7" s="36"/>
      <c r="N7" s="36"/>
      <c r="O7" s="36"/>
      <c r="P7" s="36"/>
      <c r="Q7" s="36" t="s">
        <v>31</v>
      </c>
      <c r="R7" s="36"/>
      <c r="S7" s="36"/>
      <c r="T7" s="36"/>
      <c r="U7" s="36"/>
      <c r="V7" s="36"/>
      <c r="W7" s="36"/>
      <c r="X7" s="36"/>
      <c r="Y7" s="36"/>
      <c r="Z7" s="36"/>
      <c r="AA7" s="36"/>
      <c r="AB7" s="36"/>
      <c r="AC7" s="36" t="s">
        <v>35</v>
      </c>
      <c r="AD7" s="36"/>
      <c r="AE7" s="36"/>
      <c r="AF7" s="36"/>
      <c r="AG7" s="36"/>
      <c r="AH7" s="36"/>
      <c r="AI7" s="36"/>
      <c r="AJ7" s="31"/>
      <c r="AK7" s="31"/>
      <c r="AL7" s="32"/>
      <c r="AM7" s="32">
        <f>AI8</f>
        <v>45961</v>
      </c>
      <c r="AN7" s="31"/>
      <c r="AO7" s="35" t="s">
        <v>34</v>
      </c>
      <c r="AP7" s="35"/>
      <c r="AQ7" s="35"/>
    </row>
    <row r="8" spans="1:43" ht="11" customHeight="1" x14ac:dyDescent="0.25">
      <c r="C8" s="34" t="str">
        <f>C3</f>
        <v>($ in 000s)</v>
      </c>
      <c r="D8" s="33" t="s">
        <v>33</v>
      </c>
      <c r="E8" s="32">
        <f>TB!K1</f>
        <v>45046</v>
      </c>
      <c r="F8" s="32">
        <f>TB!L1</f>
        <v>45077</v>
      </c>
      <c r="G8" s="32">
        <f>TB!M1</f>
        <v>45107</v>
      </c>
      <c r="H8" s="32">
        <f>TB!N1</f>
        <v>45138</v>
      </c>
      <c r="I8" s="32">
        <f>TB!O1</f>
        <v>45169</v>
      </c>
      <c r="J8" s="32">
        <f>TB!P1</f>
        <v>45199</v>
      </c>
      <c r="K8" s="32">
        <f>TB!Q1</f>
        <v>45230</v>
      </c>
      <c r="L8" s="32">
        <f>TB!R1</f>
        <v>45260</v>
      </c>
      <c r="M8" s="32">
        <f>TB!S1</f>
        <v>45291</v>
      </c>
      <c r="N8" s="32">
        <f>TB!T1</f>
        <v>45322</v>
      </c>
      <c r="O8" s="32">
        <f>TB!U1</f>
        <v>45351</v>
      </c>
      <c r="P8" s="32">
        <f>TB!V1</f>
        <v>45382</v>
      </c>
      <c r="Q8" s="32">
        <f>TB!W1</f>
        <v>45412</v>
      </c>
      <c r="R8" s="32">
        <f>TB!X1</f>
        <v>45443</v>
      </c>
      <c r="S8" s="32">
        <f>TB!Y1</f>
        <v>45473</v>
      </c>
      <c r="T8" s="32">
        <f>TB!Z1</f>
        <v>45504</v>
      </c>
      <c r="U8" s="32">
        <f>TB!AA1</f>
        <v>45535</v>
      </c>
      <c r="V8" s="32">
        <f>TB!AB1</f>
        <v>45565</v>
      </c>
      <c r="W8" s="32">
        <f>TB!AC1</f>
        <v>45596</v>
      </c>
      <c r="X8" s="32">
        <f>TB!AD1</f>
        <v>45626</v>
      </c>
      <c r="Y8" s="32">
        <f>TB!AE1</f>
        <v>45657</v>
      </c>
      <c r="Z8" s="32">
        <f>TB!AF1</f>
        <v>45688</v>
      </c>
      <c r="AA8" s="32">
        <f>TB!AG1</f>
        <v>45716</v>
      </c>
      <c r="AB8" s="32">
        <f>TB!AH1</f>
        <v>45747</v>
      </c>
      <c r="AC8" s="32">
        <f>TB!AI1</f>
        <v>45777</v>
      </c>
      <c r="AD8" s="32">
        <f>TB!AJ1</f>
        <v>45808</v>
      </c>
      <c r="AE8" s="32">
        <f>TB!AK1</f>
        <v>45838</v>
      </c>
      <c r="AF8" s="32">
        <f>TB!AL1</f>
        <v>45869</v>
      </c>
      <c r="AG8" s="32">
        <f>TB!AM1</f>
        <v>45900</v>
      </c>
      <c r="AH8" s="32">
        <f>TB!AN1</f>
        <v>45930</v>
      </c>
      <c r="AI8" s="32">
        <f>TB!AO1</f>
        <v>45961</v>
      </c>
      <c r="AJ8" s="31"/>
      <c r="AK8" s="32" t="s">
        <v>32</v>
      </c>
      <c r="AL8" s="32" t="s">
        <v>31</v>
      </c>
      <c r="AM8" s="32" t="s">
        <v>30</v>
      </c>
      <c r="AN8" s="31"/>
      <c r="AO8" s="30" t="str">
        <f>+AK8</f>
        <v>FY24</v>
      </c>
      <c r="AP8" s="30" t="str">
        <f>+AL8</f>
        <v>FY25</v>
      </c>
      <c r="AQ8" s="30" t="str">
        <f>+AM8</f>
        <v>TTM26</v>
      </c>
    </row>
    <row r="9" spans="1:43" ht="11.25" customHeight="1" x14ac:dyDescent="0.2">
      <c r="C9" s="17" t="s">
        <v>29</v>
      </c>
      <c r="D9" s="15"/>
      <c r="E9" s="66">
        <f>-SUMIFS(TB!K:K,TB!$H:$H,'PL1'!$C9)</f>
        <v>193.12699999999998</v>
      </c>
      <c r="F9" s="66">
        <f>-SUMIFS(TB!L:L,TB!$H:$H,'PL1'!$C9)</f>
        <v>429.44349999999997</v>
      </c>
      <c r="G9" s="66">
        <f>-SUMIFS(TB!M:M,TB!$H:$H,'PL1'!$C9)</f>
        <v>731.81500000000005</v>
      </c>
      <c r="H9" s="66">
        <f>-SUMIFS(TB!N:N,TB!$H:$H,'PL1'!$C9)</f>
        <v>430.35500000000002</v>
      </c>
      <c r="I9" s="66">
        <f>-SUMIFS(TB!O:O,TB!$H:$H,'PL1'!$C9)</f>
        <v>623.42899999999997</v>
      </c>
      <c r="J9" s="66">
        <f>-SUMIFS(TB!P:P,TB!$H:$H,'PL1'!$C9)</f>
        <v>480.83100000000002</v>
      </c>
      <c r="K9" s="66">
        <f>-SUMIFS(TB!Q:Q,TB!$H:$H,'PL1'!$C9)</f>
        <v>688.46799999999996</v>
      </c>
      <c r="L9" s="66">
        <f>-SUMIFS(TB!R:R,TB!$H:$H,'PL1'!$C9)</f>
        <v>1267.3995</v>
      </c>
      <c r="M9" s="66">
        <f>-SUMIFS(TB!S:S,TB!$H:$H,'PL1'!$C9)</f>
        <v>1276.1760000000002</v>
      </c>
      <c r="N9" s="66">
        <f>-SUMIFS(TB!T:T,TB!$H:$H,'PL1'!$C9)</f>
        <v>238.70149999999998</v>
      </c>
      <c r="O9" s="66">
        <f>-SUMIFS(TB!U:U,TB!$H:$H,'PL1'!$C9)</f>
        <v>550.8931</v>
      </c>
      <c r="P9" s="66">
        <f>-SUMIFS(TB!V:V,TB!$H:$H,'PL1'!$C9)</f>
        <v>736.78299999999979</v>
      </c>
      <c r="Q9" s="66">
        <f>-SUMIFS(TB!W:W,TB!$H:$H,'PL1'!$C9)</f>
        <v>422.04399999999998</v>
      </c>
      <c r="R9" s="66">
        <f>-SUMIFS(TB!X:X,TB!$H:$H,'PL1'!$C9)</f>
        <v>525.65</v>
      </c>
      <c r="S9" s="66">
        <f>-SUMIFS(TB!Y:Y,TB!$H:$H,'PL1'!$C9)</f>
        <v>371.34799999999996</v>
      </c>
      <c r="T9" s="66">
        <f>-SUMIFS(TB!Z:Z,TB!$H:$H,'PL1'!$C9)</f>
        <v>381.63400000000001</v>
      </c>
      <c r="U9" s="66">
        <f>-SUMIFS(TB!AA:AA,TB!$H:$H,'PL1'!$C9)</f>
        <v>537.17899999999997</v>
      </c>
      <c r="V9" s="66">
        <f>-SUMIFS(TB!AB:AB,TB!$H:$H,'PL1'!$C9)</f>
        <v>356.904</v>
      </c>
      <c r="W9" s="66">
        <f>-SUMIFS(TB!AC:AC,TB!$H:$H,'PL1'!$C9)</f>
        <v>365.61400000000003</v>
      </c>
      <c r="X9" s="66">
        <f>-SUMIFS(TB!AD:AD,TB!$H:$H,'PL1'!$C9)</f>
        <v>1132.4019999999998</v>
      </c>
      <c r="Y9" s="66">
        <f>-SUMIFS(TB!AE:AE,TB!$H:$H,'PL1'!$C9)</f>
        <v>1135.1701400000002</v>
      </c>
      <c r="Z9" s="66">
        <f>-SUMIFS(TB!AF:AF,TB!$H:$H,'PL1'!$C9)</f>
        <v>329.65100999999999</v>
      </c>
      <c r="AA9" s="66">
        <f>-SUMIFS(TB!AG:AG,TB!$H:$H,'PL1'!$C9)</f>
        <v>807.92899999999997</v>
      </c>
      <c r="AB9" s="66">
        <f>-SUMIFS(TB!AH:AH,TB!$H:$H,'PL1'!$C9)</f>
        <v>413.2260099999998</v>
      </c>
      <c r="AC9" s="66">
        <f>-SUMIFS(TB!AI:AI,TB!$H:$H,'PL1'!$C9)</f>
        <v>351.47300000000001</v>
      </c>
      <c r="AD9" s="66">
        <f>-SUMIFS(TB!AJ:AJ,TB!$H:$H,'PL1'!$C9)</f>
        <v>543.60699999999997</v>
      </c>
      <c r="AE9" s="66">
        <f>-SUMIFS(TB!AK:AK,TB!$H:$H,'PL1'!$C9)</f>
        <v>736.56510000000014</v>
      </c>
      <c r="AF9" s="66">
        <f>-SUMIFS(TB!AL:AL,TB!$H:$H,'PL1'!$C9)</f>
        <v>425.64699999999999</v>
      </c>
      <c r="AG9" s="66">
        <f>-SUMIFS(TB!AM:AM,TB!$H:$H,'PL1'!$C9)</f>
        <v>284.19</v>
      </c>
      <c r="AH9" s="66">
        <f>-SUMIFS(TB!AN:AN,TB!$H:$H,'PL1'!$C9)</f>
        <v>760.36599999999999</v>
      </c>
      <c r="AI9" s="66">
        <f>-SUMIFS(TB!AO:AO,TB!$H:$H,'PL1'!$C9)</f>
        <v>423.18799999999999</v>
      </c>
      <c r="AJ9" s="66"/>
      <c r="AK9" s="66">
        <f>SUM(E9:P9)</f>
        <v>7647.4216000000006</v>
      </c>
      <c r="AL9" s="66">
        <f>SUM(Q9:AB9)</f>
        <v>6778.7511599999989</v>
      </c>
      <c r="AM9" s="66">
        <f>SUM(X9:AI9)</f>
        <v>7343.4142599999996</v>
      </c>
      <c r="AN9" s="14"/>
      <c r="AO9" s="13">
        <f>IFERROR(AK9/AK$10%,0)</f>
        <v>99.999999999999986</v>
      </c>
      <c r="AP9" s="13">
        <f>IFERROR(AL9/AL$10%,0)</f>
        <v>100</v>
      </c>
      <c r="AQ9" s="13">
        <f>IFERROR(AM9/AM$10%,0)</f>
        <v>99.999999999999986</v>
      </c>
    </row>
    <row r="10" spans="1:43" ht="11.25" customHeight="1" x14ac:dyDescent="0.2">
      <c r="C10" s="28" t="s">
        <v>28</v>
      </c>
      <c r="D10" s="27"/>
      <c r="E10" s="26">
        <f>SUM(E9:E9)</f>
        <v>193.12699999999998</v>
      </c>
      <c r="F10" s="26">
        <f>SUM(F9:F9)</f>
        <v>429.44349999999997</v>
      </c>
      <c r="G10" s="26">
        <f>SUM(G9:G9)</f>
        <v>731.81500000000005</v>
      </c>
      <c r="H10" s="26">
        <f>SUM(H9:H9)</f>
        <v>430.35500000000002</v>
      </c>
      <c r="I10" s="26">
        <f>SUM(I9:I9)</f>
        <v>623.42899999999997</v>
      </c>
      <c r="J10" s="26">
        <f>SUM(J9:J9)</f>
        <v>480.83100000000002</v>
      </c>
      <c r="K10" s="26">
        <f>SUM(K9:K9)</f>
        <v>688.46799999999996</v>
      </c>
      <c r="L10" s="26">
        <f>SUM(L9:L9)</f>
        <v>1267.3995</v>
      </c>
      <c r="M10" s="26">
        <f>SUM(M9:M9)</f>
        <v>1276.1760000000002</v>
      </c>
      <c r="N10" s="26">
        <f>SUM(N9:N9)</f>
        <v>238.70149999999998</v>
      </c>
      <c r="O10" s="26">
        <f>SUM(O9:O9)</f>
        <v>550.8931</v>
      </c>
      <c r="P10" s="26">
        <f>SUM(P9:P9)</f>
        <v>736.78299999999979</v>
      </c>
      <c r="Q10" s="26">
        <f>SUM(Q9:Q9)</f>
        <v>422.04399999999998</v>
      </c>
      <c r="R10" s="26">
        <f>SUM(R9:R9)</f>
        <v>525.65</v>
      </c>
      <c r="S10" s="26">
        <f>SUM(S9:S9)</f>
        <v>371.34799999999996</v>
      </c>
      <c r="T10" s="26">
        <f>SUM(T9:T9)</f>
        <v>381.63400000000001</v>
      </c>
      <c r="U10" s="26">
        <f>SUM(U9:U9)</f>
        <v>537.17899999999997</v>
      </c>
      <c r="V10" s="26">
        <f>SUM(V9:V9)</f>
        <v>356.904</v>
      </c>
      <c r="W10" s="26">
        <f>SUM(W9:W9)</f>
        <v>365.61400000000003</v>
      </c>
      <c r="X10" s="26">
        <f>SUM(X9:X9)</f>
        <v>1132.4019999999998</v>
      </c>
      <c r="Y10" s="26">
        <f>SUM(Y9:Y9)</f>
        <v>1135.1701400000002</v>
      </c>
      <c r="Z10" s="26">
        <f>SUM(Z9:Z9)</f>
        <v>329.65100999999999</v>
      </c>
      <c r="AA10" s="26">
        <f>SUM(AA9:AA9)</f>
        <v>807.92899999999997</v>
      </c>
      <c r="AB10" s="26">
        <f>SUM(AB9:AB9)</f>
        <v>413.2260099999998</v>
      </c>
      <c r="AC10" s="26">
        <f>SUM(AC9:AC9)</f>
        <v>351.47300000000001</v>
      </c>
      <c r="AD10" s="26">
        <f>SUM(AD9:AD9)</f>
        <v>543.60699999999997</v>
      </c>
      <c r="AE10" s="26">
        <f>SUM(AE9:AE9)</f>
        <v>736.56510000000014</v>
      </c>
      <c r="AF10" s="26">
        <f>SUM(AF9:AF9)</f>
        <v>425.64699999999999</v>
      </c>
      <c r="AG10" s="26">
        <f>SUM(AG9:AG9)</f>
        <v>284.19</v>
      </c>
      <c r="AH10" s="26">
        <f>SUM(AH9:AH9)</f>
        <v>760.36599999999999</v>
      </c>
      <c r="AI10" s="26">
        <f>SUM(AI9:AI9)</f>
        <v>423.18799999999999</v>
      </c>
      <c r="AJ10" s="26"/>
      <c r="AK10" s="26">
        <f>SUM(AK9:AK9)</f>
        <v>7647.4216000000006</v>
      </c>
      <c r="AL10" s="26">
        <f>SUM(AL9:AL9)</f>
        <v>6778.7511599999989</v>
      </c>
      <c r="AM10" s="26">
        <f>SUM(AM9:AM9)</f>
        <v>7343.4142599999996</v>
      </c>
      <c r="AN10" s="25"/>
      <c r="AO10" s="24">
        <f>IFERROR(AK10/AK$10%,0)</f>
        <v>99.999999999999986</v>
      </c>
      <c r="AP10" s="24">
        <f>IFERROR(AL10/AL$10%,0)</f>
        <v>100</v>
      </c>
      <c r="AQ10" s="24">
        <f>IFERROR(AM10/AM$10%,0)</f>
        <v>99.999999999999986</v>
      </c>
    </row>
    <row r="11" spans="1:43" ht="6" customHeight="1" x14ac:dyDescent="0.2">
      <c r="D11" s="4"/>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3"/>
      <c r="AP11" s="23"/>
      <c r="AQ11" s="23"/>
    </row>
    <row r="12" spans="1:43" ht="11.25" customHeight="1" x14ac:dyDescent="0.2">
      <c r="C12" s="7" t="s">
        <v>27</v>
      </c>
      <c r="D12" s="4"/>
      <c r="E12" s="22" t="s">
        <v>26</v>
      </c>
      <c r="F12" s="22" t="s">
        <v>26</v>
      </c>
      <c r="G12" s="22" t="s">
        <v>26</v>
      </c>
      <c r="H12" s="22" t="s">
        <v>26</v>
      </c>
      <c r="I12" s="22" t="s">
        <v>26</v>
      </c>
      <c r="J12" s="22" t="s">
        <v>26</v>
      </c>
      <c r="K12" s="22" t="s">
        <v>26</v>
      </c>
      <c r="L12" s="22" t="s">
        <v>26</v>
      </c>
      <c r="M12" s="22" t="s">
        <v>26</v>
      </c>
      <c r="N12" s="22" t="s">
        <v>26</v>
      </c>
      <c r="O12" s="22" t="s">
        <v>26</v>
      </c>
      <c r="P12" s="22" t="s">
        <v>26</v>
      </c>
      <c r="Q12" s="5">
        <f>IFERROR(Q10/E10%-100,0)</f>
        <v>118.53184691938466</v>
      </c>
      <c r="R12" s="5">
        <f>IFERROR(R10/F10%-100,0)</f>
        <v>22.402597780616077</v>
      </c>
      <c r="S12" s="5">
        <f>IFERROR(S10/G10%-100,0)</f>
        <v>-49.256574407466374</v>
      </c>
      <c r="T12" s="5">
        <f>IFERROR(T10/H10%-100,0)</f>
        <v>-11.321118611378978</v>
      </c>
      <c r="U12" s="5">
        <f>IFERROR(U10/I10%-100,0)</f>
        <v>-13.834775090667904</v>
      </c>
      <c r="V12" s="5">
        <f>IFERROR(V10/J10%-100,0)</f>
        <v>-25.773504620126417</v>
      </c>
      <c r="W12" s="5">
        <f>IFERROR(W10/K10%-100,0)</f>
        <v>-46.894554285747475</v>
      </c>
      <c r="X12" s="5">
        <f>IFERROR(X10/L10%-100,0)</f>
        <v>-10.651534894877273</v>
      </c>
      <c r="Y12" s="5">
        <f>IFERROR(Y10/M10%-100,0)</f>
        <v>-11.04909197477464</v>
      </c>
      <c r="Z12" s="5">
        <f>IFERROR(Z10/N10%-100,0)</f>
        <v>38.101775648665807</v>
      </c>
      <c r="AA12" s="5">
        <f>IFERROR(AA10/O10%-100,0)</f>
        <v>46.658035833086302</v>
      </c>
      <c r="AB12" s="5">
        <f>IFERROR(AB10/P10%-100,0)</f>
        <v>-43.914828382305245</v>
      </c>
      <c r="AC12" s="5">
        <f>IFERROR(AC10/Q10%-100,0)</f>
        <v>-16.721242334922422</v>
      </c>
      <c r="AD12" s="5">
        <f>IFERROR(AD10/R10%-100,0)</f>
        <v>3.4161514315609196</v>
      </c>
      <c r="AE12" s="5">
        <f>IFERROR(AE10/S10%-100,0)</f>
        <v>98.349014940164011</v>
      </c>
      <c r="AF12" s="5">
        <f>IFERROR(AF10/T10%-100,0)</f>
        <v>11.532777477897667</v>
      </c>
      <c r="AG12" s="5">
        <f>IFERROR(AG10/U10%-100,0)</f>
        <v>-47.095847008166736</v>
      </c>
      <c r="AH12" s="5">
        <f>IFERROR(AH10/V10%-100,0)</f>
        <v>113.04496447223903</v>
      </c>
      <c r="AI12" s="5">
        <f>IFERROR(AI10/W10%-100,0)</f>
        <v>15.747208804914465</v>
      </c>
      <c r="AJ12" s="2"/>
      <c r="AK12" s="22" t="s">
        <v>26</v>
      </c>
      <c r="AL12" s="5">
        <f>IFERROR(AL10/AK10%-100,0)</f>
        <v>-11.358997652228325</v>
      </c>
      <c r="AM12" s="5">
        <f>IFERROR(AM10/SUM(L10:W10)%-100,0)</f>
        <v>4.4533945587531036</v>
      </c>
      <c r="AN12" s="2"/>
      <c r="AO12" s="5"/>
      <c r="AP12" s="5"/>
      <c r="AQ12" s="5"/>
    </row>
    <row r="13" spans="1:43" ht="6" customHeight="1" x14ac:dyDescent="0.2">
      <c r="C13" s="7"/>
      <c r="D13" s="4"/>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2"/>
      <c r="AK13" s="5"/>
      <c r="AL13" s="5"/>
      <c r="AM13" s="5"/>
      <c r="AN13" s="2"/>
      <c r="AO13" s="5"/>
      <c r="AP13" s="5"/>
      <c r="AQ13" s="5"/>
    </row>
    <row r="14" spans="1:43" ht="11.25" customHeight="1" x14ac:dyDescent="0.2">
      <c r="C14" s="17" t="s">
        <v>25</v>
      </c>
      <c r="D14" s="15"/>
      <c r="E14" s="14">
        <v>0</v>
      </c>
      <c r="F14" s="14">
        <v>0</v>
      </c>
      <c r="G14" s="14">
        <v>0</v>
      </c>
      <c r="H14" s="14">
        <v>0</v>
      </c>
      <c r="I14" s="14">
        <v>0</v>
      </c>
      <c r="J14" s="14">
        <v>0</v>
      </c>
      <c r="K14" s="14">
        <v>0</v>
      </c>
      <c r="L14" s="14">
        <v>0</v>
      </c>
      <c r="M14" s="14">
        <v>0</v>
      </c>
      <c r="N14" s="14">
        <v>0</v>
      </c>
      <c r="O14" s="14">
        <v>0</v>
      </c>
      <c r="P14" s="14">
        <v>0</v>
      </c>
      <c r="Q14" s="14">
        <v>0</v>
      </c>
      <c r="R14" s="14">
        <v>0</v>
      </c>
      <c r="S14" s="14">
        <v>0</v>
      </c>
      <c r="T14" s="14">
        <v>0</v>
      </c>
      <c r="U14" s="14">
        <v>0</v>
      </c>
      <c r="V14" s="14">
        <v>0</v>
      </c>
      <c r="W14" s="14">
        <v>0</v>
      </c>
      <c r="X14" s="14">
        <v>0</v>
      </c>
      <c r="Y14" s="14">
        <v>0</v>
      </c>
      <c r="Z14" s="14">
        <v>0</v>
      </c>
      <c r="AA14" s="14">
        <v>0</v>
      </c>
      <c r="AB14" s="14">
        <v>0</v>
      </c>
      <c r="AC14" s="14">
        <v>0</v>
      </c>
      <c r="AD14" s="14">
        <v>0</v>
      </c>
      <c r="AE14" s="14">
        <v>0</v>
      </c>
      <c r="AF14" s="14">
        <v>0</v>
      </c>
      <c r="AG14" s="14">
        <v>0</v>
      </c>
      <c r="AH14" s="14">
        <v>0</v>
      </c>
      <c r="AI14" s="14">
        <v>0</v>
      </c>
      <c r="AJ14" s="14"/>
      <c r="AK14" s="14">
        <v>0</v>
      </c>
      <c r="AL14" s="14">
        <v>0</v>
      </c>
      <c r="AM14" s="14">
        <v>0</v>
      </c>
      <c r="AN14" s="14"/>
      <c r="AO14" s="13">
        <f>IFERROR(AK14/AK$10%,0)</f>
        <v>0</v>
      </c>
      <c r="AP14" s="13">
        <f>IFERROR(AL14/AL$10%,0)</f>
        <v>0</v>
      </c>
      <c r="AQ14" s="13">
        <f>IFERROR(AM14/AM$10%,0)</f>
        <v>0</v>
      </c>
    </row>
    <row r="15" spans="1:43" ht="11.25" customHeight="1" x14ac:dyDescent="0.25">
      <c r="C15" s="21" t="s">
        <v>4</v>
      </c>
      <c r="D15" s="20"/>
      <c r="E15" s="19">
        <f>E10-E14</f>
        <v>193.12699999999998</v>
      </c>
      <c r="F15" s="19">
        <f>F10-F14</f>
        <v>429.44349999999997</v>
      </c>
      <c r="G15" s="19">
        <f>G10-G14</f>
        <v>731.81500000000005</v>
      </c>
      <c r="H15" s="19">
        <f>H10-H14</f>
        <v>430.35500000000002</v>
      </c>
      <c r="I15" s="19">
        <f>I10-I14</f>
        <v>623.42899999999997</v>
      </c>
      <c r="J15" s="19">
        <f>J10-J14</f>
        <v>480.83100000000002</v>
      </c>
      <c r="K15" s="19">
        <f>K10-K14</f>
        <v>688.46799999999996</v>
      </c>
      <c r="L15" s="19">
        <f>L10-L14</f>
        <v>1267.3995</v>
      </c>
      <c r="M15" s="19">
        <f>M10-M14</f>
        <v>1276.1760000000002</v>
      </c>
      <c r="N15" s="19">
        <f>N10-N14</f>
        <v>238.70149999999998</v>
      </c>
      <c r="O15" s="19">
        <f>O10-O14</f>
        <v>550.8931</v>
      </c>
      <c r="P15" s="19">
        <f>P10-P14</f>
        <v>736.78299999999979</v>
      </c>
      <c r="Q15" s="19">
        <f>Q10-Q14</f>
        <v>422.04399999999998</v>
      </c>
      <c r="R15" s="19">
        <f>R10-R14</f>
        <v>525.65</v>
      </c>
      <c r="S15" s="19">
        <f>S10-S14</f>
        <v>371.34799999999996</v>
      </c>
      <c r="T15" s="19">
        <f>T10-T14</f>
        <v>381.63400000000001</v>
      </c>
      <c r="U15" s="19">
        <f>U10-U14</f>
        <v>537.17899999999997</v>
      </c>
      <c r="V15" s="19">
        <f>V10-V14</f>
        <v>356.904</v>
      </c>
      <c r="W15" s="19">
        <f>W10-W14</f>
        <v>365.61400000000003</v>
      </c>
      <c r="X15" s="19">
        <f>X10-X14</f>
        <v>1132.4019999999998</v>
      </c>
      <c r="Y15" s="19">
        <f>Y10-Y14</f>
        <v>1135.1701400000002</v>
      </c>
      <c r="Z15" s="19">
        <f>Z10-Z14</f>
        <v>329.65100999999999</v>
      </c>
      <c r="AA15" s="19">
        <f>AA10-AA14</f>
        <v>807.92899999999997</v>
      </c>
      <c r="AB15" s="19">
        <f>AB10-AB14</f>
        <v>413.2260099999998</v>
      </c>
      <c r="AC15" s="19">
        <f>AC10-AC14</f>
        <v>351.47300000000001</v>
      </c>
      <c r="AD15" s="19">
        <f>AD10-AD14</f>
        <v>543.60699999999997</v>
      </c>
      <c r="AE15" s="19">
        <f>AE10-AE14</f>
        <v>736.56510000000014</v>
      </c>
      <c r="AF15" s="19">
        <f>AF10-AF14</f>
        <v>425.64699999999999</v>
      </c>
      <c r="AG15" s="19">
        <f>AG10-AG14</f>
        <v>284.19</v>
      </c>
      <c r="AH15" s="19">
        <f>AH10-AH14</f>
        <v>760.36599999999999</v>
      </c>
      <c r="AI15" s="19">
        <f>AI10-AI14</f>
        <v>423.18799999999999</v>
      </c>
      <c r="AJ15" s="19"/>
      <c r="AK15" s="19">
        <f>AK10-AK14</f>
        <v>7647.4216000000006</v>
      </c>
      <c r="AL15" s="19">
        <f>AL10-AL14</f>
        <v>6778.7511599999989</v>
      </c>
      <c r="AM15" s="19">
        <f>AM10-AM14</f>
        <v>7343.4142599999996</v>
      </c>
      <c r="AN15" s="19"/>
      <c r="AO15" s="18">
        <f>IFERROR(AK15/AK$10%,0)</f>
        <v>99.999999999999986</v>
      </c>
      <c r="AP15" s="18">
        <f>IFERROR(AL15/AL$10%,0)</f>
        <v>100</v>
      </c>
      <c r="AQ15" s="18">
        <f>IFERROR(AM15/AM$10%,0)</f>
        <v>99.999999999999986</v>
      </c>
    </row>
    <row r="16" spans="1:43" ht="6" customHeight="1" x14ac:dyDescent="0.2">
      <c r="D16" s="4"/>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5"/>
      <c r="AP16" s="5"/>
      <c r="AQ16" s="5"/>
    </row>
    <row r="17" spans="3:43" ht="11.25" customHeight="1" x14ac:dyDescent="0.2">
      <c r="C17" t="s">
        <v>24</v>
      </c>
      <c r="D17" s="4"/>
      <c r="E17" s="2">
        <f>SUMIFS(TB!K:K,TB!$H:$H,'PL1'!$C17)</f>
        <v>298.69046000000003</v>
      </c>
      <c r="F17" s="2">
        <f>SUMIFS(TB!L:L,TB!$H:$H,'PL1'!$C17)</f>
        <v>298.48343999999997</v>
      </c>
      <c r="G17" s="2">
        <f>SUMIFS(TB!M:M,TB!$H:$H,'PL1'!$C17)</f>
        <v>284.31466999999998</v>
      </c>
      <c r="H17" s="2">
        <f>SUMIFS(TB!N:N,TB!$H:$H,'PL1'!$C17)</f>
        <v>276.68905999999998</v>
      </c>
      <c r="I17" s="2">
        <f>SUMIFS(TB!O:O,TB!$H:$H,'PL1'!$C17)</f>
        <v>268.97222999999997</v>
      </c>
      <c r="J17" s="2">
        <f>SUMIFS(TB!P:P,TB!$H:$H,'PL1'!$C17)</f>
        <v>266.65804000000009</v>
      </c>
      <c r="K17" s="2">
        <f>SUMIFS(TB!Q:Q,TB!$H:$H,'PL1'!$C17)</f>
        <v>268.30101000000002</v>
      </c>
      <c r="L17" s="2">
        <f>SUMIFS(TB!R:R,TB!$H:$H,'PL1'!$C17)</f>
        <v>266.7358799999999</v>
      </c>
      <c r="M17" s="2">
        <f>SUMIFS(TB!S:S,TB!$H:$H,'PL1'!$C17)</f>
        <v>265.08172000000002</v>
      </c>
      <c r="N17" s="2">
        <f>SUMIFS(TB!T:T,TB!$H:$H,'PL1'!$C17)</f>
        <v>281.37695000000008</v>
      </c>
      <c r="O17" s="2">
        <f>SUMIFS(TB!U:U,TB!$H:$H,'PL1'!$C17)</f>
        <v>275.32041000000009</v>
      </c>
      <c r="P17" s="2">
        <f>SUMIFS(TB!V:V,TB!$H:$H,'PL1'!$C17)</f>
        <v>375.49239</v>
      </c>
      <c r="Q17" s="2">
        <f>SUMIFS(TB!W:W,TB!$H:$H,'PL1'!$C17)</f>
        <v>271.91109</v>
      </c>
      <c r="R17" s="2">
        <f>SUMIFS(TB!X:X,TB!$H:$H,'PL1'!$C17)</f>
        <v>271.61953</v>
      </c>
      <c r="S17" s="2">
        <f>SUMIFS(TB!Y:Y,TB!$H:$H,'PL1'!$C17)</f>
        <v>293.90775000000008</v>
      </c>
      <c r="T17" s="2">
        <f>SUMIFS(TB!Z:Z,TB!$H:$H,'PL1'!$C17)</f>
        <v>301.94596999999999</v>
      </c>
      <c r="U17" s="2">
        <f>SUMIFS(TB!AA:AA,TB!$H:$H,'PL1'!$C17)</f>
        <v>296.50784999999996</v>
      </c>
      <c r="V17" s="2">
        <f>SUMIFS(TB!AB:AB,TB!$H:$H,'PL1'!$C17)</f>
        <v>292.17041</v>
      </c>
      <c r="W17" s="2">
        <f>SUMIFS(TB!AC:AC,TB!$H:$H,'PL1'!$C17)</f>
        <v>290.47590000000002</v>
      </c>
      <c r="X17" s="2">
        <f>SUMIFS(TB!AD:AD,TB!$H:$H,'PL1'!$C17)</f>
        <v>291.34559999999999</v>
      </c>
      <c r="Y17" s="2">
        <f>SUMIFS(TB!AE:AE,TB!$H:$H,'PL1'!$C17)</f>
        <v>287.43832999999995</v>
      </c>
      <c r="Z17" s="2">
        <f>SUMIFS(TB!AF:AF,TB!$H:$H,'PL1'!$C17)</f>
        <v>-219.37219999999979</v>
      </c>
      <c r="AA17" s="2">
        <f>SUMIFS(TB!AG:AG,TB!$H:$H,'PL1'!$C17)</f>
        <v>244.77621999999982</v>
      </c>
      <c r="AB17" s="2">
        <f>SUMIFS(TB!AH:AH,TB!$H:$H,'PL1'!$C17)</f>
        <v>152.51136000000071</v>
      </c>
      <c r="AC17" s="2">
        <f>SUMIFS(TB!AI:AI,TB!$H:$H,'PL1'!$C17)</f>
        <v>232.13679999999997</v>
      </c>
      <c r="AD17" s="2">
        <f>SUMIFS(TB!AJ:AJ,TB!$H:$H,'PL1'!$C17)</f>
        <v>333.07218999999998</v>
      </c>
      <c r="AE17" s="2">
        <f>SUMIFS(TB!AK:AK,TB!$H:$H,'PL1'!$C17)</f>
        <v>281.43372999999997</v>
      </c>
      <c r="AF17" s="2">
        <f>SUMIFS(TB!AL:AL,TB!$H:$H,'PL1'!$C17)</f>
        <v>281.47454999999991</v>
      </c>
      <c r="AG17" s="2">
        <f>SUMIFS(TB!AM:AM,TB!$H:$H,'PL1'!$C17)</f>
        <v>281.31165999999996</v>
      </c>
      <c r="AH17" s="2">
        <f>SUMIFS(TB!AN:AN,TB!$H:$H,'PL1'!$C17)</f>
        <v>280.26423</v>
      </c>
      <c r="AI17" s="2">
        <f>SUMIFS(TB!AO:AO,TB!$H:$H,'PL1'!$C17)</f>
        <v>287.17412999999988</v>
      </c>
      <c r="AJ17" s="2"/>
      <c r="AK17" s="2">
        <f>SUM(E17:P17)</f>
        <v>3426.1162600000002</v>
      </c>
      <c r="AL17" s="2">
        <f>SUM(Q17:AB17)</f>
        <v>2775.237810000001</v>
      </c>
      <c r="AM17" s="2">
        <f>SUM(X17:AI17)</f>
        <v>2733.5666000000006</v>
      </c>
      <c r="AN17" s="2"/>
      <c r="AO17" s="5">
        <f>IFERROR(AK17/AK$10%,0)</f>
        <v>44.800933428333543</v>
      </c>
      <c r="AP17" s="5">
        <f>IFERROR(AL17/AL$10%,0)</f>
        <v>40.940252038990636</v>
      </c>
      <c r="AQ17" s="5">
        <f>IFERROR(AM17/AM$10%,0)</f>
        <v>37.224736385769425</v>
      </c>
    </row>
    <row r="18" spans="3:43" ht="11.25" customHeight="1" x14ac:dyDescent="0.2">
      <c r="C18" t="s">
        <v>23</v>
      </c>
      <c r="D18" s="4"/>
      <c r="E18" s="2">
        <f>SUMIFS(TB!K:K,TB!$H:$H,'PL1'!$C18)</f>
        <v>137.43364000000003</v>
      </c>
      <c r="F18" s="2">
        <f>SUMIFS(TB!L:L,TB!$H:$H,'PL1'!$C18)</f>
        <v>193.54791</v>
      </c>
      <c r="G18" s="2">
        <f>SUMIFS(TB!M:M,TB!$H:$H,'PL1'!$C18)</f>
        <v>224.92212999999998</v>
      </c>
      <c r="H18" s="2">
        <f>SUMIFS(TB!N:N,TB!$H:$H,'PL1'!$C18)</f>
        <v>125.26819</v>
      </c>
      <c r="I18" s="2">
        <f>SUMIFS(TB!O:O,TB!$H:$H,'PL1'!$C18)</f>
        <v>176.70462000000001</v>
      </c>
      <c r="J18" s="2">
        <f>SUMIFS(TB!P:P,TB!$H:$H,'PL1'!$C18)</f>
        <v>178.79570999999996</v>
      </c>
      <c r="K18" s="2">
        <f>SUMIFS(TB!Q:Q,TB!$H:$H,'PL1'!$C18)</f>
        <v>270.18698000000001</v>
      </c>
      <c r="L18" s="2">
        <f>SUMIFS(TB!R:R,TB!$H:$H,'PL1'!$C18)</f>
        <v>287.13070999999997</v>
      </c>
      <c r="M18" s="2">
        <f>SUMIFS(TB!S:S,TB!$H:$H,'PL1'!$C18)</f>
        <v>147.99318000000005</v>
      </c>
      <c r="N18" s="2">
        <f>SUMIFS(TB!T:T,TB!$H:$H,'PL1'!$C18)</f>
        <v>165.18796999999998</v>
      </c>
      <c r="O18" s="2">
        <f>SUMIFS(TB!U:U,TB!$H:$H,'PL1'!$C18)</f>
        <v>337.44583</v>
      </c>
      <c r="P18" s="2">
        <f>SUMIFS(TB!V:V,TB!$H:$H,'PL1'!$C18)</f>
        <v>319.66356000000007</v>
      </c>
      <c r="Q18" s="2">
        <f>SUMIFS(TB!W:W,TB!$H:$H,'PL1'!$C18)</f>
        <v>168.82724999999999</v>
      </c>
      <c r="R18" s="2">
        <f>SUMIFS(TB!X:X,TB!$H:$H,'PL1'!$C18)</f>
        <v>120.04549999999999</v>
      </c>
      <c r="S18" s="2">
        <f>SUMIFS(TB!Y:Y,TB!$H:$H,'PL1'!$C18)</f>
        <v>172.70988</v>
      </c>
      <c r="T18" s="2">
        <f>SUMIFS(TB!Z:Z,TB!$H:$H,'PL1'!$C18)</f>
        <v>148.45572000000004</v>
      </c>
      <c r="U18" s="2">
        <f>SUMIFS(TB!AA:AA,TB!$H:$H,'PL1'!$C18)</f>
        <v>179.57611</v>
      </c>
      <c r="V18" s="2">
        <f>SUMIFS(TB!AB:AB,TB!$H:$H,'PL1'!$C18)</f>
        <v>152.01988000000003</v>
      </c>
      <c r="W18" s="2">
        <f>SUMIFS(TB!AC:AC,TB!$H:$H,'PL1'!$C18)</f>
        <v>223.98868999999993</v>
      </c>
      <c r="X18" s="2">
        <f>SUMIFS(TB!AD:AD,TB!$H:$H,'PL1'!$C18)</f>
        <v>213.07865000000001</v>
      </c>
      <c r="Y18" s="2">
        <f>SUMIFS(TB!AE:AE,TB!$H:$H,'PL1'!$C18)</f>
        <v>202.70499000000001</v>
      </c>
      <c r="Z18" s="2">
        <f>SUMIFS(TB!AF:AF,TB!$H:$H,'PL1'!$C18)</f>
        <v>285.08553000000006</v>
      </c>
      <c r="AA18" s="2">
        <f>SUMIFS(TB!AG:AG,TB!$H:$H,'PL1'!$C18)</f>
        <v>114.44835</v>
      </c>
      <c r="AB18" s="2">
        <f>SUMIFS(TB!AH:AH,TB!$H:$H,'PL1'!$C18)</f>
        <v>188.95704000000003</v>
      </c>
      <c r="AC18" s="2">
        <f>SUMIFS(TB!AI:AI,TB!$H:$H,'PL1'!$C18)</f>
        <v>199.86529000000002</v>
      </c>
      <c r="AD18" s="2">
        <f>SUMIFS(TB!AJ:AJ,TB!$H:$H,'PL1'!$C18)</f>
        <v>178.72288</v>
      </c>
      <c r="AE18" s="2">
        <f>SUMIFS(TB!AK:AK,TB!$H:$H,'PL1'!$C18)</f>
        <v>266.13392999999996</v>
      </c>
      <c r="AF18" s="2">
        <f>SUMIFS(TB!AL:AL,TB!$H:$H,'PL1'!$C18)</f>
        <v>115.13460000000001</v>
      </c>
      <c r="AG18" s="2">
        <f>SUMIFS(TB!AM:AM,TB!$H:$H,'PL1'!$C18)</f>
        <v>207.44050999999999</v>
      </c>
      <c r="AH18" s="2">
        <f>SUMIFS(TB!AN:AN,TB!$H:$H,'PL1'!$C18)</f>
        <v>184.72747000000001</v>
      </c>
      <c r="AI18" s="2">
        <f>SUMIFS(TB!AO:AO,TB!$H:$H,'PL1'!$C18)</f>
        <v>191.75563000000002</v>
      </c>
      <c r="AJ18" s="2"/>
      <c r="AK18" s="2">
        <f>SUM(E18:P18)</f>
        <v>2564.2804299999998</v>
      </c>
      <c r="AL18" s="2">
        <f>SUM(Q18:AB18)</f>
        <v>2169.89759</v>
      </c>
      <c r="AM18" s="2">
        <f>SUM(X18:AI18)</f>
        <v>2348.0548699999999</v>
      </c>
      <c r="AN18" s="2"/>
      <c r="AO18" s="5">
        <f>IFERROR(AK18/AK$10%,0)</f>
        <v>33.531307205555393</v>
      </c>
      <c r="AP18" s="5">
        <f>IFERROR(AL18/AL$10%,0)</f>
        <v>32.010285357635112</v>
      </c>
      <c r="AQ18" s="5">
        <f>IFERROR(AM18/AM$10%,0)</f>
        <v>31.974974948505764</v>
      </c>
    </row>
    <row r="19" spans="3:43" ht="11.25" customHeight="1" x14ac:dyDescent="0.2">
      <c r="C19" t="s">
        <v>22</v>
      </c>
      <c r="D19" s="4"/>
      <c r="E19" s="2">
        <f>SUMIFS(TB!K:K,TB!$H:$H,'PL1'!$C19)</f>
        <v>38.037930000000003</v>
      </c>
      <c r="F19" s="2">
        <f>SUMIFS(TB!L:L,TB!$H:$H,'PL1'!$C19)</f>
        <v>29.356660000000002</v>
      </c>
      <c r="G19" s="2">
        <f>SUMIFS(TB!M:M,TB!$H:$H,'PL1'!$C19)</f>
        <v>34.113220000000005</v>
      </c>
      <c r="H19" s="2">
        <f>SUMIFS(TB!N:N,TB!$H:$H,'PL1'!$C19)</f>
        <v>41.282789999999984</v>
      </c>
      <c r="I19" s="2">
        <f>SUMIFS(TB!O:O,TB!$H:$H,'PL1'!$C19)</f>
        <v>58.567520000000009</v>
      </c>
      <c r="J19" s="2">
        <f>SUMIFS(TB!P:P,TB!$H:$H,'PL1'!$C19)</f>
        <v>39.983860000000014</v>
      </c>
      <c r="K19" s="2">
        <f>SUMIFS(TB!Q:Q,TB!$H:$H,'PL1'!$C19)</f>
        <v>22.859439999999985</v>
      </c>
      <c r="L19" s="2">
        <f>SUMIFS(TB!R:R,TB!$H:$H,'PL1'!$C19)</f>
        <v>25.829879999999999</v>
      </c>
      <c r="M19" s="2">
        <f>SUMIFS(TB!S:S,TB!$H:$H,'PL1'!$C19)</f>
        <v>29.66964000000003</v>
      </c>
      <c r="N19" s="2">
        <f>SUMIFS(TB!T:T,TB!$H:$H,'PL1'!$C19)</f>
        <v>23.20153999999998</v>
      </c>
      <c r="O19" s="2">
        <f>SUMIFS(TB!U:U,TB!$H:$H,'PL1'!$C19)</f>
        <v>29.623840000000023</v>
      </c>
      <c r="P19" s="2">
        <f>SUMIFS(TB!V:V,TB!$H:$H,'PL1'!$C19)</f>
        <v>-98.054350000000014</v>
      </c>
      <c r="Q19" s="2">
        <f>SUMIFS(TB!W:W,TB!$H:$H,'PL1'!$C19)</f>
        <v>30.082070000000002</v>
      </c>
      <c r="R19" s="2">
        <f>SUMIFS(TB!X:X,TB!$H:$H,'PL1'!$C19)</f>
        <v>28.762040000000002</v>
      </c>
      <c r="S19" s="2">
        <f>SUMIFS(TB!Y:Y,TB!$H:$H,'PL1'!$C19)</f>
        <v>29.715679999999995</v>
      </c>
      <c r="T19" s="2">
        <f>SUMIFS(TB!Z:Z,TB!$H:$H,'PL1'!$C19)</f>
        <v>21.525080000000003</v>
      </c>
      <c r="U19" s="2">
        <f>SUMIFS(TB!AA:AA,TB!$H:$H,'PL1'!$C19)</f>
        <v>35.728309999999993</v>
      </c>
      <c r="V19" s="2">
        <f>SUMIFS(TB!AB:AB,TB!$H:$H,'PL1'!$C19)</f>
        <v>2.2702100000000009</v>
      </c>
      <c r="W19" s="2">
        <f>SUMIFS(TB!AC:AC,TB!$H:$H,'PL1'!$C19)</f>
        <v>1.379459999999999</v>
      </c>
      <c r="X19" s="2">
        <f>SUMIFS(TB!AD:AD,TB!$H:$H,'PL1'!$C19)</f>
        <v>1.3794599999999999</v>
      </c>
      <c r="Y19" s="2">
        <f>SUMIFS(TB!AE:AE,TB!$H:$H,'PL1'!$C19)</f>
        <v>2.2702100000000001</v>
      </c>
      <c r="Z19" s="2">
        <f>SUMIFS(TB!AF:AF,TB!$H:$H,'PL1'!$C19)</f>
        <v>5.1294599999999999</v>
      </c>
      <c r="AA19" s="2">
        <f>SUMIFS(TB!AG:AG,TB!$H:$H,'PL1'!$C19)</f>
        <v>3.8794599999999999</v>
      </c>
      <c r="AB19" s="2">
        <f>SUMIFS(TB!AH:AH,TB!$H:$H,'PL1'!$C19)</f>
        <v>161.87644999999998</v>
      </c>
      <c r="AC19" s="2">
        <f>SUMIFS(TB!AI:AI,TB!$H:$H,'PL1'!$C19)</f>
        <v>1.3794599999999999</v>
      </c>
      <c r="AD19" s="2">
        <f>SUMIFS(TB!AJ:AJ,TB!$H:$H,'PL1'!$C19)</f>
        <v>1.3794599999999999</v>
      </c>
      <c r="AE19" s="2">
        <f>SUMIFS(TB!AK:AK,TB!$H:$H,'PL1'!$C19)</f>
        <v>1.3794599999999999</v>
      </c>
      <c r="AF19" s="2">
        <f>SUMIFS(TB!AL:AL,TB!$H:$H,'PL1'!$C19)</f>
        <v>19.417460000000002</v>
      </c>
      <c r="AG19" s="2">
        <f>SUMIFS(TB!AM:AM,TB!$H:$H,'PL1'!$C19)</f>
        <v>1.3794599999999995</v>
      </c>
      <c r="AH19" s="2">
        <f>SUMIFS(TB!AN:AN,TB!$H:$H,'PL1'!$C19)</f>
        <v>32.106020000000001</v>
      </c>
      <c r="AI19" s="2">
        <f>SUMIFS(TB!AO:AO,TB!$H:$H,'PL1'!$C19)</f>
        <v>4.7715599999999991</v>
      </c>
      <c r="AJ19" s="2"/>
      <c r="AK19" s="2">
        <f>SUM(E19:P19)</f>
        <v>274.47197</v>
      </c>
      <c r="AL19" s="2">
        <f>SUM(Q19:AB19)</f>
        <v>323.99788999999993</v>
      </c>
      <c r="AM19" s="2">
        <f>SUM(X19:AI19)</f>
        <v>236.34791999999996</v>
      </c>
      <c r="AN19" s="2"/>
      <c r="AO19" s="5">
        <f>IFERROR(AK19/AK$10%,0)</f>
        <v>3.589078572574055</v>
      </c>
      <c r="AP19" s="5">
        <f>IFERROR(AL19/AL$10%,0)</f>
        <v>4.7796103198454034</v>
      </c>
      <c r="AQ19" s="5">
        <f>IFERROR(AM19/AM$10%,0)</f>
        <v>3.2185017980995663</v>
      </c>
    </row>
    <row r="20" spans="3:43" ht="11.25" customHeight="1" x14ac:dyDescent="0.2">
      <c r="C20" t="s">
        <v>21</v>
      </c>
      <c r="D20" s="4"/>
      <c r="E20" s="2">
        <f>SUMIFS(TB!K:K,TB!$H:$H,'PL1'!$C20)</f>
        <v>8.5549999999999997</v>
      </c>
      <c r="F20" s="2">
        <f>SUMIFS(TB!L:L,TB!$H:$H,'PL1'!$C20)</f>
        <v>7.6875</v>
      </c>
      <c r="G20" s="2">
        <f>SUMIFS(TB!M:M,TB!$H:$H,'PL1'!$C20)</f>
        <v>5.6</v>
      </c>
      <c r="H20" s="2">
        <f>SUMIFS(TB!N:N,TB!$H:$H,'PL1'!$C20)</f>
        <v>11.74</v>
      </c>
      <c r="I20" s="2">
        <f>SUMIFS(TB!O:O,TB!$H:$H,'PL1'!$C20)</f>
        <v>0</v>
      </c>
      <c r="J20" s="2">
        <f>SUMIFS(TB!P:P,TB!$H:$H,'PL1'!$C20)</f>
        <v>15.34</v>
      </c>
      <c r="K20" s="2">
        <f>SUMIFS(TB!Q:Q,TB!$H:$H,'PL1'!$C20)</f>
        <v>9.9474999999999998</v>
      </c>
      <c r="L20" s="2">
        <f>SUMIFS(TB!R:R,TB!$H:$H,'PL1'!$C20)</f>
        <v>8</v>
      </c>
      <c r="M20" s="2">
        <f>SUMIFS(TB!S:S,TB!$H:$H,'PL1'!$C20)</f>
        <v>8.5649999999999995</v>
      </c>
      <c r="N20" s="2">
        <f>SUMIFS(TB!T:T,TB!$H:$H,'PL1'!$C20)</f>
        <v>8</v>
      </c>
      <c r="O20" s="2">
        <f>SUMIFS(TB!U:U,TB!$H:$H,'PL1'!$C20)</f>
        <v>11.02</v>
      </c>
      <c r="P20" s="2">
        <f>SUMIFS(TB!V:V,TB!$H:$H,'PL1'!$C20)</f>
        <v>8.8949999999999996</v>
      </c>
      <c r="Q20" s="2">
        <f>SUMIFS(TB!W:W,TB!$H:$H,'PL1'!$C20)</f>
        <v>9.63307</v>
      </c>
      <c r="R20" s="2">
        <f>SUMIFS(TB!X:X,TB!$H:$H,'PL1'!$C20)</f>
        <v>8</v>
      </c>
      <c r="S20" s="2">
        <f>SUMIFS(TB!Y:Y,TB!$H:$H,'PL1'!$C20)</f>
        <v>14.865</v>
      </c>
      <c r="T20" s="2">
        <f>SUMIFS(TB!Z:Z,TB!$H:$H,'PL1'!$C20)</f>
        <v>18.331500000000002</v>
      </c>
      <c r="U20" s="2">
        <f>SUMIFS(TB!AA:AA,TB!$H:$H,'PL1'!$C20)</f>
        <v>0</v>
      </c>
      <c r="V20" s="2">
        <f>SUMIFS(TB!AB:AB,TB!$H:$H,'PL1'!$C20)</f>
        <v>10.4</v>
      </c>
      <c r="W20" s="2">
        <f>SUMIFS(TB!AC:AC,TB!$H:$H,'PL1'!$C20)</f>
        <v>11.395000000000007</v>
      </c>
      <c r="X20" s="2">
        <f>SUMIFS(TB!AD:AD,TB!$H:$H,'PL1'!$C20)</f>
        <v>15.605</v>
      </c>
      <c r="Y20" s="2">
        <f>SUMIFS(TB!AE:AE,TB!$H:$H,'PL1'!$C20)</f>
        <v>15.544499999999999</v>
      </c>
      <c r="Z20" s="2">
        <f>SUMIFS(TB!AF:AF,TB!$H:$H,'PL1'!$C20)</f>
        <v>8.75</v>
      </c>
      <c r="AA20" s="2">
        <f>SUMIFS(TB!AG:AG,TB!$H:$H,'PL1'!$C20)</f>
        <v>30.471999999999998</v>
      </c>
      <c r="AB20" s="2">
        <f>SUMIFS(TB!AH:AH,TB!$H:$H,'PL1'!$C20)</f>
        <v>10.548500000000001</v>
      </c>
      <c r="AC20" s="2">
        <f>SUMIFS(TB!AI:AI,TB!$H:$H,'PL1'!$C20)</f>
        <v>11.533300000000001</v>
      </c>
      <c r="AD20" s="2">
        <f>SUMIFS(TB!AJ:AJ,TB!$H:$H,'PL1'!$C20)</f>
        <v>11.734999999999999</v>
      </c>
      <c r="AE20" s="2">
        <f>SUMIFS(TB!AK:AK,TB!$H:$H,'PL1'!$C20)</f>
        <v>8.1999999999999993</v>
      </c>
      <c r="AF20" s="2">
        <f>SUMIFS(TB!AL:AL,TB!$H:$H,'PL1'!$C20)</f>
        <v>18.680000000000003</v>
      </c>
      <c r="AG20" s="2">
        <f>SUMIFS(TB!AM:AM,TB!$H:$H,'PL1'!$C20)</f>
        <v>8</v>
      </c>
      <c r="AH20" s="2">
        <f>SUMIFS(TB!AN:AN,TB!$H:$H,'PL1'!$C20)</f>
        <v>16.975000000000001</v>
      </c>
      <c r="AI20" s="2">
        <f>SUMIFS(TB!AO:AO,TB!$H:$H,'PL1'!$C20)</f>
        <v>30.6465</v>
      </c>
      <c r="AJ20" s="2"/>
      <c r="AK20" s="2">
        <f>SUM(E20:P20)</f>
        <v>103.35</v>
      </c>
      <c r="AL20" s="2">
        <f>SUM(Q20:AB20)</f>
        <v>153.54456999999999</v>
      </c>
      <c r="AM20" s="2">
        <f>SUM(X20:AI20)</f>
        <v>186.68979999999999</v>
      </c>
      <c r="AN20" s="2"/>
      <c r="AO20" s="5">
        <f>IFERROR(AK20/AK$10%,0)</f>
        <v>1.3514358878814785</v>
      </c>
      <c r="AP20" s="5">
        <f>IFERROR(AL20/AL$10%,0)</f>
        <v>2.2650863909274999</v>
      </c>
      <c r="AQ20" s="5">
        <f>IFERROR(AM20/AM$10%,0)</f>
        <v>2.5422752059203586</v>
      </c>
    </row>
    <row r="21" spans="3:43" ht="11.25" customHeight="1" x14ac:dyDescent="0.2">
      <c r="C21" t="s">
        <v>20</v>
      </c>
      <c r="D21" s="4"/>
      <c r="E21" s="2">
        <f>SUMIFS(TB!K:K,TB!$H:$H,'PL1'!$C21)</f>
        <v>17.178849999999997</v>
      </c>
      <c r="F21" s="2">
        <f>SUMIFS(TB!L:L,TB!$H:$H,'PL1'!$C21)</f>
        <v>3.8480600000000003</v>
      </c>
      <c r="G21" s="2">
        <f>SUMIFS(TB!M:M,TB!$H:$H,'PL1'!$C21)</f>
        <v>14.082360000000003</v>
      </c>
      <c r="H21" s="2">
        <f>SUMIFS(TB!N:N,TB!$H:$H,'PL1'!$C21)</f>
        <v>9.3941499999999998</v>
      </c>
      <c r="I21" s="2">
        <f>SUMIFS(TB!O:O,TB!$H:$H,'PL1'!$C21)</f>
        <v>8.2432800000000004</v>
      </c>
      <c r="J21" s="2">
        <f>SUMIFS(TB!P:P,TB!$H:$H,'PL1'!$C21)</f>
        <v>15.338909999999998</v>
      </c>
      <c r="K21" s="2">
        <f>SUMIFS(TB!Q:Q,TB!$H:$H,'PL1'!$C21)</f>
        <v>8.8147200000000012</v>
      </c>
      <c r="L21" s="2">
        <f>SUMIFS(TB!R:R,TB!$H:$H,'PL1'!$C21)</f>
        <v>4.3398599999999981</v>
      </c>
      <c r="M21" s="2">
        <f>SUMIFS(TB!S:S,TB!$H:$H,'PL1'!$C21)</f>
        <v>8.5679100000000048</v>
      </c>
      <c r="N21" s="2">
        <f>SUMIFS(TB!T:T,TB!$H:$H,'PL1'!$C21)</f>
        <v>6.5075599999999945</v>
      </c>
      <c r="O21" s="2">
        <f>SUMIFS(TB!U:U,TB!$H:$H,'PL1'!$C21)</f>
        <v>5.8444100000000043</v>
      </c>
      <c r="P21" s="2">
        <f>SUMIFS(TB!V:V,TB!$H:$H,'PL1'!$C21)</f>
        <v>11.801329999999997</v>
      </c>
      <c r="Q21" s="2">
        <f>SUMIFS(TB!W:W,TB!$H:$H,'PL1'!$C21)</f>
        <v>14.060119999999998</v>
      </c>
      <c r="R21" s="2">
        <f>SUMIFS(TB!X:X,TB!$H:$H,'PL1'!$C21)</f>
        <v>9.0672699999999988</v>
      </c>
      <c r="S21" s="2">
        <f>SUMIFS(TB!Y:Y,TB!$H:$H,'PL1'!$C21)</f>
        <v>7.7858900000000002</v>
      </c>
      <c r="T21" s="2">
        <f>SUMIFS(TB!Z:Z,TB!$H:$H,'PL1'!$C21)</f>
        <v>4.2955500000000004</v>
      </c>
      <c r="U21" s="2">
        <f>SUMIFS(TB!AA:AA,TB!$H:$H,'PL1'!$C21)</f>
        <v>8.93703</v>
      </c>
      <c r="V21" s="2">
        <f>SUMIFS(TB!AB:AB,TB!$H:$H,'PL1'!$C21)</f>
        <v>11.021109999999998</v>
      </c>
      <c r="W21" s="2">
        <f>SUMIFS(TB!AC:AC,TB!$H:$H,'PL1'!$C21)</f>
        <v>6.6969800000000017</v>
      </c>
      <c r="X21" s="2">
        <f>SUMIFS(TB!AD:AD,TB!$H:$H,'PL1'!$C21)</f>
        <v>4.2696299999999994</v>
      </c>
      <c r="Y21" s="2">
        <f>SUMIFS(TB!AE:AE,TB!$H:$H,'PL1'!$C21)</f>
        <v>9.7357000000000014</v>
      </c>
      <c r="Z21" s="2">
        <f>SUMIFS(TB!AF:AF,TB!$H:$H,'PL1'!$C21)</f>
        <v>7.3067799999999998</v>
      </c>
      <c r="AA21" s="2">
        <f>SUMIFS(TB!AG:AG,TB!$H:$H,'PL1'!$C21)</f>
        <v>8.4905899999999992</v>
      </c>
      <c r="AB21" s="2">
        <f>SUMIFS(TB!AH:AH,TB!$H:$H,'PL1'!$C21)</f>
        <v>11.915010000000001</v>
      </c>
      <c r="AC21" s="2">
        <f>SUMIFS(TB!AI:AI,TB!$H:$H,'PL1'!$C21)</f>
        <v>6.7009000000000007</v>
      </c>
      <c r="AD21" s="2">
        <f>SUMIFS(TB!AJ:AJ,TB!$H:$H,'PL1'!$C21)</f>
        <v>12.543049999999999</v>
      </c>
      <c r="AE21" s="2">
        <f>SUMIFS(TB!AK:AK,TB!$H:$H,'PL1'!$C21)</f>
        <v>8.959950000000001</v>
      </c>
      <c r="AF21" s="2">
        <f>SUMIFS(TB!AL:AL,TB!$H:$H,'PL1'!$C21)</f>
        <v>10.282899999999996</v>
      </c>
      <c r="AG21" s="2">
        <f>SUMIFS(TB!AM:AM,TB!$H:$H,'PL1'!$C21)</f>
        <v>9.9920500000000008</v>
      </c>
      <c r="AH21" s="2">
        <f>SUMIFS(TB!AN:AN,TB!$H:$H,'PL1'!$C21)</f>
        <v>10.187609999999999</v>
      </c>
      <c r="AI21" s="2">
        <f>SUMIFS(TB!AO:AO,TB!$H:$H,'PL1'!$C21)</f>
        <v>10.796149999999995</v>
      </c>
      <c r="AJ21" s="2"/>
      <c r="AK21" s="2">
        <f>SUM(E21:P21)</f>
        <v>113.9614</v>
      </c>
      <c r="AL21" s="2">
        <f>SUM(Q21:AB21)</f>
        <v>103.58166</v>
      </c>
      <c r="AM21" s="2">
        <f>SUM(X21:AI21)</f>
        <v>111.18032000000001</v>
      </c>
      <c r="AN21" s="2"/>
      <c r="AO21" s="5">
        <f>IFERROR(AK21/AK$10%,0)</f>
        <v>1.4901937667461669</v>
      </c>
      <c r="AP21" s="5">
        <f>IFERROR(AL21/AL$10%,0)</f>
        <v>1.5280345531963739</v>
      </c>
      <c r="AQ21" s="5">
        <f>IFERROR(AM21/AM$10%,0)</f>
        <v>1.5140140003486608</v>
      </c>
    </row>
    <row r="22" spans="3:43" ht="11.25" customHeight="1" x14ac:dyDescent="0.2">
      <c r="C22" s="17" t="s">
        <v>19</v>
      </c>
      <c r="D22" s="15"/>
      <c r="E22" s="14">
        <f>SUMIFS(TB!K:K,TB!$H:$H,'PL1'!$C22)</f>
        <v>1.7243999999999999</v>
      </c>
      <c r="F22" s="14">
        <f>SUMIFS(TB!L:L,TB!$H:$H,'PL1'!$C22)</f>
        <v>3.1080400000000004</v>
      </c>
      <c r="G22" s="14">
        <f>SUMIFS(TB!M:M,TB!$H:$H,'PL1'!$C22)</f>
        <v>4.4508700000000001</v>
      </c>
      <c r="H22" s="14">
        <f>SUMIFS(TB!N:N,TB!$H:$H,'PL1'!$C22)</f>
        <v>2.6212599999999995</v>
      </c>
      <c r="I22" s="14">
        <f>SUMIFS(TB!O:O,TB!$H:$H,'PL1'!$C22)</f>
        <v>2.0853800000000002</v>
      </c>
      <c r="J22" s="14">
        <f>SUMIFS(TB!P:P,TB!$H:$H,'PL1'!$C22)</f>
        <v>2.6648800000000001</v>
      </c>
      <c r="K22" s="14">
        <f>SUMIFS(TB!Q:Q,TB!$H:$H,'PL1'!$C22)</f>
        <v>0.81089000000000033</v>
      </c>
      <c r="L22" s="14">
        <f>SUMIFS(TB!R:R,TB!$H:$H,'PL1'!$C22)</f>
        <v>0.89428000000000019</v>
      </c>
      <c r="M22" s="14">
        <f>SUMIFS(TB!S:S,TB!$H:$H,'PL1'!$C22)</f>
        <v>0.16400000000000001</v>
      </c>
      <c r="N22" s="14">
        <f>SUMIFS(TB!T:T,TB!$H:$H,'PL1'!$C22)</f>
        <v>0.12366000000000008</v>
      </c>
      <c r="O22" s="14">
        <f>SUMIFS(TB!U:U,TB!$H:$H,'PL1'!$C22)</f>
        <v>0.56169999999999987</v>
      </c>
      <c r="P22" s="14">
        <f>SUMIFS(TB!V:V,TB!$H:$H,'PL1'!$C22)</f>
        <v>4.1585099999999988</v>
      </c>
      <c r="Q22" s="14">
        <f>SUMIFS(TB!W:W,TB!$H:$H,'PL1'!$C22)</f>
        <v>4.1870099999999999</v>
      </c>
      <c r="R22" s="14">
        <f>SUMIFS(TB!X:X,TB!$H:$H,'PL1'!$C22)</f>
        <v>3.82491</v>
      </c>
      <c r="S22" s="14">
        <f>SUMIFS(TB!Y:Y,TB!$H:$H,'PL1'!$C22)</f>
        <v>1.3913500000000003</v>
      </c>
      <c r="T22" s="14">
        <f>SUMIFS(TB!Z:Z,TB!$H:$H,'PL1'!$C22)</f>
        <v>0.9982099999999996</v>
      </c>
      <c r="U22" s="14">
        <f>SUMIFS(TB!AA:AA,TB!$H:$H,'PL1'!$C22)</f>
        <v>1.3451599999999999</v>
      </c>
      <c r="V22" s="14">
        <f>SUMIFS(TB!AB:AB,TB!$H:$H,'PL1'!$C22)</f>
        <v>1.8914000000000011</v>
      </c>
      <c r="W22" s="14">
        <f>SUMIFS(TB!AC:AC,TB!$H:$H,'PL1'!$C22)</f>
        <v>0.36011999999999944</v>
      </c>
      <c r="X22" s="14">
        <f>SUMIFS(TB!AD:AD,TB!$H:$H,'PL1'!$C22)</f>
        <v>0</v>
      </c>
      <c r="Y22" s="14">
        <f>SUMIFS(TB!AE:AE,TB!$H:$H,'PL1'!$C22)</f>
        <v>4.2730000000000476E-2</v>
      </c>
      <c r="Z22" s="14">
        <f>SUMIFS(TB!AF:AF,TB!$H:$H,'PL1'!$C22)</f>
        <v>1.0935899999999983</v>
      </c>
      <c r="AA22" s="14">
        <f>SUMIFS(TB!AG:AG,TB!$H:$H,'PL1'!$C22)</f>
        <v>4.1866800000000008</v>
      </c>
      <c r="AB22" s="14">
        <f>SUMIFS(TB!AH:AH,TB!$H:$H,'PL1'!$C22)</f>
        <v>1.1231699999999998</v>
      </c>
      <c r="AC22" s="14">
        <f>SUMIFS(TB!AI:AI,TB!$H:$H,'PL1'!$C22)</f>
        <v>4.8429699999999993</v>
      </c>
      <c r="AD22" s="14">
        <f>SUMIFS(TB!AJ:AJ,TB!$H:$H,'PL1'!$C22)</f>
        <v>2.3346100000000001</v>
      </c>
      <c r="AE22" s="14">
        <f>SUMIFS(TB!AK:AK,TB!$H:$H,'PL1'!$C22)</f>
        <v>4.28287</v>
      </c>
      <c r="AF22" s="14">
        <f>SUMIFS(TB!AL:AL,TB!$H:$H,'PL1'!$C22)</f>
        <v>3.1315200000000005</v>
      </c>
      <c r="AG22" s="14">
        <f>SUMIFS(TB!AM:AM,TB!$H:$H,'PL1'!$C22)</f>
        <v>8.8593800000000016</v>
      </c>
      <c r="AH22" s="14">
        <f>SUMIFS(TB!AN:AN,TB!$H:$H,'PL1'!$C22)</f>
        <v>0.91451999999999678</v>
      </c>
      <c r="AI22" s="14">
        <f>SUMIFS(TB!AO:AO,TB!$H:$H,'PL1'!$C22)</f>
        <v>0.25565000000000143</v>
      </c>
      <c r="AJ22" s="14"/>
      <c r="AK22" s="14">
        <f>SUM(E22:P22)</f>
        <v>23.36787</v>
      </c>
      <c r="AL22" s="14">
        <f>SUM(Q22:AB22)</f>
        <v>20.444330000000001</v>
      </c>
      <c r="AM22" s="14">
        <f>SUM(X22:AI22)</f>
        <v>31.067690000000002</v>
      </c>
      <c r="AN22" s="14"/>
      <c r="AO22" s="13">
        <f>IFERROR(AK22/AK$10%,0)</f>
        <v>0.30556534244169298</v>
      </c>
      <c r="AP22" s="13">
        <f>IFERROR(AL22/AL$10%,0)</f>
        <v>0.30159434263699991</v>
      </c>
      <c r="AQ22" s="13">
        <f>IFERROR(AM22/AM$10%,0)</f>
        <v>0.42306873751120777</v>
      </c>
    </row>
    <row r="23" spans="3:43" ht="11.25" customHeight="1" x14ac:dyDescent="0.2">
      <c r="C23" s="17" t="s">
        <v>18</v>
      </c>
      <c r="D23" s="15"/>
      <c r="E23" s="14">
        <f>SUM(E17:E22)</f>
        <v>501.62028000000009</v>
      </c>
      <c r="F23" s="14">
        <f>SUM(F17:F22)</f>
        <v>536.03161</v>
      </c>
      <c r="G23" s="14">
        <f>SUM(G17:G22)</f>
        <v>567.48325</v>
      </c>
      <c r="H23" s="14">
        <f>SUM(H17:H22)</f>
        <v>466.99545000000001</v>
      </c>
      <c r="I23" s="14">
        <f>SUM(I17:I22)</f>
        <v>514.5730299999999</v>
      </c>
      <c r="J23" s="14">
        <f>SUM(J17:J22)</f>
        <v>518.78140000000008</v>
      </c>
      <c r="K23" s="14">
        <f>SUM(K17:K22)</f>
        <v>580.92053999999996</v>
      </c>
      <c r="L23" s="14">
        <f>SUM(L17:L22)</f>
        <v>592.93060999999989</v>
      </c>
      <c r="M23" s="14">
        <f>SUM(M17:M22)</f>
        <v>460.04145000000005</v>
      </c>
      <c r="N23" s="14">
        <f>SUM(N17:N22)</f>
        <v>484.39767999999998</v>
      </c>
      <c r="O23" s="14">
        <f>SUM(O17:O22)</f>
        <v>659.81619000000012</v>
      </c>
      <c r="P23" s="14">
        <f>SUM(P17:P22)</f>
        <v>621.95644000000004</v>
      </c>
      <c r="Q23" s="14">
        <f>SUM(Q17:Q22)</f>
        <v>498.70060999999993</v>
      </c>
      <c r="R23" s="14">
        <f>SUM(R17:R22)</f>
        <v>441.31925000000001</v>
      </c>
      <c r="S23" s="14">
        <f>SUM(S17:S22)</f>
        <v>520.37555000000009</v>
      </c>
      <c r="T23" s="14">
        <f>SUM(T17:T22)</f>
        <v>495.55203</v>
      </c>
      <c r="U23" s="14">
        <f>SUM(U17:U22)</f>
        <v>522.09445999999991</v>
      </c>
      <c r="V23" s="14">
        <f>SUM(V17:V22)</f>
        <v>469.77301</v>
      </c>
      <c r="W23" s="14">
        <f>SUM(W17:W22)</f>
        <v>534.29615000000001</v>
      </c>
      <c r="X23" s="14">
        <f>SUM(X17:X22)</f>
        <v>525.67834000000005</v>
      </c>
      <c r="Y23" s="14">
        <f>SUM(Y17:Y22)</f>
        <v>517.73645999999997</v>
      </c>
      <c r="Z23" s="14">
        <f>SUM(Z17:Z22)</f>
        <v>87.993160000000259</v>
      </c>
      <c r="AA23" s="14">
        <f>SUM(AA17:AA22)</f>
        <v>406.25329999999985</v>
      </c>
      <c r="AB23" s="14">
        <f>SUM(AB17:AB22)</f>
        <v>526.93153000000075</v>
      </c>
      <c r="AC23" s="14">
        <f>SUM(AC17:AC22)</f>
        <v>456.45871999999991</v>
      </c>
      <c r="AD23" s="14">
        <f>SUM(AD17:AD22)</f>
        <v>539.78719000000001</v>
      </c>
      <c r="AE23" s="14">
        <f>SUM(AE17:AE22)</f>
        <v>570.38994000000002</v>
      </c>
      <c r="AF23" s="14">
        <f>SUM(AF17:AF22)</f>
        <v>448.12102999999991</v>
      </c>
      <c r="AG23" s="14">
        <f>SUM(AG17:AG22)</f>
        <v>516.98306000000002</v>
      </c>
      <c r="AH23" s="14">
        <f>SUM(AH17:AH22)</f>
        <v>525.17484999999999</v>
      </c>
      <c r="AI23" s="14">
        <f>SUM(AI17:AI22)</f>
        <v>525.3996199999998</v>
      </c>
      <c r="AJ23" s="14"/>
      <c r="AK23" s="14">
        <f>SUM(AK17:AK22)</f>
        <v>6505.5479299999997</v>
      </c>
      <c r="AL23" s="14">
        <f>SUM(AL17:AL22)</f>
        <v>5546.7038500000008</v>
      </c>
      <c r="AM23" s="14">
        <f>SUM(AM17:AM22)</f>
        <v>5646.9072000000006</v>
      </c>
      <c r="AN23" s="14"/>
      <c r="AO23" s="13">
        <f>IFERROR(AK23/AK$10%,0)</f>
        <v>85.068514203532317</v>
      </c>
      <c r="AP23" s="13">
        <f>IFERROR(AL23/AL$10%,0)</f>
        <v>81.824863003232025</v>
      </c>
      <c r="AQ23" s="13">
        <f>IFERROR(AM23/AM$10%,0)</f>
        <v>76.897571076154989</v>
      </c>
    </row>
    <row r="24" spans="3:43" ht="11.25" customHeight="1" x14ac:dyDescent="0.25">
      <c r="C24" s="21" t="s">
        <v>17</v>
      </c>
      <c r="D24" s="20"/>
      <c r="E24" s="19">
        <f>E15-E23</f>
        <v>-308.49328000000014</v>
      </c>
      <c r="F24" s="19">
        <f>F15-F23</f>
        <v>-106.58811000000003</v>
      </c>
      <c r="G24" s="19">
        <f>G15-G23</f>
        <v>164.33175000000006</v>
      </c>
      <c r="H24" s="19">
        <f>H15-H23</f>
        <v>-36.640449999999987</v>
      </c>
      <c r="I24" s="19">
        <f>I15-I23</f>
        <v>108.85597000000007</v>
      </c>
      <c r="J24" s="19">
        <f>J15-J23</f>
        <v>-37.950400000000059</v>
      </c>
      <c r="K24" s="19">
        <f>K15-K23</f>
        <v>107.54746</v>
      </c>
      <c r="L24" s="19">
        <f>L15-L23</f>
        <v>674.4688900000001</v>
      </c>
      <c r="M24" s="19">
        <f>M15-M23</f>
        <v>816.1345500000001</v>
      </c>
      <c r="N24" s="19">
        <f>N15-N23</f>
        <v>-245.69618</v>
      </c>
      <c r="O24" s="19">
        <f>O15-O23</f>
        <v>-108.92309000000012</v>
      </c>
      <c r="P24" s="19">
        <f>P15-P23</f>
        <v>114.82655999999974</v>
      </c>
      <c r="Q24" s="19">
        <f>Q15-Q23</f>
        <v>-76.656609999999944</v>
      </c>
      <c r="R24" s="19">
        <f>R15-R23</f>
        <v>84.330749999999966</v>
      </c>
      <c r="S24" s="19">
        <f>S15-S23</f>
        <v>-149.02755000000013</v>
      </c>
      <c r="T24" s="19">
        <f>T15-T23</f>
        <v>-113.91802999999999</v>
      </c>
      <c r="U24" s="19">
        <f>U15-U23</f>
        <v>15.084540000000061</v>
      </c>
      <c r="V24" s="19">
        <f>V15-V23</f>
        <v>-112.86901</v>
      </c>
      <c r="W24" s="19">
        <f>W15-W23</f>
        <v>-168.68214999999998</v>
      </c>
      <c r="X24" s="19">
        <f>X15-X23</f>
        <v>606.72365999999977</v>
      </c>
      <c r="Y24" s="19">
        <f>Y15-Y23</f>
        <v>617.43368000000021</v>
      </c>
      <c r="Z24" s="19">
        <f>Z15-Z23</f>
        <v>241.65784999999971</v>
      </c>
      <c r="AA24" s="19">
        <f>AA15-AA23</f>
        <v>401.67570000000012</v>
      </c>
      <c r="AB24" s="19">
        <f>AB15-AB23</f>
        <v>-113.70552000000094</v>
      </c>
      <c r="AC24" s="19">
        <f>AC15-AC23</f>
        <v>-104.9857199999999</v>
      </c>
      <c r="AD24" s="19">
        <f>AD15-AD23</f>
        <v>3.8198099999999613</v>
      </c>
      <c r="AE24" s="19">
        <f>AE15-AE23</f>
        <v>166.17516000000012</v>
      </c>
      <c r="AF24" s="19">
        <f>AF15-AF23</f>
        <v>-22.474029999999914</v>
      </c>
      <c r="AG24" s="19">
        <f>AG15-AG23</f>
        <v>-232.79306000000003</v>
      </c>
      <c r="AH24" s="19">
        <f>AH15-AH23</f>
        <v>235.19114999999999</v>
      </c>
      <c r="AI24" s="19">
        <f>AI15-AI23</f>
        <v>-102.21161999999981</v>
      </c>
      <c r="AJ24" s="19"/>
      <c r="AK24" s="19">
        <f>AK15-AK23</f>
        <v>1141.8736700000009</v>
      </c>
      <c r="AL24" s="19">
        <f>AL15-AL23</f>
        <v>1232.0473099999981</v>
      </c>
      <c r="AM24" s="19">
        <f>AM15-AM23</f>
        <v>1696.507059999999</v>
      </c>
      <c r="AN24" s="19"/>
      <c r="AO24" s="18">
        <f>IFERROR(AK24/AK$10%,0)</f>
        <v>14.931485796467671</v>
      </c>
      <c r="AP24" s="18">
        <f>IFERROR(AL24/AL$10%,0)</f>
        <v>18.175136996767975</v>
      </c>
      <c r="AQ24" s="18">
        <f>IFERROR(AM24/AM$10%,0)</f>
        <v>23.102428923845011</v>
      </c>
    </row>
    <row r="25" spans="3:43" ht="6" customHeight="1" x14ac:dyDescent="0.2">
      <c r="C25" s="7"/>
      <c r="D25" s="4"/>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2"/>
      <c r="AK25" s="5"/>
      <c r="AL25" s="5"/>
      <c r="AM25" s="5"/>
      <c r="AN25" s="2"/>
      <c r="AO25" s="5"/>
      <c r="AP25" s="5"/>
      <c r="AQ25" s="5"/>
    </row>
    <row r="26" spans="3:43" ht="11.25" customHeight="1" x14ac:dyDescent="0.2">
      <c r="C26" t="s">
        <v>16</v>
      </c>
      <c r="D26" s="4"/>
      <c r="E26" s="2">
        <f>SUMIFS(TB!K:K,TB!$H:$H,'PL1'!$C26)</f>
        <v>0</v>
      </c>
      <c r="F26" s="2">
        <f>SUMIFS(TB!L:L,TB!$H:$H,'PL1'!$C26)</f>
        <v>0</v>
      </c>
      <c r="G26" s="2">
        <f>SUMIFS(TB!M:M,TB!$H:$H,'PL1'!$C26)</f>
        <v>0.375</v>
      </c>
      <c r="H26" s="2">
        <f>SUMIFS(TB!N:N,TB!$H:$H,'PL1'!$C26)</f>
        <v>0</v>
      </c>
      <c r="I26" s="2">
        <f>SUMIFS(TB!O:O,TB!$H:$H,'PL1'!$C26)</f>
        <v>0</v>
      </c>
      <c r="J26" s="2">
        <f>SUMIFS(TB!P:P,TB!$H:$H,'PL1'!$C26)</f>
        <v>0.375</v>
      </c>
      <c r="K26" s="2">
        <f>SUMIFS(TB!Q:Q,TB!$H:$H,'PL1'!$C26)</f>
        <v>0</v>
      </c>
      <c r="L26" s="2">
        <f>SUMIFS(TB!R:R,TB!$H:$H,'PL1'!$C26)</f>
        <v>0</v>
      </c>
      <c r="M26" s="2">
        <f>SUMIFS(TB!S:S,TB!$H:$H,'PL1'!$C26)</f>
        <v>0.375</v>
      </c>
      <c r="N26" s="2">
        <f>SUMIFS(TB!T:T,TB!$H:$H,'PL1'!$C26)</f>
        <v>0</v>
      </c>
      <c r="O26" s="2">
        <f>SUMIFS(TB!U:U,TB!$H:$H,'PL1'!$C26)</f>
        <v>0</v>
      </c>
      <c r="P26" s="2">
        <f>SUMIFS(TB!V:V,TB!$H:$H,'PL1'!$C26)</f>
        <v>0.375</v>
      </c>
      <c r="Q26" s="2">
        <f>SUMIFS(TB!W:W,TB!$H:$H,'PL1'!$C26)</f>
        <v>0</v>
      </c>
      <c r="R26" s="2">
        <f>SUMIFS(TB!X:X,TB!$H:$H,'PL1'!$C26)</f>
        <v>0</v>
      </c>
      <c r="S26" s="2">
        <f>SUMIFS(TB!Y:Y,TB!$H:$H,'PL1'!$C26)</f>
        <v>0</v>
      </c>
      <c r="T26" s="2">
        <f>SUMIFS(TB!Z:Z,TB!$H:$H,'PL1'!$C26)</f>
        <v>0</v>
      </c>
      <c r="U26" s="2">
        <f>SUMIFS(TB!AA:AA,TB!$H:$H,'PL1'!$C26)</f>
        <v>0</v>
      </c>
      <c r="V26" s="2">
        <f>SUMIFS(TB!AB:AB,TB!$H:$H,'PL1'!$C26)</f>
        <v>59.13</v>
      </c>
      <c r="W26" s="2">
        <f>SUMIFS(TB!AC:AC,TB!$H:$H,'PL1'!$C26)</f>
        <v>0</v>
      </c>
      <c r="X26" s="2">
        <f>SUMIFS(TB!AD:AD,TB!$H:$H,'PL1'!$C26)</f>
        <v>0</v>
      </c>
      <c r="Y26" s="2">
        <f>SUMIFS(TB!AE:AE,TB!$H:$H,'PL1'!$C26)</f>
        <v>122.369</v>
      </c>
      <c r="Z26" s="2">
        <f>SUMIFS(TB!AF:AF,TB!$H:$H,'PL1'!$C26)</f>
        <v>0</v>
      </c>
      <c r="AA26" s="2">
        <f>SUMIFS(TB!AG:AG,TB!$H:$H,'PL1'!$C26)</f>
        <v>0</v>
      </c>
      <c r="AB26" s="2">
        <f>SUMIFS(TB!AH:AH,TB!$H:$H,'PL1'!$C26)</f>
        <v>0.56499999999999995</v>
      </c>
      <c r="AC26" s="2">
        <f>SUMIFS(TB!AI:AI,TB!$H:$H,'PL1'!$C26)</f>
        <v>29</v>
      </c>
      <c r="AD26" s="2">
        <f>SUMIFS(TB!AJ:AJ,TB!$H:$H,'PL1'!$C26)</f>
        <v>0</v>
      </c>
      <c r="AE26" s="2">
        <f>SUMIFS(TB!AK:AK,TB!$H:$H,'PL1'!$C26)</f>
        <v>0</v>
      </c>
      <c r="AF26" s="2">
        <f>SUMIFS(TB!AL:AL,TB!$H:$H,'PL1'!$C26)</f>
        <v>0</v>
      </c>
      <c r="AG26" s="2">
        <f>SUMIFS(TB!AM:AM,TB!$H:$H,'PL1'!$C26)</f>
        <v>0</v>
      </c>
      <c r="AH26" s="2">
        <f>SUMIFS(TB!AN:AN,TB!$H:$H,'PL1'!$C26)</f>
        <v>15.176</v>
      </c>
      <c r="AI26" s="2">
        <f>SUMIFS(TB!AO:AO,TB!$H:$H,'PL1'!$C26)</f>
        <v>0</v>
      </c>
      <c r="AJ26" s="2"/>
      <c r="AK26" s="2">
        <f>SUM(E26:P26)</f>
        <v>1.5</v>
      </c>
      <c r="AL26" s="2">
        <f>SUM(Q26:AB26)</f>
        <v>182.06399999999999</v>
      </c>
      <c r="AM26" s="2">
        <f>SUM(X26:AI26)</f>
        <v>167.10999999999999</v>
      </c>
      <c r="AN26" s="2"/>
      <c r="AO26" s="5">
        <f>IFERROR(AK26/AK$10%,0)</f>
        <v>1.9614454105681838E-2</v>
      </c>
      <c r="AP26" s="5">
        <f>IFERROR(AL26/AL$10%,0)</f>
        <v>2.6858044454312147</v>
      </c>
      <c r="AQ26" s="5">
        <f>IFERROR(AM26/AM$10%,0)</f>
        <v>2.2756444629612926</v>
      </c>
    </row>
    <row r="27" spans="3:43" ht="11.25" customHeight="1" x14ac:dyDescent="0.2">
      <c r="C27" t="s">
        <v>15</v>
      </c>
      <c r="D27" s="4"/>
      <c r="E27" s="2">
        <f>SUMIFS(TB!K:K,TB!$H:$H,'PL1'!$C27)</f>
        <v>0</v>
      </c>
      <c r="F27" s="2">
        <f>SUMIFS(TB!L:L,TB!$H:$H,'PL1'!$C27)</f>
        <v>0</v>
      </c>
      <c r="G27" s="2">
        <f>SUMIFS(TB!M:M,TB!$H:$H,'PL1'!$C27)</f>
        <v>0</v>
      </c>
      <c r="H27" s="2">
        <f>SUMIFS(TB!N:N,TB!$H:$H,'PL1'!$C27)</f>
        <v>0</v>
      </c>
      <c r="I27" s="2">
        <f>SUMIFS(TB!O:O,TB!$H:$H,'PL1'!$C27)</f>
        <v>0</v>
      </c>
      <c r="J27" s="2">
        <f>SUMIFS(TB!P:P,TB!$H:$H,'PL1'!$C27)</f>
        <v>0</v>
      </c>
      <c r="K27" s="2">
        <f>SUMIFS(TB!Q:Q,TB!$H:$H,'PL1'!$C27)</f>
        <v>0</v>
      </c>
      <c r="L27" s="2">
        <f>SUMIFS(TB!R:R,TB!$H:$H,'PL1'!$C27)</f>
        <v>0</v>
      </c>
      <c r="M27" s="2">
        <f>SUMIFS(TB!S:S,TB!$H:$H,'PL1'!$C27)</f>
        <v>0</v>
      </c>
      <c r="N27" s="2">
        <f>SUMIFS(TB!T:T,TB!$H:$H,'PL1'!$C27)</f>
        <v>0</v>
      </c>
      <c r="O27" s="2">
        <f>SUMIFS(TB!U:U,TB!$H:$H,'PL1'!$C27)</f>
        <v>0</v>
      </c>
      <c r="P27" s="2">
        <f>SUMIFS(TB!V:V,TB!$H:$H,'PL1'!$C27)</f>
        <v>4.4480000000000004</v>
      </c>
      <c r="Q27" s="2">
        <f>SUMIFS(TB!W:W,TB!$H:$H,'PL1'!$C27)</f>
        <v>0</v>
      </c>
      <c r="R27" s="2">
        <f>SUMIFS(TB!X:X,TB!$H:$H,'PL1'!$C27)</f>
        <v>0</v>
      </c>
      <c r="S27" s="2">
        <f>SUMIFS(TB!Y:Y,TB!$H:$H,'PL1'!$C27)</f>
        <v>0</v>
      </c>
      <c r="T27" s="2">
        <f>SUMIFS(TB!Z:Z,TB!$H:$H,'PL1'!$C27)</f>
        <v>0</v>
      </c>
      <c r="U27" s="2">
        <f>SUMIFS(TB!AA:AA,TB!$H:$H,'PL1'!$C27)</f>
        <v>0</v>
      </c>
      <c r="V27" s="2">
        <f>SUMIFS(TB!AB:AB,TB!$H:$H,'PL1'!$C27)</f>
        <v>0</v>
      </c>
      <c r="W27" s="2">
        <f>SUMIFS(TB!AC:AC,TB!$H:$H,'PL1'!$C27)</f>
        <v>0</v>
      </c>
      <c r="X27" s="2">
        <f>SUMIFS(TB!AD:AD,TB!$H:$H,'PL1'!$C27)</f>
        <v>0</v>
      </c>
      <c r="Y27" s="2">
        <f>SUMIFS(TB!AE:AE,TB!$H:$H,'PL1'!$C27)</f>
        <v>0</v>
      </c>
      <c r="Z27" s="2">
        <f>SUMIFS(TB!AF:AF,TB!$H:$H,'PL1'!$C27)</f>
        <v>0</v>
      </c>
      <c r="AA27" s="2">
        <f>SUMIFS(TB!AG:AG,TB!$H:$H,'PL1'!$C27)</f>
        <v>0</v>
      </c>
      <c r="AB27" s="2">
        <f>SUMIFS(TB!AH:AH,TB!$H:$H,'PL1'!$C27)</f>
        <v>3.516</v>
      </c>
      <c r="AC27" s="2">
        <f>SUMIFS(TB!AI:AI,TB!$H:$H,'PL1'!$C27)</f>
        <v>0</v>
      </c>
      <c r="AD27" s="2">
        <f>SUMIFS(TB!AJ:AJ,TB!$H:$H,'PL1'!$C27)</f>
        <v>0</v>
      </c>
      <c r="AE27" s="2">
        <f>SUMIFS(TB!AK:AK,TB!$H:$H,'PL1'!$C27)</f>
        <v>0</v>
      </c>
      <c r="AF27" s="2">
        <f>SUMIFS(TB!AL:AL,TB!$H:$H,'PL1'!$C27)</f>
        <v>0</v>
      </c>
      <c r="AG27" s="2">
        <f>SUMIFS(TB!AM:AM,TB!$H:$H,'PL1'!$C27)</f>
        <v>0</v>
      </c>
      <c r="AH27" s="2">
        <f>SUMIFS(TB!AN:AN,TB!$H:$H,'PL1'!$C27)</f>
        <v>0</v>
      </c>
      <c r="AI27" s="2">
        <f>SUMIFS(TB!AO:AO,TB!$H:$H,'PL1'!$C27)</f>
        <v>0</v>
      </c>
      <c r="AJ27" s="2"/>
      <c r="AK27" s="2">
        <f>SUM(E27:P27)</f>
        <v>4.4480000000000004</v>
      </c>
      <c r="AL27" s="2">
        <f>SUM(Q27:AB27)</f>
        <v>3.516</v>
      </c>
      <c r="AM27" s="2">
        <f>SUM(X27:AI27)</f>
        <v>3.516</v>
      </c>
      <c r="AN27" s="2"/>
      <c r="AO27" s="5">
        <f>IFERROR(AK27/AK$10%,0)</f>
        <v>5.816339457471522E-2</v>
      </c>
      <c r="AP27" s="5">
        <f>IFERROR(AL27/AL$10%,0)</f>
        <v>5.1867960882635504E-2</v>
      </c>
      <c r="AQ27" s="5">
        <f>IFERROR(AM27/AM$10%,0)</f>
        <v>4.7879635759511131E-2</v>
      </c>
    </row>
    <row r="28" spans="3:43" ht="11.25" customHeight="1" x14ac:dyDescent="0.2">
      <c r="C28" s="17" t="s">
        <v>14</v>
      </c>
      <c r="D28" s="15"/>
      <c r="E28" s="14">
        <f>SUMIFS(TB!K:K,TB!$H:$H,'PL1'!$C28)</f>
        <v>0.4</v>
      </c>
      <c r="F28" s="14">
        <f>SUMIFS(TB!L:L,TB!$H:$H,'PL1'!$C28)</f>
        <v>0.4</v>
      </c>
      <c r="G28" s="14">
        <f>SUMIFS(TB!M:M,TB!$H:$H,'PL1'!$C28)</f>
        <v>0.4</v>
      </c>
      <c r="H28" s="14">
        <f>SUMIFS(TB!N:N,TB!$H:$H,'PL1'!$C28)</f>
        <v>-355.14434999999997</v>
      </c>
      <c r="I28" s="14">
        <f>SUMIFS(TB!O:O,TB!$H:$H,'PL1'!$C28)</f>
        <v>0.4</v>
      </c>
      <c r="J28" s="14">
        <f>SUMIFS(TB!P:P,TB!$H:$H,'PL1'!$C28)</f>
        <v>-2</v>
      </c>
      <c r="K28" s="14">
        <f>SUMIFS(TB!Q:Q,TB!$H:$H,'PL1'!$C28)</f>
        <v>0</v>
      </c>
      <c r="L28" s="14">
        <f>SUMIFS(TB!R:R,TB!$H:$H,'PL1'!$C28)</f>
        <v>0.1</v>
      </c>
      <c r="M28" s="14">
        <f>SUMIFS(TB!S:S,TB!$H:$H,'PL1'!$C28)</f>
        <v>0</v>
      </c>
      <c r="N28" s="14">
        <f>SUMIFS(TB!T:T,TB!$H:$H,'PL1'!$C28)</f>
        <v>0</v>
      </c>
      <c r="O28" s="14">
        <f>SUMIFS(TB!U:U,TB!$H:$H,'PL1'!$C28)</f>
        <v>0</v>
      </c>
      <c r="P28" s="14">
        <f>SUMIFS(TB!V:V,TB!$H:$H,'PL1'!$C28)</f>
        <v>-76.400000000000006</v>
      </c>
      <c r="Q28" s="14">
        <f>SUMIFS(TB!W:W,TB!$H:$H,'PL1'!$C28)</f>
        <v>0</v>
      </c>
      <c r="R28" s="14">
        <f>SUMIFS(TB!X:X,TB!$H:$H,'PL1'!$C28)</f>
        <v>0</v>
      </c>
      <c r="S28" s="14">
        <f>SUMIFS(TB!Y:Y,TB!$H:$H,'PL1'!$C28)</f>
        <v>0</v>
      </c>
      <c r="T28" s="14">
        <f>SUMIFS(TB!Z:Z,TB!$H:$H,'PL1'!$C28)</f>
        <v>0</v>
      </c>
      <c r="U28" s="14">
        <f>SUMIFS(TB!AA:AA,TB!$H:$H,'PL1'!$C28)</f>
        <v>0</v>
      </c>
      <c r="V28" s="14">
        <f>SUMIFS(TB!AB:AB,TB!$H:$H,'PL1'!$C28)</f>
        <v>0</v>
      </c>
      <c r="W28" s="14">
        <f>SUMIFS(TB!AC:AC,TB!$H:$H,'PL1'!$C28)</f>
        <v>0</v>
      </c>
      <c r="X28" s="14">
        <f>SUMIFS(TB!AD:AD,TB!$H:$H,'PL1'!$C28)</f>
        <v>-50</v>
      </c>
      <c r="Y28" s="14">
        <f>SUMIFS(TB!AE:AE,TB!$H:$H,'PL1'!$C28)</f>
        <v>-2.2640199999999999</v>
      </c>
      <c r="Z28" s="14">
        <f>SUMIFS(TB!AF:AF,TB!$H:$H,'PL1'!$C28)</f>
        <v>0</v>
      </c>
      <c r="AA28" s="14">
        <f>SUMIFS(TB!AG:AG,TB!$H:$H,'PL1'!$C28)</f>
        <v>0</v>
      </c>
      <c r="AB28" s="14">
        <f>SUMIFS(TB!AH:AH,TB!$H:$H,'PL1'!$C28)</f>
        <v>0</v>
      </c>
      <c r="AC28" s="14">
        <f>SUMIFS(TB!AI:AI,TB!$H:$H,'PL1'!$C28)</f>
        <v>0</v>
      </c>
      <c r="AD28" s="14">
        <f>SUMIFS(TB!AJ:AJ,TB!$H:$H,'PL1'!$C28)</f>
        <v>0</v>
      </c>
      <c r="AE28" s="14">
        <f>SUMIFS(TB!AK:AK,TB!$H:$H,'PL1'!$C28)</f>
        <v>0</v>
      </c>
      <c r="AF28" s="14">
        <f>SUMIFS(TB!AL:AL,TB!$H:$H,'PL1'!$C28)</f>
        <v>0</v>
      </c>
      <c r="AG28" s="14">
        <f>SUMIFS(TB!AM:AM,TB!$H:$H,'PL1'!$C28)</f>
        <v>0</v>
      </c>
      <c r="AH28" s="14">
        <f>SUMIFS(TB!AN:AN,TB!$H:$H,'PL1'!$C28)</f>
        <v>0</v>
      </c>
      <c r="AI28" s="14">
        <f>SUMIFS(TB!AO:AO,TB!$H:$H,'PL1'!$C28)</f>
        <v>0.10556</v>
      </c>
      <c r="AJ28" s="14"/>
      <c r="AK28" s="14">
        <f>SUM(E28:P28)</f>
        <v>-431.84434999999996</v>
      </c>
      <c r="AL28" s="14">
        <f>SUM(Q28:AB28)</f>
        <v>-52.264020000000002</v>
      </c>
      <c r="AM28" s="14">
        <f>SUM(X28:AI28)</f>
        <v>-52.158460000000005</v>
      </c>
      <c r="AN28" s="14"/>
      <c r="AO28" s="13">
        <f>IFERROR(AK28/AK$10%,0)</f>
        <v>-5.6469274559153364</v>
      </c>
      <c r="AP28" s="13">
        <f>IFERROR(AL28/AL$10%,0)</f>
        <v>-0.77099776590707614</v>
      </c>
      <c r="AQ28" s="13">
        <f>IFERROR(AM28/AM$10%,0)</f>
        <v>-0.71027533179096458</v>
      </c>
    </row>
    <row r="29" spans="3:43" ht="11.25" customHeight="1" x14ac:dyDescent="0.2">
      <c r="C29" s="16" t="s">
        <v>13</v>
      </c>
      <c r="D29" s="15"/>
      <c r="E29" s="14">
        <f>SUM(E26:E28)</f>
        <v>0.4</v>
      </c>
      <c r="F29" s="14">
        <f>SUM(F26:F28)</f>
        <v>0.4</v>
      </c>
      <c r="G29" s="14">
        <f>SUM(G26:G28)</f>
        <v>0.77500000000000002</v>
      </c>
      <c r="H29" s="14">
        <f>SUM(H26:H28)</f>
        <v>-355.14434999999997</v>
      </c>
      <c r="I29" s="14">
        <f>SUM(I26:I28)</f>
        <v>0.4</v>
      </c>
      <c r="J29" s="14">
        <f>SUM(J26:J28)</f>
        <v>-1.625</v>
      </c>
      <c r="K29" s="14">
        <f>SUM(K26:K28)</f>
        <v>0</v>
      </c>
      <c r="L29" s="14">
        <f>SUM(L26:L28)</f>
        <v>0.1</v>
      </c>
      <c r="M29" s="14">
        <f>SUM(M26:M28)</f>
        <v>0.375</v>
      </c>
      <c r="N29" s="14">
        <f>SUM(N26:N28)</f>
        <v>0</v>
      </c>
      <c r="O29" s="14">
        <f>SUM(O26:O28)</f>
        <v>0</v>
      </c>
      <c r="P29" s="14">
        <f>SUM(P26:P28)</f>
        <v>-71.576999999999998</v>
      </c>
      <c r="Q29" s="14">
        <f>SUM(Q26:Q28)</f>
        <v>0</v>
      </c>
      <c r="R29" s="14">
        <f>SUM(R26:R28)</f>
        <v>0</v>
      </c>
      <c r="S29" s="14">
        <f>SUM(S26:S28)</f>
        <v>0</v>
      </c>
      <c r="T29" s="14">
        <f>SUM(T26:T28)</f>
        <v>0</v>
      </c>
      <c r="U29" s="14">
        <f>SUM(U26:U28)</f>
        <v>0</v>
      </c>
      <c r="V29" s="14">
        <f>SUM(V26:V28)</f>
        <v>59.13</v>
      </c>
      <c r="W29" s="14">
        <f>SUM(W26:W28)</f>
        <v>0</v>
      </c>
      <c r="X29" s="14">
        <f>SUM(X26:X28)</f>
        <v>-50</v>
      </c>
      <c r="Y29" s="14">
        <f>SUM(Y26:Y28)</f>
        <v>120.10498</v>
      </c>
      <c r="Z29" s="14">
        <f>SUM(Z26:Z28)</f>
        <v>0</v>
      </c>
      <c r="AA29" s="14">
        <f>SUM(AA26:AA28)</f>
        <v>0</v>
      </c>
      <c r="AB29" s="14">
        <f>SUM(AB26:AB28)</f>
        <v>4.0809999999999995</v>
      </c>
      <c r="AC29" s="14">
        <f>SUM(AC26:AC28)</f>
        <v>29</v>
      </c>
      <c r="AD29" s="14">
        <f>SUM(AD26:AD28)</f>
        <v>0</v>
      </c>
      <c r="AE29" s="14">
        <f>SUM(AE26:AE28)</f>
        <v>0</v>
      </c>
      <c r="AF29" s="14">
        <f>SUM(AF26:AF28)</f>
        <v>0</v>
      </c>
      <c r="AG29" s="14">
        <f>SUM(AG26:AG28)</f>
        <v>0</v>
      </c>
      <c r="AH29" s="14">
        <f>SUM(AH26:AH28)</f>
        <v>15.176</v>
      </c>
      <c r="AI29" s="14">
        <f>SUM(AI26:AI28)</f>
        <v>0.10556</v>
      </c>
      <c r="AJ29" s="14"/>
      <c r="AK29" s="14">
        <f>SUM(AK26:AK28)</f>
        <v>-425.89634999999998</v>
      </c>
      <c r="AL29" s="14">
        <f>SUM(AL26:AL28)</f>
        <v>133.31597999999997</v>
      </c>
      <c r="AM29" s="14">
        <f>SUM(AM26:AM28)</f>
        <v>118.46753999999997</v>
      </c>
      <c r="AN29" s="14"/>
      <c r="AO29" s="13">
        <f>IFERROR(AK29/AK$10%,0)</f>
        <v>-5.5691496072349391</v>
      </c>
      <c r="AP29" s="13">
        <f>IFERROR(AL29/AL$10%,0)</f>
        <v>1.9666746404067736</v>
      </c>
      <c r="AQ29" s="13">
        <f>IFERROR(AM29/AM$10%,0)</f>
        <v>1.6132487669298392</v>
      </c>
    </row>
    <row r="30" spans="3:43" ht="12" customHeight="1" thickBot="1" x14ac:dyDescent="0.3">
      <c r="C30" s="12" t="s">
        <v>119</v>
      </c>
      <c r="D30" s="11"/>
      <c r="E30" s="9">
        <f>E24-E29</f>
        <v>-308.89328000000012</v>
      </c>
      <c r="F30" s="9">
        <f>F24-F29</f>
        <v>-106.98811000000003</v>
      </c>
      <c r="G30" s="9">
        <f>G24-G29</f>
        <v>163.55675000000005</v>
      </c>
      <c r="H30" s="9">
        <f>H24-H29</f>
        <v>318.50389999999999</v>
      </c>
      <c r="I30" s="9">
        <f>I24-I29</f>
        <v>108.45597000000006</v>
      </c>
      <c r="J30" s="9">
        <f>J24-J29</f>
        <v>-36.325400000000059</v>
      </c>
      <c r="K30" s="9">
        <f>K24-K29</f>
        <v>107.54746</v>
      </c>
      <c r="L30" s="9">
        <f>L24-L29</f>
        <v>674.36889000000008</v>
      </c>
      <c r="M30" s="9">
        <f>M24-M29</f>
        <v>815.7595500000001</v>
      </c>
      <c r="N30" s="9">
        <f>N24-N29</f>
        <v>-245.69618</v>
      </c>
      <c r="O30" s="9">
        <f>O24-O29</f>
        <v>-108.92309000000012</v>
      </c>
      <c r="P30" s="9">
        <f>P24-P29</f>
        <v>186.40355999999974</v>
      </c>
      <c r="Q30" s="9">
        <f>Q24-Q29</f>
        <v>-76.656609999999944</v>
      </c>
      <c r="R30" s="9">
        <f>R24-R29</f>
        <v>84.330749999999966</v>
      </c>
      <c r="S30" s="9">
        <f>S24-S29</f>
        <v>-149.02755000000013</v>
      </c>
      <c r="T30" s="9">
        <f>T24-T29</f>
        <v>-113.91802999999999</v>
      </c>
      <c r="U30" s="9">
        <f>U24-U29</f>
        <v>15.084540000000061</v>
      </c>
      <c r="V30" s="9">
        <f>V24-V29</f>
        <v>-171.99901</v>
      </c>
      <c r="W30" s="9">
        <f>W24-W29</f>
        <v>-168.68214999999998</v>
      </c>
      <c r="X30" s="9">
        <f>X24-X29</f>
        <v>656.72365999999977</v>
      </c>
      <c r="Y30" s="9">
        <f>Y24-Y29</f>
        <v>497.3287000000002</v>
      </c>
      <c r="Z30" s="9">
        <f>Z24-Z29</f>
        <v>241.65784999999971</v>
      </c>
      <c r="AA30" s="9">
        <f>AA24-AA29</f>
        <v>401.67570000000012</v>
      </c>
      <c r="AB30" s="9">
        <f>AB24-AB29</f>
        <v>-117.78652000000095</v>
      </c>
      <c r="AC30" s="9">
        <f>AC24-AC29</f>
        <v>-133.9857199999999</v>
      </c>
      <c r="AD30" s="9">
        <f>AD24-AD29</f>
        <v>3.8198099999999613</v>
      </c>
      <c r="AE30" s="9">
        <f>AE24-AE29</f>
        <v>166.17516000000012</v>
      </c>
      <c r="AF30" s="9">
        <f>AF24-AF29</f>
        <v>-22.474029999999914</v>
      </c>
      <c r="AG30" s="9">
        <f>AG24-AG29</f>
        <v>-232.79306000000003</v>
      </c>
      <c r="AH30" s="9">
        <f>AH24-AH29</f>
        <v>220.01515000000001</v>
      </c>
      <c r="AI30" s="9">
        <f>AI24-AI29</f>
        <v>-102.31717999999981</v>
      </c>
      <c r="AJ30" s="9"/>
      <c r="AK30" s="9">
        <f>AK24-AK29</f>
        <v>1567.7700200000008</v>
      </c>
      <c r="AL30" s="9">
        <f>AL24-AL29</f>
        <v>1098.7313299999983</v>
      </c>
      <c r="AM30" s="9">
        <f>AM24-AM29</f>
        <v>1578.0395199999991</v>
      </c>
      <c r="AN30" s="9"/>
      <c r="AO30" s="8">
        <f>IFERROR(AK30/AK$10%,0)</f>
        <v>20.50063540370261</v>
      </c>
      <c r="AP30" s="8">
        <f>IFERROR(AL30/AL$10%,0)</f>
        <v>16.208462356361203</v>
      </c>
      <c r="AQ30" s="8">
        <f>IFERROR(AM30/AM$10%,0)</f>
        <v>21.489180156915172</v>
      </c>
    </row>
    <row r="31" spans="3:43" ht="6" customHeight="1" x14ac:dyDescent="0.2">
      <c r="D31" s="4"/>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5"/>
      <c r="AP31" s="5"/>
      <c r="AQ31" s="5"/>
    </row>
    <row r="32" spans="3:43" ht="11.25" customHeight="1" x14ac:dyDescent="0.2">
      <c r="C32" s="7" t="s">
        <v>234</v>
      </c>
      <c r="D32" s="4"/>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5"/>
      <c r="AP32" s="5"/>
      <c r="AQ32" s="5"/>
    </row>
    <row r="33" spans="3:43" ht="11.25" customHeight="1" x14ac:dyDescent="0.2">
      <c r="C33" t="s">
        <v>118</v>
      </c>
      <c r="D33" s="4"/>
      <c r="E33" s="2">
        <v>0</v>
      </c>
      <c r="F33" s="2">
        <v>0</v>
      </c>
      <c r="G33" s="2">
        <v>0</v>
      </c>
      <c r="H33" s="2">
        <v>0</v>
      </c>
      <c r="I33" s="2">
        <v>0</v>
      </c>
      <c r="J33" s="2">
        <v>0</v>
      </c>
      <c r="K33" s="2">
        <v>0</v>
      </c>
      <c r="L33" s="2">
        <v>0</v>
      </c>
      <c r="M33" s="2">
        <v>0</v>
      </c>
      <c r="N33" s="2">
        <v>0</v>
      </c>
      <c r="O33" s="2">
        <v>0</v>
      </c>
      <c r="P33" s="2">
        <v>0</v>
      </c>
      <c r="Q33" s="2">
        <v>0</v>
      </c>
      <c r="R33" s="2">
        <v>0</v>
      </c>
      <c r="S33" s="2">
        <v>0</v>
      </c>
      <c r="T33" s="2">
        <v>0</v>
      </c>
      <c r="U33" s="2">
        <v>0</v>
      </c>
      <c r="V33" s="2">
        <v>0</v>
      </c>
      <c r="W33" s="2">
        <v>0</v>
      </c>
      <c r="X33" s="2">
        <v>0</v>
      </c>
      <c r="Y33" s="2">
        <v>0</v>
      </c>
      <c r="Z33" s="2">
        <v>0</v>
      </c>
      <c r="AA33" s="2">
        <v>0</v>
      </c>
      <c r="AB33" s="2">
        <v>0</v>
      </c>
      <c r="AC33" s="2">
        <v>0</v>
      </c>
      <c r="AD33" s="2">
        <v>0</v>
      </c>
      <c r="AE33" s="2">
        <v>0</v>
      </c>
      <c r="AF33" s="2">
        <v>0</v>
      </c>
      <c r="AG33" s="2">
        <v>0</v>
      </c>
      <c r="AH33" s="2">
        <v>0</v>
      </c>
      <c r="AI33" s="2">
        <v>0</v>
      </c>
      <c r="AJ33" s="2"/>
      <c r="AK33" s="2">
        <f>SUM(E33:P33)</f>
        <v>0</v>
      </c>
      <c r="AL33" s="2">
        <f>SUM(Q33:AB33)</f>
        <v>0</v>
      </c>
      <c r="AM33" s="2">
        <f>SUM(X33:AI33)</f>
        <v>0</v>
      </c>
      <c r="AN33" s="2"/>
      <c r="AO33" s="5">
        <f>IFERROR(AK33/AK$10%,0)</f>
        <v>0</v>
      </c>
      <c r="AP33" s="5">
        <f>IFERROR(AL33/AL$10%,0)</f>
        <v>0</v>
      </c>
      <c r="AQ33" s="5">
        <f>IFERROR(AM33/AM$10%,0)</f>
        <v>0</v>
      </c>
    </row>
    <row r="34" spans="3:43" ht="11.25" customHeight="1" x14ac:dyDescent="0.2">
      <c r="C34" t="s">
        <v>16</v>
      </c>
      <c r="D34" s="4"/>
      <c r="E34" s="2">
        <f>E26</f>
        <v>0</v>
      </c>
      <c r="F34" s="2">
        <f>F26</f>
        <v>0</v>
      </c>
      <c r="G34" s="2">
        <f>G26</f>
        <v>0.375</v>
      </c>
      <c r="H34" s="2">
        <f>H26</f>
        <v>0</v>
      </c>
      <c r="I34" s="2">
        <f>I26</f>
        <v>0</v>
      </c>
      <c r="J34" s="2">
        <f>J26</f>
        <v>0.375</v>
      </c>
      <c r="K34" s="2">
        <f>K26</f>
        <v>0</v>
      </c>
      <c r="L34" s="2">
        <f>L26</f>
        <v>0</v>
      </c>
      <c r="M34" s="2">
        <f>M26</f>
        <v>0.375</v>
      </c>
      <c r="N34" s="2">
        <f>N26</f>
        <v>0</v>
      </c>
      <c r="O34" s="2">
        <f>O26</f>
        <v>0</v>
      </c>
      <c r="P34" s="2">
        <f>P26</f>
        <v>0.375</v>
      </c>
      <c r="Q34" s="2">
        <f>Q26</f>
        <v>0</v>
      </c>
      <c r="R34" s="2">
        <f>R26</f>
        <v>0</v>
      </c>
      <c r="S34" s="2">
        <f>S26</f>
        <v>0</v>
      </c>
      <c r="T34" s="2">
        <f>T26</f>
        <v>0</v>
      </c>
      <c r="U34" s="2">
        <f>U26</f>
        <v>0</v>
      </c>
      <c r="V34" s="2">
        <f>V26</f>
        <v>59.13</v>
      </c>
      <c r="W34" s="2">
        <f>W26</f>
        <v>0</v>
      </c>
      <c r="X34" s="2">
        <f>X26</f>
        <v>0</v>
      </c>
      <c r="Y34" s="2">
        <f>Y26</f>
        <v>122.369</v>
      </c>
      <c r="Z34" s="2">
        <f>Z26</f>
        <v>0</v>
      </c>
      <c r="AA34" s="2">
        <f>AA26</f>
        <v>0</v>
      </c>
      <c r="AB34" s="2">
        <f>AB26</f>
        <v>0.56499999999999995</v>
      </c>
      <c r="AC34" s="2">
        <f>AC26</f>
        <v>29</v>
      </c>
      <c r="AD34" s="2">
        <f>AD26</f>
        <v>0</v>
      </c>
      <c r="AE34" s="2">
        <f>AE26</f>
        <v>0</v>
      </c>
      <c r="AF34" s="2">
        <f>AF26</f>
        <v>0</v>
      </c>
      <c r="AG34" s="2">
        <f>AG26</f>
        <v>0</v>
      </c>
      <c r="AH34" s="2">
        <f>AH26</f>
        <v>15.176</v>
      </c>
      <c r="AI34" s="2">
        <f>AI26</f>
        <v>0</v>
      </c>
      <c r="AJ34" s="2"/>
      <c r="AK34" s="2">
        <f>SUM(E34:P34)</f>
        <v>1.5</v>
      </c>
      <c r="AL34" s="2">
        <f>SUM(Q34:AB34)</f>
        <v>182.06399999999999</v>
      </c>
      <c r="AM34" s="2">
        <f>SUM(X34:AI34)</f>
        <v>167.10999999999999</v>
      </c>
      <c r="AN34" s="2"/>
      <c r="AO34" s="5">
        <f>IFERROR(AK34/AK$10%,0)</f>
        <v>1.9614454105681838E-2</v>
      </c>
      <c r="AP34" s="5">
        <f>IFERROR(AL34/AL$10%,0)</f>
        <v>2.6858044454312147</v>
      </c>
      <c r="AQ34" s="5">
        <f>IFERROR(AM34/AM$10%,0)</f>
        <v>2.2756444629612926</v>
      </c>
    </row>
    <row r="35" spans="3:43" ht="11.25" customHeight="1" x14ac:dyDescent="0.2">
      <c r="C35" t="s">
        <v>15</v>
      </c>
      <c r="D35" s="4"/>
      <c r="E35" s="2">
        <f>E27</f>
        <v>0</v>
      </c>
      <c r="F35" s="2">
        <f>F27</f>
        <v>0</v>
      </c>
      <c r="G35" s="2">
        <f>G27</f>
        <v>0</v>
      </c>
      <c r="H35" s="2">
        <f>H27</f>
        <v>0</v>
      </c>
      <c r="I35" s="2">
        <f>I27</f>
        <v>0</v>
      </c>
      <c r="J35" s="2">
        <f>J27</f>
        <v>0</v>
      </c>
      <c r="K35" s="2">
        <f>K27</f>
        <v>0</v>
      </c>
      <c r="L35" s="2">
        <f>L27</f>
        <v>0</v>
      </c>
      <c r="M35" s="2">
        <f>M27</f>
        <v>0</v>
      </c>
      <c r="N35" s="2">
        <f>N27</f>
        <v>0</v>
      </c>
      <c r="O35" s="2">
        <f>O27</f>
        <v>0</v>
      </c>
      <c r="P35" s="2">
        <f>P27</f>
        <v>4.4480000000000004</v>
      </c>
      <c r="Q35" s="2">
        <f>Q27</f>
        <v>0</v>
      </c>
      <c r="R35" s="2">
        <f>R27</f>
        <v>0</v>
      </c>
      <c r="S35" s="2">
        <f>S27</f>
        <v>0</v>
      </c>
      <c r="T35" s="2">
        <f>T27</f>
        <v>0</v>
      </c>
      <c r="U35" s="2">
        <f>U27</f>
        <v>0</v>
      </c>
      <c r="V35" s="2">
        <f>V27</f>
        <v>0</v>
      </c>
      <c r="W35" s="2">
        <f>W27</f>
        <v>0</v>
      </c>
      <c r="X35" s="2">
        <f>X27</f>
        <v>0</v>
      </c>
      <c r="Y35" s="2">
        <f>Y27</f>
        <v>0</v>
      </c>
      <c r="Z35" s="2">
        <f>Z27</f>
        <v>0</v>
      </c>
      <c r="AA35" s="2">
        <f>AA27</f>
        <v>0</v>
      </c>
      <c r="AB35" s="2">
        <f>AB27</f>
        <v>3.516</v>
      </c>
      <c r="AC35" s="2">
        <f>AC27</f>
        <v>0</v>
      </c>
      <c r="AD35" s="2">
        <f>AD27</f>
        <v>0</v>
      </c>
      <c r="AE35" s="2">
        <f>AE27</f>
        <v>0</v>
      </c>
      <c r="AF35" s="2">
        <f>AF27</f>
        <v>0</v>
      </c>
      <c r="AG35" s="2">
        <f>AG27</f>
        <v>0</v>
      </c>
      <c r="AH35" s="2">
        <f>AH27</f>
        <v>0</v>
      </c>
      <c r="AI35" s="2">
        <f>AI27</f>
        <v>0</v>
      </c>
      <c r="AJ35" s="2"/>
      <c r="AK35" s="2">
        <f>SUM(E35:P35)</f>
        <v>4.4480000000000004</v>
      </c>
      <c r="AL35" s="2">
        <f>SUM(Q35:AB35)</f>
        <v>3.516</v>
      </c>
      <c r="AM35" s="2">
        <f>SUM(X35:AI35)</f>
        <v>3.516</v>
      </c>
      <c r="AN35" s="2"/>
      <c r="AO35" s="5">
        <f>IFERROR(AK35/AK$10%,0)</f>
        <v>5.816339457471522E-2</v>
      </c>
      <c r="AP35" s="5">
        <f>IFERROR(AL35/AL$10%,0)</f>
        <v>5.1867960882635504E-2</v>
      </c>
      <c r="AQ35" s="5">
        <f>IFERROR(AM35/AM$10%,0)</f>
        <v>4.7879635759511131E-2</v>
      </c>
    </row>
    <row r="36" spans="3:43" ht="12" customHeight="1" thickBot="1" x14ac:dyDescent="0.3">
      <c r="C36" s="40" t="s">
        <v>117</v>
      </c>
      <c r="D36" s="76"/>
      <c r="E36" s="39">
        <f>SUM(E30:E35)</f>
        <v>-308.89328000000012</v>
      </c>
      <c r="F36" s="39">
        <f>SUM(F30:F35)</f>
        <v>-106.98811000000003</v>
      </c>
      <c r="G36" s="39">
        <f>SUM(G30:G35)</f>
        <v>163.93175000000005</v>
      </c>
      <c r="H36" s="39">
        <f>SUM(H30:H35)</f>
        <v>318.50389999999999</v>
      </c>
      <c r="I36" s="39">
        <f>SUM(I30:I35)</f>
        <v>108.45597000000006</v>
      </c>
      <c r="J36" s="39">
        <f>SUM(J30:J35)</f>
        <v>-35.950400000000059</v>
      </c>
      <c r="K36" s="39">
        <f>SUM(K30:K35)</f>
        <v>107.54746</v>
      </c>
      <c r="L36" s="39">
        <f>SUM(L30:L35)</f>
        <v>674.36889000000008</v>
      </c>
      <c r="M36" s="39">
        <f>SUM(M30:M35)</f>
        <v>816.1345500000001</v>
      </c>
      <c r="N36" s="39">
        <f>SUM(N30:N35)</f>
        <v>-245.69618</v>
      </c>
      <c r="O36" s="39">
        <f>SUM(O30:O35)</f>
        <v>-108.92309000000012</v>
      </c>
      <c r="P36" s="39">
        <f>SUM(P30:P35)</f>
        <v>191.22655999999975</v>
      </c>
      <c r="Q36" s="39">
        <f>SUM(Q30:Q35)</f>
        <v>-76.656609999999944</v>
      </c>
      <c r="R36" s="39">
        <f>SUM(R30:R35)</f>
        <v>84.330749999999966</v>
      </c>
      <c r="S36" s="39">
        <f>SUM(S30:S35)</f>
        <v>-149.02755000000013</v>
      </c>
      <c r="T36" s="39">
        <f>SUM(T30:T35)</f>
        <v>-113.91802999999999</v>
      </c>
      <c r="U36" s="39">
        <f>SUM(U30:U35)</f>
        <v>15.084540000000061</v>
      </c>
      <c r="V36" s="39">
        <f>SUM(V30:V35)</f>
        <v>-112.86901</v>
      </c>
      <c r="W36" s="39">
        <f>SUM(W30:W35)</f>
        <v>-168.68214999999998</v>
      </c>
      <c r="X36" s="39">
        <f>SUM(X30:X35)</f>
        <v>656.72365999999977</v>
      </c>
      <c r="Y36" s="39">
        <f>SUM(Y30:Y35)</f>
        <v>619.69770000000017</v>
      </c>
      <c r="Z36" s="39">
        <f>SUM(Z30:Z35)</f>
        <v>241.65784999999971</v>
      </c>
      <c r="AA36" s="39">
        <f>SUM(AA30:AA35)</f>
        <v>401.67570000000012</v>
      </c>
      <c r="AB36" s="39">
        <f>SUM(AB30:AB35)</f>
        <v>-113.70552000000094</v>
      </c>
      <c r="AC36" s="39">
        <f>SUM(AC30:AC35)</f>
        <v>-104.9857199999999</v>
      </c>
      <c r="AD36" s="39">
        <f>SUM(AD30:AD35)</f>
        <v>3.8198099999999613</v>
      </c>
      <c r="AE36" s="39">
        <f>SUM(AE30:AE35)</f>
        <v>166.17516000000012</v>
      </c>
      <c r="AF36" s="39">
        <f>SUM(AF30:AF35)</f>
        <v>-22.474029999999914</v>
      </c>
      <c r="AG36" s="39">
        <f>SUM(AG30:AG35)</f>
        <v>-232.79306000000003</v>
      </c>
      <c r="AH36" s="39">
        <f>SUM(AH30:AH35)</f>
        <v>235.19114999999999</v>
      </c>
      <c r="AI36" s="39">
        <f>SUM(AI30:AI35)</f>
        <v>-102.31717999999981</v>
      </c>
      <c r="AJ36" s="39"/>
      <c r="AK36" s="39">
        <f>SUM(AK30:AK35)</f>
        <v>1573.7180200000009</v>
      </c>
      <c r="AL36" s="39">
        <f>SUM(AL30:AL35)</f>
        <v>1284.3113299999984</v>
      </c>
      <c r="AM36" s="39">
        <f>SUM(AM30:AM35)</f>
        <v>1748.6655199999991</v>
      </c>
      <c r="AN36" s="51"/>
      <c r="AO36" s="75">
        <f>IFERROR(AK36/AK$10%,0)</f>
        <v>20.578413252383008</v>
      </c>
      <c r="AP36" s="75">
        <f>IFERROR(AL36/AL$10%,0)</f>
        <v>18.946134762675058</v>
      </c>
      <c r="AQ36" s="75">
        <f>IFERROR(AM36/AM$10%,0)</f>
        <v>23.812704255635975</v>
      </c>
    </row>
    <row r="37" spans="3:43" ht="6" customHeight="1" x14ac:dyDescent="0.2">
      <c r="D37" s="4"/>
    </row>
    <row r="38" spans="3:43" ht="11.25" customHeight="1" outlineLevel="1" x14ac:dyDescent="0.2">
      <c r="C38" s="7" t="s">
        <v>233</v>
      </c>
      <c r="D38" s="4"/>
      <c r="E38" s="5">
        <f>IFERROR(E15/E$10%,0)</f>
        <v>100</v>
      </c>
      <c r="F38" s="5">
        <f>IFERROR(F15/F$10%,0)</f>
        <v>100</v>
      </c>
      <c r="G38" s="5">
        <f>IFERROR(G15/G$10%,0)</f>
        <v>100</v>
      </c>
      <c r="H38" s="5">
        <f>IFERROR(H15/H$10%,0)</f>
        <v>100</v>
      </c>
      <c r="I38" s="5">
        <f>IFERROR(I15/I$10%,0)</f>
        <v>100</v>
      </c>
      <c r="J38" s="5">
        <f>IFERROR(J15/J$10%,0)</f>
        <v>99.999999999999986</v>
      </c>
      <c r="K38" s="5">
        <f>IFERROR(K15/K$10%,0)</f>
        <v>100</v>
      </c>
      <c r="L38" s="5">
        <f>IFERROR(L15/L$10%,0)</f>
        <v>100</v>
      </c>
      <c r="M38" s="5">
        <f>IFERROR(M15/M$10%,0)</f>
        <v>100</v>
      </c>
      <c r="N38" s="5">
        <f>IFERROR(N15/N$10%,0)</f>
        <v>100</v>
      </c>
      <c r="O38" s="5">
        <f>IFERROR(O15/O$10%,0)</f>
        <v>99.999999999999986</v>
      </c>
      <c r="P38" s="5">
        <f>IFERROR(P15/P$10%,0)</f>
        <v>100</v>
      </c>
      <c r="Q38" s="5">
        <f>IFERROR(Q15/Q$10%,0)</f>
        <v>100</v>
      </c>
      <c r="R38" s="5">
        <f>IFERROR(R15/R$10%,0)</f>
        <v>100</v>
      </c>
      <c r="S38" s="5">
        <f>IFERROR(S15/S$10%,0)</f>
        <v>100</v>
      </c>
      <c r="T38" s="5">
        <f>IFERROR(T15/T$10%,0)</f>
        <v>100</v>
      </c>
      <c r="U38" s="5">
        <f>IFERROR(U15/U$10%,0)</f>
        <v>100</v>
      </c>
      <c r="V38" s="5">
        <f>IFERROR(V15/V$10%,0)</f>
        <v>100</v>
      </c>
      <c r="W38" s="5">
        <f>IFERROR(W15/W$10%,0)</f>
        <v>100</v>
      </c>
      <c r="X38" s="5">
        <f>IFERROR(X15/X$10%,0)</f>
        <v>100.00000000000001</v>
      </c>
      <c r="Y38" s="5">
        <f>IFERROR(Y15/Y$10%,0)</f>
        <v>100</v>
      </c>
      <c r="Z38" s="5">
        <f>IFERROR(Z15/Z$10%,0)</f>
        <v>100</v>
      </c>
      <c r="AA38" s="5">
        <f>IFERROR(AA15/AA$10%,0)</f>
        <v>100</v>
      </c>
      <c r="AB38" s="5">
        <f>IFERROR(AB15/AB$10%,0)</f>
        <v>100</v>
      </c>
      <c r="AC38" s="5">
        <f>IFERROR(AC15/AC$10%,0)</f>
        <v>100</v>
      </c>
      <c r="AD38" s="5">
        <f>IFERROR(AD15/AD$10%,0)</f>
        <v>100</v>
      </c>
      <c r="AE38" s="5">
        <f>IFERROR(AE15/AE$10%,0)</f>
        <v>100</v>
      </c>
      <c r="AF38" s="5">
        <f>IFERROR(AF15/AF$10%,0)</f>
        <v>100</v>
      </c>
      <c r="AG38" s="5">
        <f>IFERROR(AG15/AG$10%,0)</f>
        <v>100</v>
      </c>
      <c r="AH38" s="5">
        <f>IFERROR(AH15/AH$10%,0)</f>
        <v>100</v>
      </c>
      <c r="AI38" s="5">
        <f>IFERROR(AI15/AI$10%,0)</f>
        <v>99.999999999999986</v>
      </c>
      <c r="AJ38" s="2"/>
      <c r="AK38" s="5">
        <f>IFERROR(AK15/AK$10%,0)</f>
        <v>99.999999999999986</v>
      </c>
      <c r="AL38" s="5">
        <f>IFERROR(AL15/AL$10%,0)</f>
        <v>100</v>
      </c>
      <c r="AM38" s="5">
        <f>IFERROR(AM15/AM$10%,0)</f>
        <v>99.999999999999986</v>
      </c>
      <c r="AN38" s="2"/>
      <c r="AO38" s="5"/>
      <c r="AP38" s="5"/>
      <c r="AQ38" s="5"/>
    </row>
    <row r="39" spans="3:43" ht="11.25" customHeight="1" outlineLevel="1" x14ac:dyDescent="0.2">
      <c r="C39" s="7" t="s">
        <v>232</v>
      </c>
      <c r="D39" s="4"/>
      <c r="E39" s="5">
        <f>IFERROR(E24/E$10%,0)</f>
        <v>-159.73596648837304</v>
      </c>
      <c r="F39" s="5">
        <f>IFERROR(F24/F$10%,0)</f>
        <v>-24.820054326122069</v>
      </c>
      <c r="G39" s="5">
        <f>IFERROR(G24/G$10%,0)</f>
        <v>22.455367818369403</v>
      </c>
      <c r="H39" s="5">
        <f>IFERROR(H24/H$10%,0)</f>
        <v>-8.514005878867442</v>
      </c>
      <c r="I39" s="5">
        <f>IFERROR(I24/I$10%,0)</f>
        <v>17.460844779437608</v>
      </c>
      <c r="J39" s="5">
        <f>IFERROR(J24/J$10%,0)</f>
        <v>-7.8926691498676362</v>
      </c>
      <c r="K39" s="5">
        <f>IFERROR(K24/K$10%,0)</f>
        <v>15.621272157892598</v>
      </c>
      <c r="L39" s="5">
        <f>IFERROR(L24/L$10%,0)</f>
        <v>53.21675525357238</v>
      </c>
      <c r="M39" s="5">
        <f>IFERROR(M24/M$10%,0)</f>
        <v>63.951567025237892</v>
      </c>
      <c r="N39" s="5">
        <f>IFERROR(N24/N$10%,0)</f>
        <v>-102.93030416650085</v>
      </c>
      <c r="O39" s="5">
        <f>IFERROR(O24/O$10%,0)</f>
        <v>-19.772091899499216</v>
      </c>
      <c r="P39" s="5">
        <f>IFERROR(P24/P$10%,0)</f>
        <v>15.584854699416216</v>
      </c>
      <c r="Q39" s="5">
        <f>IFERROR(Q24/Q$10%,0)</f>
        <v>-18.163179668470573</v>
      </c>
      <c r="R39" s="5">
        <f>IFERROR(R24/R$10%,0)</f>
        <v>16.043137068391509</v>
      </c>
      <c r="S39" s="5">
        <f>IFERROR(S24/S$10%,0)</f>
        <v>-40.131507373137907</v>
      </c>
      <c r="T39" s="5">
        <f>IFERROR(T24/T$10%,0)</f>
        <v>-29.850073630756164</v>
      </c>
      <c r="U39" s="5">
        <f>IFERROR(U24/U$10%,0)</f>
        <v>2.808103071788</v>
      </c>
      <c r="V39" s="5">
        <f>IFERROR(V24/V$10%,0)</f>
        <v>-31.624473247708071</v>
      </c>
      <c r="W39" s="5">
        <f>IFERROR(W24/W$10%,0)</f>
        <v>-46.136676932502574</v>
      </c>
      <c r="X39" s="5">
        <f>IFERROR(X24/X$10%,0)</f>
        <v>53.578469483451983</v>
      </c>
      <c r="Y39" s="5">
        <f>IFERROR(Y24/Y$10%,0)</f>
        <v>54.39128974974625</v>
      </c>
      <c r="Z39" s="5">
        <f>IFERROR(Z24/Z$10%,0)</f>
        <v>73.307177187171277</v>
      </c>
      <c r="AA39" s="5">
        <f>IFERROR(AA24/AA$10%,0)</f>
        <v>49.716707780015334</v>
      </c>
      <c r="AB39" s="5">
        <f>IFERROR(AB24/AB$10%,0)</f>
        <v>-27.51654475961012</v>
      </c>
      <c r="AC39" s="5">
        <f>IFERROR(AC24/AC$10%,0)</f>
        <v>-29.870209091452232</v>
      </c>
      <c r="AD39" s="5">
        <f>IFERROR(AD24/AD$10%,0)</f>
        <v>0.70267858949571316</v>
      </c>
      <c r="AE39" s="5">
        <f>IFERROR(AE24/AE$10%,0)</f>
        <v>22.560824562553954</v>
      </c>
      <c r="AF39" s="5">
        <f>IFERROR(AF24/AF$10%,0)</f>
        <v>-5.2799690823616547</v>
      </c>
      <c r="AG39" s="5">
        <f>IFERROR(AG24/AG$10%,0)</f>
        <v>-81.914585312642956</v>
      </c>
      <c r="AH39" s="5">
        <f>IFERROR(AH24/AH$10%,0)</f>
        <v>30.931308080582248</v>
      </c>
      <c r="AI39" s="5">
        <f>IFERROR(AI24/AI$10%,0)</f>
        <v>-24.152768982107197</v>
      </c>
      <c r="AJ39" s="2"/>
      <c r="AK39" s="5">
        <f>IFERROR(AK24/AK$10%,0)</f>
        <v>14.931485796467671</v>
      </c>
      <c r="AL39" s="5">
        <f>IFERROR(AL24/AL$10%,0)</f>
        <v>18.175136996767975</v>
      </c>
      <c r="AM39" s="5">
        <f>IFERROR(AM24/AM$10%,0)</f>
        <v>23.102428923845011</v>
      </c>
      <c r="AN39" s="2"/>
      <c r="AO39" s="5"/>
      <c r="AP39" s="5"/>
      <c r="AQ39" s="5"/>
    </row>
    <row r="40" spans="3:43" ht="11.25" customHeight="1" outlineLevel="1" x14ac:dyDescent="0.2">
      <c r="C40" s="7" t="s">
        <v>231</v>
      </c>
      <c r="D40" s="6"/>
      <c r="E40" s="5">
        <f>IFERROR(E36/E$10%,0)</f>
        <v>-159.94308408456618</v>
      </c>
      <c r="F40" s="5">
        <f>IFERROR(F36/F$10%,0)</f>
        <v>-24.913198127343886</v>
      </c>
      <c r="G40" s="5">
        <f>IFERROR(G36/G$10%,0)</f>
        <v>22.40070919563005</v>
      </c>
      <c r="H40" s="5">
        <f>IFERROR(H36/H$10%,0)</f>
        <v>74.009573491652233</v>
      </c>
      <c r="I40" s="5">
        <f>IFERROR(I36/I$10%,0)</f>
        <v>17.396683503654799</v>
      </c>
      <c r="J40" s="5">
        <f>IFERROR(J36/J$10%,0)</f>
        <v>-7.4767225906815602</v>
      </c>
      <c r="K40" s="5">
        <f>IFERROR(K36/K$10%,0)</f>
        <v>15.621272157892598</v>
      </c>
      <c r="L40" s="5">
        <f>IFERROR(L36/L$10%,0)</f>
        <v>53.208865081610028</v>
      </c>
      <c r="M40" s="5">
        <f>IFERROR(M36/M$10%,0)</f>
        <v>63.951567025237892</v>
      </c>
      <c r="N40" s="5">
        <f>IFERROR(N36/N$10%,0)</f>
        <v>-102.93030416650085</v>
      </c>
      <c r="O40" s="5">
        <f>IFERROR(O36/O$10%,0)</f>
        <v>-19.772091899499216</v>
      </c>
      <c r="P40" s="5">
        <f>IFERROR(P36/P$10%,0)</f>
        <v>25.954257902258849</v>
      </c>
      <c r="Q40" s="5">
        <f>IFERROR(Q36/Q$10%,0)</f>
        <v>-18.163179668470573</v>
      </c>
      <c r="R40" s="5">
        <f>IFERROR(R36/R$10%,0)</f>
        <v>16.043137068391509</v>
      </c>
      <c r="S40" s="5">
        <f>IFERROR(S36/S$10%,0)</f>
        <v>-40.131507373137907</v>
      </c>
      <c r="T40" s="5">
        <f>IFERROR(T36/T$10%,0)</f>
        <v>-29.850073630756164</v>
      </c>
      <c r="U40" s="5">
        <f>IFERROR(U36/U$10%,0)</f>
        <v>2.808103071788</v>
      </c>
      <c r="V40" s="5">
        <f>IFERROR(V36/V$10%,0)</f>
        <v>-31.624473247708071</v>
      </c>
      <c r="W40" s="5">
        <f>IFERROR(W36/W$10%,0)</f>
        <v>-46.136676932502574</v>
      </c>
      <c r="X40" s="5">
        <f>IFERROR(X36/X$10%,0)</f>
        <v>57.993862603563038</v>
      </c>
      <c r="Y40" s="5">
        <f>IFERROR(Y36/Y$10%,0)</f>
        <v>54.590732980344256</v>
      </c>
      <c r="Z40" s="5">
        <f>IFERROR(Z36/Z$10%,0)</f>
        <v>73.307177187171277</v>
      </c>
      <c r="AA40" s="5">
        <f>IFERROR(AA36/AA$10%,0)</f>
        <v>49.716707780015334</v>
      </c>
      <c r="AB40" s="5">
        <f>IFERROR(AB36/AB$10%,0)</f>
        <v>-27.51654475961012</v>
      </c>
      <c r="AC40" s="5">
        <f>IFERROR(AC36/AC$10%,0)</f>
        <v>-29.870209091452232</v>
      </c>
      <c r="AD40" s="5">
        <f>IFERROR(AD36/AD$10%,0)</f>
        <v>0.70267858949571316</v>
      </c>
      <c r="AE40" s="5">
        <f>IFERROR(AE36/AE$10%,0)</f>
        <v>22.560824562553954</v>
      </c>
      <c r="AF40" s="5">
        <f>IFERROR(AF36/AF$10%,0)</f>
        <v>-5.2799690823616547</v>
      </c>
      <c r="AG40" s="5">
        <f>IFERROR(AG36/AG$10%,0)</f>
        <v>-81.914585312642956</v>
      </c>
      <c r="AH40" s="5">
        <f>IFERROR(AH36/AH$10%,0)</f>
        <v>30.931308080582248</v>
      </c>
      <c r="AI40" s="5">
        <f>IFERROR(AI36/AI$10%,0)</f>
        <v>-24.177712978628836</v>
      </c>
      <c r="AJ40" s="5"/>
      <c r="AK40" s="5">
        <f>IFERROR(AK36/AK$10%,0)</f>
        <v>20.578413252383008</v>
      </c>
      <c r="AL40" s="5">
        <f>IFERROR(AL36/AL$10%,0)</f>
        <v>18.946134762675058</v>
      </c>
      <c r="AM40" s="5">
        <f>IFERROR(AM36/AM$10%,0)</f>
        <v>23.812704255635975</v>
      </c>
    </row>
    <row r="41" spans="3:43" ht="6" customHeight="1" outlineLevel="1" x14ac:dyDescent="0.2">
      <c r="D41" s="4"/>
    </row>
    <row r="43" spans="3:43" ht="11.25" customHeight="1" x14ac:dyDescent="0.2">
      <c r="C43" t="s">
        <v>230</v>
      </c>
      <c r="E43" s="2">
        <f>-TB!K129-E30</f>
        <v>0</v>
      </c>
      <c r="F43" s="2">
        <f>-TB!L129-F30</f>
        <v>0</v>
      </c>
      <c r="G43" s="2">
        <f>-TB!M129-G30</f>
        <v>0</v>
      </c>
      <c r="H43" s="2">
        <f>-TB!N129-H30</f>
        <v>0</v>
      </c>
      <c r="I43" s="2">
        <f>-TB!O129-I30</f>
        <v>0</v>
      </c>
      <c r="J43" s="2">
        <f>-TB!P129-J30</f>
        <v>-1.0658141036401503E-13</v>
      </c>
      <c r="K43" s="2">
        <f>-TB!Q129-K30</f>
        <v>1.5631940186722204E-13</v>
      </c>
      <c r="L43" s="2">
        <f>-TB!R129-L30</f>
        <v>0</v>
      </c>
      <c r="M43" s="2">
        <f>-TB!S129-M30</f>
        <v>0</v>
      </c>
      <c r="N43" s="2">
        <f>-TB!T129-N30</f>
        <v>0</v>
      </c>
      <c r="O43" s="2">
        <f>-TB!U129-O30</f>
        <v>0</v>
      </c>
      <c r="P43" s="2">
        <f>-TB!V129-P30</f>
        <v>0</v>
      </c>
      <c r="Q43" s="2">
        <f>-TB!W129-Q30</f>
        <v>-1.4210854715202004E-13</v>
      </c>
      <c r="R43" s="2">
        <f>-TB!X129-R30</f>
        <v>0</v>
      </c>
      <c r="S43" s="2">
        <f>-TB!Y129-S30</f>
        <v>0</v>
      </c>
      <c r="T43" s="2">
        <f>-TB!Z129-T30</f>
        <v>0</v>
      </c>
      <c r="U43" s="2">
        <f>-TB!AA129-U30</f>
        <v>-9.9475983006414026E-14</v>
      </c>
      <c r="V43" s="2">
        <f>-TB!AB129-V30</f>
        <v>0</v>
      </c>
      <c r="W43" s="2">
        <f>-TB!AC129-W30</f>
        <v>0</v>
      </c>
      <c r="X43" s="2">
        <f>-TB!AD129-X30</f>
        <v>0</v>
      </c>
      <c r="Y43" s="2">
        <f>-TB!AE129-Y30</f>
        <v>0</v>
      </c>
      <c r="Z43" s="2">
        <f>-TB!AF129-Z30</f>
        <v>0</v>
      </c>
      <c r="AA43" s="2">
        <f>-TB!AG129-AA30</f>
        <v>0</v>
      </c>
      <c r="AB43" s="2">
        <f>-TB!AH129-AB30</f>
        <v>1.0231815394945443E-12</v>
      </c>
      <c r="AC43" s="2">
        <f>-TB!AI129-AC30</f>
        <v>0</v>
      </c>
      <c r="AD43" s="2">
        <f>-TB!AJ129-AD30</f>
        <v>4.6185277824406512E-14</v>
      </c>
      <c r="AE43" s="2">
        <f>-TB!AK129-AE30</f>
        <v>0</v>
      </c>
      <c r="AF43" s="2">
        <f>-TB!AL129-AF30</f>
        <v>0</v>
      </c>
      <c r="AG43" s="2">
        <f>-TB!AM129-AG30</f>
        <v>0</v>
      </c>
      <c r="AH43" s="2">
        <f>-TB!AN129-AH30</f>
        <v>-2.2737367544323206E-13</v>
      </c>
      <c r="AI43" s="2">
        <f>-TB!AO129-AI30</f>
        <v>0</v>
      </c>
      <c r="AK43" s="2">
        <f>SUM(E43:P43)</f>
        <v>4.9737991503207013E-14</v>
      </c>
      <c r="AL43" s="2">
        <f>SUM(Q43:AB43)</f>
        <v>7.815970093361102E-13</v>
      </c>
      <c r="AM43" s="2">
        <f>SUM(X43:AI43)</f>
        <v>8.4199314187571872E-13</v>
      </c>
    </row>
  </sheetData>
  <pageMargins left="0.7" right="0.7" top="0.75" bottom="0.75" header="0.3" footer="0.3"/>
  <pageSetup scale="46" orientation="landscape" r:id="rId1"/>
  <customProperties>
    <customPr name="OrphanNamesChecked" r:id="rId2"/>
  </customProperties>
  <extLst>
    <ext xmlns:x14="http://schemas.microsoft.com/office/spreadsheetml/2009/9/main" uri="{78C0D931-6437-407d-A8EE-F0AAD7539E65}">
      <x14:conditionalFormattings>
        <x14:conditionalFormatting xmlns:xm="http://schemas.microsoft.com/office/excel/2006/main">
          <x14:cfRule type="containsText" priority="1" operator="containsText" id="{02E72968-3753-4033-A686-579925F1C305}">
            <xm:f>NOT(ISERROR(SEARCH("NO",A1)))</xm:f>
            <xm:f>"NO"</xm:f>
            <x14:dxf>
              <font>
                <b/>
                <i val="0"/>
                <color rgb="FFFF0000"/>
              </font>
            </x14:dxf>
          </x14:cfRule>
          <xm:sqref>A1:A2</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91855-DF48-44A4-96FF-8F532C6D3DAF}">
  <sheetPr>
    <tabColor rgb="FF0A2463"/>
    <pageSetUpPr fitToPage="1"/>
  </sheetPr>
  <dimension ref="D8:D10"/>
  <sheetViews>
    <sheetView showGridLines="0" view="pageBreakPreview" zoomScaleNormal="100" zoomScaleSheetLayoutView="100" workbookViewId="0">
      <selection activeCell="D9" sqref="D9"/>
    </sheetView>
  </sheetViews>
  <sheetFormatPr defaultRowHeight="10" x14ac:dyDescent="0.2"/>
  <sheetData>
    <row r="8" spans="4:4" ht="13" x14ac:dyDescent="0.3">
      <c r="D8" s="1" t="s">
        <v>451</v>
      </c>
    </row>
    <row r="9" spans="4:4" x14ac:dyDescent="0.2">
      <c r="D9" t="s">
        <v>450</v>
      </c>
    </row>
    <row r="10" spans="4:4" x14ac:dyDescent="0.2">
      <c r="D10" t="s">
        <v>236</v>
      </c>
    </row>
  </sheetData>
  <pageMargins left="0.7" right="0.7" top="0.75" bottom="0.75" header="0.3" footer="0.3"/>
  <pageSetup fitToHeight="0" orientation="landscape" r:id="rId1"/>
  <customProperties>
    <customPr name="OrphanNamesChecked" r:id="rId2"/>
  </customPropertie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9A30F-909D-4354-8D7C-007E26AB832C}">
  <sheetPr>
    <tabColor rgb="FFFFFF00"/>
    <pageSetUpPr fitToPage="1"/>
  </sheetPr>
  <dimension ref="A1:AQ144"/>
  <sheetViews>
    <sheetView showGridLines="0" view="pageBreakPreview" zoomScaleNormal="100" zoomScaleSheetLayoutView="100" workbookViewId="0">
      <pane xSplit="4" ySplit="8" topLeftCell="E14" activePane="bottomRight" state="frozen"/>
      <selection pane="topRight"/>
      <selection pane="bottomLeft"/>
      <selection pane="bottomRight" activeCell="C2" sqref="C2"/>
    </sheetView>
  </sheetViews>
  <sheetFormatPr defaultRowHeight="10" outlineLevelRow="2" outlineLevelCol="1" x14ac:dyDescent="0.2"/>
  <cols>
    <col min="1" max="1" width="9.33203125" customWidth="1" outlineLevel="1"/>
    <col min="2" max="2" width="1.77734375" customWidth="1"/>
    <col min="3" max="3" width="32.77734375" customWidth="1"/>
    <col min="4" max="4" width="4.33203125" customWidth="1" outlineLevel="1"/>
    <col min="5" max="35" width="7.77734375" customWidth="1" outlineLevel="1"/>
    <col min="36" max="36" width="1.77734375" customWidth="1" outlineLevel="1"/>
    <col min="37" max="39" width="8.77734375" customWidth="1"/>
    <col min="40" max="40" width="1.77734375" customWidth="1"/>
    <col min="41" max="43" width="7.77734375" customWidth="1"/>
    <col min="44" max="44" width="1.77734375" customWidth="1"/>
  </cols>
  <sheetData>
    <row r="1" spans="1:43" ht="10.5" x14ac:dyDescent="0.25">
      <c r="A1" s="38" t="str">
        <f>IF(ROUND(SUM(E142:AN144),1)&lt;&gt;0,"NO","Yes")</f>
        <v>Yes</v>
      </c>
      <c r="C1" t="s">
        <v>451</v>
      </c>
    </row>
    <row r="2" spans="1:43" ht="10.5" x14ac:dyDescent="0.25">
      <c r="A2" s="38" t="str">
        <f>IF(COUNTIF(E142:AN144,"&gt;0.5")+COUNTIF(E142:AN144,"&lt;-0.5")&lt;1,"Yes","No")</f>
        <v>Yes</v>
      </c>
      <c r="C2" t="s">
        <v>450</v>
      </c>
    </row>
    <row r="3" spans="1:43" x14ac:dyDescent="0.2">
      <c r="A3">
        <f>2-COUNTIF(A1:A2,"Yes")</f>
        <v>0</v>
      </c>
      <c r="C3" t="s">
        <v>36</v>
      </c>
    </row>
    <row r="4" spans="1:43" x14ac:dyDescent="0.2">
      <c r="C4" t="s">
        <v>235</v>
      </c>
    </row>
    <row r="5" spans="1:43" x14ac:dyDescent="0.2">
      <c r="C5" s="37"/>
    </row>
    <row r="7" spans="1:43" ht="13.5" customHeight="1" x14ac:dyDescent="0.55000000000000004">
      <c r="C7" s="34" t="str">
        <f>C4</f>
        <v>Reported Statement of Operations</v>
      </c>
      <c r="D7" s="31"/>
      <c r="E7" s="36" t="s">
        <v>32</v>
      </c>
      <c r="F7" s="36"/>
      <c r="G7" s="36"/>
      <c r="H7" s="36"/>
      <c r="I7" s="36"/>
      <c r="J7" s="36"/>
      <c r="K7" s="36"/>
      <c r="L7" s="36"/>
      <c r="M7" s="36"/>
      <c r="N7" s="36"/>
      <c r="O7" s="36"/>
      <c r="P7" s="36"/>
      <c r="Q7" s="36" t="s">
        <v>31</v>
      </c>
      <c r="R7" s="36"/>
      <c r="S7" s="36"/>
      <c r="T7" s="36"/>
      <c r="U7" s="36"/>
      <c r="V7" s="36"/>
      <c r="W7" s="36"/>
      <c r="X7" s="36"/>
      <c r="Y7" s="36"/>
      <c r="Z7" s="36"/>
      <c r="AA7" s="36"/>
      <c r="AB7" s="36"/>
      <c r="AC7" s="36" t="s">
        <v>35</v>
      </c>
      <c r="AD7" s="36"/>
      <c r="AE7" s="36"/>
      <c r="AF7" s="36"/>
      <c r="AG7" s="36"/>
      <c r="AH7" s="36"/>
      <c r="AI7" s="36"/>
      <c r="AJ7" s="31"/>
      <c r="AK7" s="31"/>
      <c r="AL7" s="32"/>
      <c r="AM7" s="32">
        <f>AI8</f>
        <v>45961</v>
      </c>
      <c r="AN7" s="31"/>
      <c r="AO7" s="35" t="s">
        <v>34</v>
      </c>
      <c r="AP7" s="35"/>
      <c r="AQ7" s="35"/>
    </row>
    <row r="8" spans="1:43" ht="10.5" x14ac:dyDescent="0.25">
      <c r="C8" s="34" t="str">
        <f>C3</f>
        <v>($ in 000s)</v>
      </c>
      <c r="D8" s="33" t="s">
        <v>33</v>
      </c>
      <c r="E8" s="32">
        <f>TB!K1</f>
        <v>45046</v>
      </c>
      <c r="F8" s="32">
        <f>TB!L1</f>
        <v>45077</v>
      </c>
      <c r="G8" s="32">
        <f>TB!M1</f>
        <v>45107</v>
      </c>
      <c r="H8" s="32">
        <f>TB!N1</f>
        <v>45138</v>
      </c>
      <c r="I8" s="32">
        <f>TB!O1</f>
        <v>45169</v>
      </c>
      <c r="J8" s="32">
        <f>TB!P1</f>
        <v>45199</v>
      </c>
      <c r="K8" s="32">
        <f>TB!Q1</f>
        <v>45230</v>
      </c>
      <c r="L8" s="32">
        <f>TB!R1</f>
        <v>45260</v>
      </c>
      <c r="M8" s="32">
        <f>TB!S1</f>
        <v>45291</v>
      </c>
      <c r="N8" s="32">
        <f>TB!T1</f>
        <v>45322</v>
      </c>
      <c r="O8" s="32">
        <f>TB!U1</f>
        <v>45351</v>
      </c>
      <c r="P8" s="32">
        <f>TB!V1</f>
        <v>45382</v>
      </c>
      <c r="Q8" s="32">
        <f>TB!W1</f>
        <v>45412</v>
      </c>
      <c r="R8" s="32">
        <f>TB!X1</f>
        <v>45443</v>
      </c>
      <c r="S8" s="32">
        <f>TB!Y1</f>
        <v>45473</v>
      </c>
      <c r="T8" s="32">
        <f>TB!Z1</f>
        <v>45504</v>
      </c>
      <c r="U8" s="32">
        <f>TB!AA1</f>
        <v>45535</v>
      </c>
      <c r="V8" s="32">
        <f>TB!AB1</f>
        <v>45565</v>
      </c>
      <c r="W8" s="32">
        <f>TB!AC1</f>
        <v>45596</v>
      </c>
      <c r="X8" s="32">
        <f>TB!AD1</f>
        <v>45626</v>
      </c>
      <c r="Y8" s="32">
        <f>TB!AE1</f>
        <v>45657</v>
      </c>
      <c r="Z8" s="32">
        <f>TB!AF1</f>
        <v>45688</v>
      </c>
      <c r="AA8" s="32">
        <f>TB!AG1</f>
        <v>45716</v>
      </c>
      <c r="AB8" s="32">
        <f>TB!AH1</f>
        <v>45747</v>
      </c>
      <c r="AC8" s="32">
        <f>TB!AI1</f>
        <v>45777</v>
      </c>
      <c r="AD8" s="32">
        <f>TB!AJ1</f>
        <v>45808</v>
      </c>
      <c r="AE8" s="32">
        <f>TB!AK1</f>
        <v>45838</v>
      </c>
      <c r="AF8" s="32">
        <f>TB!AL1</f>
        <v>45869</v>
      </c>
      <c r="AG8" s="32">
        <f>TB!AM1</f>
        <v>45900</v>
      </c>
      <c r="AH8" s="32">
        <f>TB!AN1</f>
        <v>45930</v>
      </c>
      <c r="AI8" s="32">
        <f>TB!AO1</f>
        <v>45961</v>
      </c>
      <c r="AJ8" s="31"/>
      <c r="AK8" s="32" t="s">
        <v>32</v>
      </c>
      <c r="AL8" s="32" t="s">
        <v>31</v>
      </c>
      <c r="AM8" s="32" t="s">
        <v>30</v>
      </c>
      <c r="AN8" s="31"/>
      <c r="AO8" s="30" t="str">
        <f>+AK8</f>
        <v>FY24</v>
      </c>
      <c r="AP8" s="30" t="str">
        <f>+AL8</f>
        <v>FY25</v>
      </c>
      <c r="AQ8" s="30" t="str">
        <f>+AM8</f>
        <v>TTM26</v>
      </c>
    </row>
    <row r="9" spans="1:43" ht="11.25" hidden="1" customHeight="1" outlineLevel="1" x14ac:dyDescent="0.2">
      <c r="C9" t="s">
        <v>328</v>
      </c>
      <c r="D9" s="4"/>
      <c r="E9" s="29">
        <f>-SUMIFS(TB!K:K,TB!$J:$J,$C9)</f>
        <v>195.7</v>
      </c>
      <c r="F9" s="29">
        <f>-SUMIFS(TB!L:L,TB!$J:$J,$C9)</f>
        <v>432.65</v>
      </c>
      <c r="G9" s="29">
        <f>-SUMIFS(TB!M:M,TB!$J:$J,$C9)</f>
        <v>736.995</v>
      </c>
      <c r="H9" s="29">
        <f>-SUMIFS(TB!N:N,TB!$J:$J,$C9)</f>
        <v>437.25</v>
      </c>
      <c r="I9" s="29">
        <f>-SUMIFS(TB!O:O,TB!$J:$J,$C9)</f>
        <v>627.25699999999995</v>
      </c>
      <c r="J9" s="29">
        <f>-SUMIFS(TB!P:P,TB!$J:$J,$C9)</f>
        <v>484.35</v>
      </c>
      <c r="K9" s="29">
        <f>-SUMIFS(TB!Q:Q,TB!$J:$J,$C9)</f>
        <v>689.77499999999998</v>
      </c>
      <c r="L9" s="29">
        <f>-SUMIFS(TB!R:R,TB!$J:$J,$C9)</f>
        <v>1270.3150000000001</v>
      </c>
      <c r="M9" s="29">
        <f>-SUMIFS(TB!S:S,TB!$J:$J,$C9)</f>
        <v>1290.4000000000001</v>
      </c>
      <c r="N9" s="29">
        <f>-SUMIFS(TB!T:T,TB!$J:$J,$C9)</f>
        <v>236.1</v>
      </c>
      <c r="O9" s="29">
        <f>-SUMIFS(TB!U:U,TB!$J:$J,$C9)</f>
        <v>558.995</v>
      </c>
      <c r="P9" s="29">
        <f>-SUMIFS(TB!V:V,TB!$J:$J,$C9)</f>
        <v>690.61</v>
      </c>
      <c r="Q9" s="29">
        <f>-SUMIFS(TB!W:W,TB!$J:$J,$C9)</f>
        <v>423.15</v>
      </c>
      <c r="R9" s="29">
        <f>-SUMIFS(TB!X:X,TB!$J:$J,$C9)</f>
        <v>525.875</v>
      </c>
      <c r="S9" s="29">
        <f>-SUMIFS(TB!Y:Y,TB!$J:$J,$C9)</f>
        <v>373.38799999999998</v>
      </c>
      <c r="T9" s="29">
        <f>-SUMIFS(TB!Z:Z,TB!$J:$J,$C9)</f>
        <v>385.97500000000002</v>
      </c>
      <c r="U9" s="29">
        <f>-SUMIFS(TB!AA:AA,TB!$J:$J,$C9)</f>
        <v>539.75</v>
      </c>
      <c r="V9" s="29">
        <f>-SUMIFS(TB!AB:AB,TB!$J:$J,$C9)</f>
        <v>358.6</v>
      </c>
      <c r="W9" s="29">
        <f>-SUMIFS(TB!AC:AC,TB!$J:$J,$C9)</f>
        <v>366.6</v>
      </c>
      <c r="X9" s="29">
        <f>-SUMIFS(TB!AD:AD,TB!$J:$J,$C9)</f>
        <v>1141.4749999999999</v>
      </c>
      <c r="Y9" s="29">
        <f>-SUMIFS(TB!AE:AE,TB!$J:$J,$C9)</f>
        <v>1140.0250000000001</v>
      </c>
      <c r="Z9" s="29">
        <f>-SUMIFS(TB!AF:AF,TB!$J:$J,$C9)</f>
        <v>331.52499999999998</v>
      </c>
      <c r="AA9" s="29">
        <f>-SUMIFS(TB!AG:AG,TB!$J:$J,$C9)</f>
        <v>847.35</v>
      </c>
      <c r="AB9" s="29">
        <f>-SUMIFS(TB!AH:AH,TB!$J:$J,$C9)</f>
        <v>405.05000999999976</v>
      </c>
      <c r="AC9" s="29">
        <f>-SUMIFS(TB!AI:AI,TB!$J:$J,$C9)</f>
        <v>352.82499999999999</v>
      </c>
      <c r="AD9" s="29">
        <f>-SUMIFS(TB!AJ:AJ,TB!$J:$J,$C9)</f>
        <v>547.1</v>
      </c>
      <c r="AE9" s="29">
        <f>-SUMIFS(TB!AK:AK,TB!$J:$J,$C9)</f>
        <v>743.30060000000014</v>
      </c>
      <c r="AF9" s="29">
        <f>-SUMIFS(TB!AL:AL,TB!$J:$J,$C9)</f>
        <v>426.32499999999999</v>
      </c>
      <c r="AG9" s="29">
        <f>-SUMIFS(TB!AM:AM,TB!$J:$J,$C9)</f>
        <v>284.89999999999998</v>
      </c>
      <c r="AH9" s="29">
        <f>-SUMIFS(TB!AN:AN,TB!$J:$J,$C9)</f>
        <v>762.875</v>
      </c>
      <c r="AI9" s="29">
        <f>-SUMIFS(TB!AO:AO,TB!$J:$J,$C9)</f>
        <v>424.4</v>
      </c>
      <c r="AJ9" s="29"/>
      <c r="AK9" s="29">
        <f>SUM(E9:P9)</f>
        <v>7650.396999999999</v>
      </c>
      <c r="AL9" s="29">
        <f>SUM(Q9:AB9)</f>
        <v>6838.7630099999997</v>
      </c>
      <c r="AM9" s="29">
        <f>SUM(X9:AI9)</f>
        <v>7407.1506099999997</v>
      </c>
      <c r="AN9" s="2"/>
      <c r="AO9" s="5">
        <f>IFERROR(AK9/AK$15%,0)</f>
        <v>100.03890723116403</v>
      </c>
      <c r="AP9" s="5">
        <f>IFERROR(AL9/AL$15%,0)</f>
        <v>100.8852935973534</v>
      </c>
      <c r="AQ9" s="5">
        <f>IFERROR(AM9/AM$15%,0)</f>
        <v>100.86793891428917</v>
      </c>
    </row>
    <row r="10" spans="1:43" ht="11.25" hidden="1" customHeight="1" outlineLevel="1" x14ac:dyDescent="0.2">
      <c r="C10" t="s">
        <v>327</v>
      </c>
      <c r="D10" s="4"/>
      <c r="E10" s="2">
        <f>-SUMIFS(TB!K:K,TB!$J:$J,$C10)</f>
        <v>0</v>
      </c>
      <c r="F10" s="2">
        <f>-SUMIFS(TB!L:L,TB!$J:$J,$C10)</f>
        <v>0</v>
      </c>
      <c r="G10" s="2">
        <f>-SUMIFS(TB!M:M,TB!$J:$J,$C10)</f>
        <v>0</v>
      </c>
      <c r="H10" s="2">
        <f>-SUMIFS(TB!N:N,TB!$J:$J,$C10)</f>
        <v>0</v>
      </c>
      <c r="I10" s="2">
        <f>-SUMIFS(TB!O:O,TB!$J:$J,$C10)</f>
        <v>0</v>
      </c>
      <c r="J10" s="2">
        <f>-SUMIFS(TB!P:P,TB!$J:$J,$C10)</f>
        <v>0</v>
      </c>
      <c r="K10" s="2">
        <f>-SUMIFS(TB!Q:Q,TB!$J:$J,$C10)</f>
        <v>0</v>
      </c>
      <c r="L10" s="2">
        <f>-SUMIFS(TB!R:R,TB!$J:$J,$C10)</f>
        <v>0</v>
      </c>
      <c r="M10" s="2">
        <f>-SUMIFS(TB!S:S,TB!$J:$J,$C10)</f>
        <v>0</v>
      </c>
      <c r="N10" s="2">
        <f>-SUMIFS(TB!T:T,TB!$J:$J,$C10)</f>
        <v>0</v>
      </c>
      <c r="O10" s="2">
        <f>-SUMIFS(TB!U:U,TB!$J:$J,$C10)</f>
        <v>0</v>
      </c>
      <c r="P10" s="2">
        <f>-SUMIFS(TB!V:V,TB!$J:$J,$C10)</f>
        <v>1166.1134999999999</v>
      </c>
      <c r="Q10" s="2">
        <f>-SUMIFS(TB!W:W,TB!$J:$J,$C10)</f>
        <v>0</v>
      </c>
      <c r="R10" s="2">
        <f>-SUMIFS(TB!X:X,TB!$J:$J,$C10)</f>
        <v>0</v>
      </c>
      <c r="S10" s="2">
        <f>-SUMIFS(TB!Y:Y,TB!$J:$J,$C10)</f>
        <v>0</v>
      </c>
      <c r="T10" s="2">
        <f>-SUMIFS(TB!Z:Z,TB!$J:$J,$C10)</f>
        <v>0</v>
      </c>
      <c r="U10" s="2">
        <f>-SUMIFS(TB!AA:AA,TB!$J:$J,$C10)</f>
        <v>0</v>
      </c>
      <c r="V10" s="2">
        <f>-SUMIFS(TB!AB:AB,TB!$J:$J,$C10)</f>
        <v>0</v>
      </c>
      <c r="W10" s="2">
        <f>-SUMIFS(TB!AC:AC,TB!$J:$J,$C10)</f>
        <v>0</v>
      </c>
      <c r="X10" s="2">
        <f>-SUMIFS(TB!AD:AD,TB!$J:$J,$C10)</f>
        <v>0</v>
      </c>
      <c r="Y10" s="2">
        <f>-SUMIFS(TB!AE:AE,TB!$J:$J,$C10)</f>
        <v>0</v>
      </c>
      <c r="Z10" s="2">
        <f>-SUMIFS(TB!AF:AF,TB!$J:$J,$C10)</f>
        <v>0</v>
      </c>
      <c r="AA10" s="2">
        <f>-SUMIFS(TB!AG:AG,TB!$J:$J,$C10)</f>
        <v>0</v>
      </c>
      <c r="AB10" s="2">
        <f>-SUMIFS(TB!AH:AH,TB!$J:$J,$C10)</f>
        <v>933.346</v>
      </c>
      <c r="AC10" s="2">
        <f>-SUMIFS(TB!AI:AI,TB!$J:$J,$C10)</f>
        <v>0</v>
      </c>
      <c r="AD10" s="2">
        <f>-SUMIFS(TB!AJ:AJ,TB!$J:$J,$C10)</f>
        <v>0</v>
      </c>
      <c r="AE10" s="2">
        <f>-SUMIFS(TB!AK:AK,TB!$J:$J,$C10)</f>
        <v>0</v>
      </c>
      <c r="AF10" s="2">
        <f>-SUMIFS(TB!AL:AL,TB!$J:$J,$C10)</f>
        <v>0</v>
      </c>
      <c r="AG10" s="2">
        <f>-SUMIFS(TB!AM:AM,TB!$J:$J,$C10)</f>
        <v>0</v>
      </c>
      <c r="AH10" s="2">
        <f>-SUMIFS(TB!AN:AN,TB!$J:$J,$C10)</f>
        <v>0</v>
      </c>
      <c r="AI10" s="2">
        <f>-SUMIFS(TB!AO:AO,TB!$J:$J,$C10)</f>
        <v>0</v>
      </c>
      <c r="AJ10" s="2"/>
      <c r="AK10" s="2">
        <f>SUM(E10:P10)</f>
        <v>1166.1134999999999</v>
      </c>
      <c r="AL10" s="2">
        <f>SUM(Q10:AB10)</f>
        <v>933.346</v>
      </c>
      <c r="AM10" s="2">
        <f>SUM(X10:AI10)</f>
        <v>933.346</v>
      </c>
      <c r="AN10" s="2"/>
      <c r="AO10" s="5">
        <f>IFERROR(AK10/AK$15%,0)</f>
        <v>15.248453151844018</v>
      </c>
      <c r="AP10" s="5">
        <f>IFERROR(AL10/AL$15%,0)</f>
        <v>13.768701313414194</v>
      </c>
      <c r="AQ10" s="5">
        <f>IFERROR(AM10/AM$15%,0)</f>
        <v>12.709973412285745</v>
      </c>
    </row>
    <row r="11" spans="1:43" ht="11.25" hidden="1" customHeight="1" outlineLevel="1" x14ac:dyDescent="0.2">
      <c r="C11" t="s">
        <v>326</v>
      </c>
      <c r="D11" s="4"/>
      <c r="E11" s="2">
        <f>-SUMIFS(TB!K:K,TB!$J:$J,$C11)</f>
        <v>0</v>
      </c>
      <c r="F11" s="2">
        <f>-SUMIFS(TB!L:L,TB!$J:$J,$C11)</f>
        <v>0</v>
      </c>
      <c r="G11" s="2">
        <f>-SUMIFS(TB!M:M,TB!$J:$J,$C11)</f>
        <v>1.8</v>
      </c>
      <c r="H11" s="2">
        <f>-SUMIFS(TB!N:N,TB!$J:$J,$C11)</f>
        <v>-1.8</v>
      </c>
      <c r="I11" s="2">
        <f>-SUMIFS(TB!O:O,TB!$J:$J,$C11)</f>
        <v>0</v>
      </c>
      <c r="J11" s="2">
        <f>-SUMIFS(TB!P:P,TB!$J:$J,$C11)</f>
        <v>0</v>
      </c>
      <c r="K11" s="2">
        <f>-SUMIFS(TB!Q:Q,TB!$J:$J,$C11)</f>
        <v>0</v>
      </c>
      <c r="L11" s="2">
        <f>-SUMIFS(TB!R:R,TB!$J:$J,$C11)</f>
        <v>0</v>
      </c>
      <c r="M11" s="2">
        <f>-SUMIFS(TB!S:S,TB!$J:$J,$C11)</f>
        <v>0</v>
      </c>
      <c r="N11" s="2">
        <f>-SUMIFS(TB!T:T,TB!$J:$J,$C11)</f>
        <v>3.6</v>
      </c>
      <c r="O11" s="2">
        <f>-SUMIFS(TB!U:U,TB!$J:$J,$C11)</f>
        <v>0</v>
      </c>
      <c r="P11" s="2">
        <f>-SUMIFS(TB!V:V,TB!$J:$J,$C11)</f>
        <v>0</v>
      </c>
      <c r="Q11" s="2">
        <f>-SUMIFS(TB!W:W,TB!$J:$J,$C11)</f>
        <v>0</v>
      </c>
      <c r="R11" s="2">
        <f>-SUMIFS(TB!X:X,TB!$J:$J,$C11)</f>
        <v>0</v>
      </c>
      <c r="S11" s="2">
        <f>-SUMIFS(TB!Y:Y,TB!$J:$J,$C11)</f>
        <v>0</v>
      </c>
      <c r="T11" s="2">
        <f>-SUMIFS(TB!Z:Z,TB!$J:$J,$C11)</f>
        <v>0</v>
      </c>
      <c r="U11" s="2">
        <f>-SUMIFS(TB!AA:AA,TB!$J:$J,$C11)</f>
        <v>0</v>
      </c>
      <c r="V11" s="2">
        <f>-SUMIFS(TB!AB:AB,TB!$J:$J,$C11)</f>
        <v>0</v>
      </c>
      <c r="W11" s="2">
        <f>-SUMIFS(TB!AC:AC,TB!$J:$J,$C11)</f>
        <v>0</v>
      </c>
      <c r="X11" s="2">
        <f>-SUMIFS(TB!AD:AD,TB!$J:$J,$C11)</f>
        <v>0</v>
      </c>
      <c r="Y11" s="2">
        <f>-SUMIFS(TB!AE:AE,TB!$J:$J,$C11)</f>
        <v>0</v>
      </c>
      <c r="Z11" s="2">
        <f>-SUMIFS(TB!AF:AF,TB!$J:$J,$C11)</f>
        <v>0</v>
      </c>
      <c r="AA11" s="2">
        <f>-SUMIFS(TB!AG:AG,TB!$J:$J,$C11)</f>
        <v>-29</v>
      </c>
      <c r="AB11" s="2">
        <f>-SUMIFS(TB!AH:AH,TB!$J:$J,$C11)</f>
        <v>0</v>
      </c>
      <c r="AC11" s="2">
        <f>-SUMIFS(TB!AI:AI,TB!$J:$J,$C11)</f>
        <v>0</v>
      </c>
      <c r="AD11" s="2">
        <f>-SUMIFS(TB!AJ:AJ,TB!$J:$J,$C11)</f>
        <v>0</v>
      </c>
      <c r="AE11" s="2">
        <f>-SUMIFS(TB!AK:AK,TB!$J:$J,$C11)</f>
        <v>0</v>
      </c>
      <c r="AF11" s="2">
        <f>-SUMIFS(TB!AL:AL,TB!$J:$J,$C11)</f>
        <v>0</v>
      </c>
      <c r="AG11" s="2">
        <f>-SUMIFS(TB!AM:AM,TB!$J:$J,$C11)</f>
        <v>0</v>
      </c>
      <c r="AH11" s="2">
        <f>-SUMIFS(TB!AN:AN,TB!$J:$J,$C11)</f>
        <v>0</v>
      </c>
      <c r="AI11" s="2">
        <f>-SUMIFS(TB!AO:AO,TB!$J:$J,$C11)</f>
        <v>0</v>
      </c>
      <c r="AJ11" s="2"/>
      <c r="AK11" s="2">
        <f>SUM(E11:P11)</f>
        <v>3.6</v>
      </c>
      <c r="AL11" s="2">
        <f>SUM(Q11:AB11)</f>
        <v>-29</v>
      </c>
      <c r="AM11" s="2">
        <f>SUM(X11:AI11)</f>
        <v>-29</v>
      </c>
      <c r="AN11" s="2"/>
      <c r="AO11" s="5">
        <f>IFERROR(AK11/AK$15%,0)</f>
        <v>4.7074689853636428E-2</v>
      </c>
      <c r="AP11" s="5">
        <f>IFERROR(AL11/AL$15%,0)</f>
        <v>-0.42780741342333028</v>
      </c>
      <c r="AQ11" s="5">
        <f>IFERROR(AM11/AM$15%,0)</f>
        <v>-0.39491167150905088</v>
      </c>
    </row>
    <row r="12" spans="1:43" ht="11.25" hidden="1" customHeight="1" outlineLevel="1" x14ac:dyDescent="0.2">
      <c r="C12" t="s">
        <v>325</v>
      </c>
      <c r="D12" s="4"/>
      <c r="E12" s="2">
        <f>-SUMIFS(TB!K:K,TB!$J:$J,$C12)</f>
        <v>-2.573</v>
      </c>
      <c r="F12" s="2">
        <f>-SUMIFS(TB!L:L,TB!$J:$J,$C12)</f>
        <v>-3.2065000000000001</v>
      </c>
      <c r="G12" s="2">
        <f>-SUMIFS(TB!M:M,TB!$J:$J,$C12)</f>
        <v>-6.98</v>
      </c>
      <c r="H12" s="2">
        <f>-SUMIFS(TB!N:N,TB!$J:$J,$C12)</f>
        <v>-5.0949999999999998</v>
      </c>
      <c r="I12" s="2">
        <f>-SUMIFS(TB!O:O,TB!$J:$J,$C12)</f>
        <v>-3.8279999999999998</v>
      </c>
      <c r="J12" s="2">
        <f>-SUMIFS(TB!P:P,TB!$J:$J,$C12)</f>
        <v>-3.5190000000000001</v>
      </c>
      <c r="K12" s="2">
        <f>-SUMIFS(TB!Q:Q,TB!$J:$J,$C12)</f>
        <v>-1.3069999999999999</v>
      </c>
      <c r="L12" s="2">
        <f>-SUMIFS(TB!R:R,TB!$J:$J,$C12)</f>
        <v>-2.9155000000000002</v>
      </c>
      <c r="M12" s="2">
        <f>-SUMIFS(TB!S:S,TB!$J:$J,$C12)</f>
        <v>-14.224</v>
      </c>
      <c r="N12" s="2">
        <f>-SUMIFS(TB!T:T,TB!$J:$J,$C12)</f>
        <v>-0.99850000000000005</v>
      </c>
      <c r="O12" s="2">
        <f>-SUMIFS(TB!U:U,TB!$J:$J,$C12)</f>
        <v>-8.1019000000000023</v>
      </c>
      <c r="P12" s="2">
        <f>-SUMIFS(TB!V:V,TB!$J:$J,$C12)</f>
        <v>-7.3564999999999996</v>
      </c>
      <c r="Q12" s="2">
        <f>-SUMIFS(TB!W:W,TB!$J:$J,$C12)</f>
        <v>-1.1060000000000001</v>
      </c>
      <c r="R12" s="2">
        <f>-SUMIFS(TB!X:X,TB!$J:$J,$C12)</f>
        <v>-0.22500000000000001</v>
      </c>
      <c r="S12" s="2">
        <f>-SUMIFS(TB!Y:Y,TB!$J:$J,$C12)</f>
        <v>-2.04</v>
      </c>
      <c r="T12" s="2">
        <f>-SUMIFS(TB!Z:Z,TB!$J:$J,$C12)</f>
        <v>-4.3410000000000002</v>
      </c>
      <c r="U12" s="2">
        <f>-SUMIFS(TB!AA:AA,TB!$J:$J,$C12)</f>
        <v>-2.5710000000000002</v>
      </c>
      <c r="V12" s="2">
        <f>-SUMIFS(TB!AB:AB,TB!$J:$J,$C12)</f>
        <v>-1.696</v>
      </c>
      <c r="W12" s="2">
        <f>-SUMIFS(TB!AC:AC,TB!$J:$J,$C12)</f>
        <v>-0.98599999999999999</v>
      </c>
      <c r="X12" s="2">
        <f>-SUMIFS(TB!AD:AD,TB!$J:$J,$C12)</f>
        <v>-9.0730000000000004</v>
      </c>
      <c r="Y12" s="2">
        <f>-SUMIFS(TB!AE:AE,TB!$J:$J,$C12)</f>
        <v>-4.8548600000000004</v>
      </c>
      <c r="Z12" s="2">
        <f>-SUMIFS(TB!AF:AF,TB!$J:$J,$C12)</f>
        <v>-1.873989999999998</v>
      </c>
      <c r="AA12" s="2">
        <f>-SUMIFS(TB!AG:AG,TB!$J:$J,$C12)</f>
        <v>-10.420999999999999</v>
      </c>
      <c r="AB12" s="2">
        <f>-SUMIFS(TB!AH:AH,TB!$J:$J,$C12)</f>
        <v>0</v>
      </c>
      <c r="AC12" s="2">
        <f>-SUMIFS(TB!AI:AI,TB!$J:$J,$C12)</f>
        <v>-1.3520000000000001</v>
      </c>
      <c r="AD12" s="2">
        <f>-SUMIFS(TB!AJ:AJ,TB!$J:$J,$C12)</f>
        <v>-3.4929999999999999</v>
      </c>
      <c r="AE12" s="2">
        <f>-SUMIFS(TB!AK:AK,TB!$J:$J,$C12)</f>
        <v>-6.7355</v>
      </c>
      <c r="AF12" s="2">
        <f>-SUMIFS(TB!AL:AL,TB!$J:$J,$C12)</f>
        <v>-0.67800000000000005</v>
      </c>
      <c r="AG12" s="2">
        <f>-SUMIFS(TB!AM:AM,TB!$J:$J,$C12)</f>
        <v>-0.71</v>
      </c>
      <c r="AH12" s="2">
        <f>-SUMIFS(TB!AN:AN,TB!$J:$J,$C12)</f>
        <v>-2.5089999999999999</v>
      </c>
      <c r="AI12" s="2">
        <f>-SUMIFS(TB!AO:AO,TB!$J:$J,$C12)</f>
        <v>-1.212</v>
      </c>
      <c r="AJ12" s="2"/>
      <c r="AK12" s="2">
        <f>SUM(E12:P12)</f>
        <v>-60.104900000000001</v>
      </c>
      <c r="AL12" s="2">
        <f>SUM(Q12:AB12)</f>
        <v>-39.187850000000005</v>
      </c>
      <c r="AM12" s="2">
        <f>SUM(X12:AI12)</f>
        <v>-42.912349999999996</v>
      </c>
      <c r="AN12" s="2"/>
      <c r="AO12" s="5">
        <f>IFERROR(AK12/AK$15%,0)</f>
        <v>-0.78594986838439784</v>
      </c>
      <c r="AP12" s="5">
        <f>IFERROR(AL12/AL$15%,0)</f>
        <v>-0.57809837055591229</v>
      </c>
      <c r="AQ12" s="5">
        <f>IFERROR(AM12/AM$15%,0)</f>
        <v>-0.58436509885797994</v>
      </c>
    </row>
    <row r="13" spans="1:43" ht="11.25" hidden="1" customHeight="1" outlineLevel="1" x14ac:dyDescent="0.2">
      <c r="C13" s="17" t="s">
        <v>324</v>
      </c>
      <c r="D13" s="15"/>
      <c r="E13" s="14">
        <f>-SUMIFS(TB!K:K,TB!$J:$J,$C13)</f>
        <v>0</v>
      </c>
      <c r="F13" s="14">
        <f>-SUMIFS(TB!L:L,TB!$J:$J,$C13)</f>
        <v>0</v>
      </c>
      <c r="G13" s="14">
        <f>-SUMIFS(TB!M:M,TB!$J:$J,$C13)</f>
        <v>0</v>
      </c>
      <c r="H13" s="14">
        <f>-SUMIFS(TB!N:N,TB!$J:$J,$C13)</f>
        <v>0</v>
      </c>
      <c r="I13" s="14">
        <f>-SUMIFS(TB!O:O,TB!$J:$J,$C13)</f>
        <v>0</v>
      </c>
      <c r="J13" s="14">
        <f>-SUMIFS(TB!P:P,TB!$J:$J,$C13)</f>
        <v>0</v>
      </c>
      <c r="K13" s="14">
        <f>-SUMIFS(TB!Q:Q,TB!$J:$J,$C13)</f>
        <v>0</v>
      </c>
      <c r="L13" s="14">
        <f>-SUMIFS(TB!R:R,TB!$J:$J,$C13)</f>
        <v>0</v>
      </c>
      <c r="M13" s="14">
        <f>-SUMIFS(TB!S:S,TB!$J:$J,$C13)</f>
        <v>0</v>
      </c>
      <c r="N13" s="14">
        <f>-SUMIFS(TB!T:T,TB!$J:$J,$C13)</f>
        <v>0</v>
      </c>
      <c r="O13" s="14">
        <f>-SUMIFS(TB!U:U,TB!$J:$J,$C13)</f>
        <v>0</v>
      </c>
      <c r="P13" s="14">
        <f>-SUMIFS(TB!V:V,TB!$J:$J,$C13)</f>
        <v>-1112.5840000000001</v>
      </c>
      <c r="Q13" s="14">
        <f>-SUMIFS(TB!W:W,TB!$J:$J,$C13)</f>
        <v>0</v>
      </c>
      <c r="R13" s="14">
        <f>-SUMIFS(TB!X:X,TB!$J:$J,$C13)</f>
        <v>0</v>
      </c>
      <c r="S13" s="14">
        <f>-SUMIFS(TB!Y:Y,TB!$J:$J,$C13)</f>
        <v>0</v>
      </c>
      <c r="T13" s="14">
        <f>-SUMIFS(TB!Z:Z,TB!$J:$J,$C13)</f>
        <v>0</v>
      </c>
      <c r="U13" s="14">
        <f>-SUMIFS(TB!AA:AA,TB!$J:$J,$C13)</f>
        <v>0</v>
      </c>
      <c r="V13" s="14">
        <f>-SUMIFS(TB!AB:AB,TB!$J:$J,$C13)</f>
        <v>0</v>
      </c>
      <c r="W13" s="14">
        <f>-SUMIFS(TB!AC:AC,TB!$J:$J,$C13)</f>
        <v>0</v>
      </c>
      <c r="X13" s="14">
        <f>-SUMIFS(TB!AD:AD,TB!$J:$J,$C13)</f>
        <v>0</v>
      </c>
      <c r="Y13" s="14">
        <f>-SUMIFS(TB!AE:AE,TB!$J:$J,$C13)</f>
        <v>0</v>
      </c>
      <c r="Z13" s="14">
        <f>-SUMIFS(TB!AF:AF,TB!$J:$J,$C13)</f>
        <v>0</v>
      </c>
      <c r="AA13" s="14">
        <f>-SUMIFS(TB!AG:AG,TB!$J:$J,$C13)</f>
        <v>0</v>
      </c>
      <c r="AB13" s="14">
        <f>-SUMIFS(TB!AH:AH,TB!$J:$J,$C13)</f>
        <v>-925.17</v>
      </c>
      <c r="AC13" s="14">
        <f>-SUMIFS(TB!AI:AI,TB!$J:$J,$C13)</f>
        <v>0</v>
      </c>
      <c r="AD13" s="14">
        <f>-SUMIFS(TB!AJ:AJ,TB!$J:$J,$C13)</f>
        <v>0</v>
      </c>
      <c r="AE13" s="14">
        <f>-SUMIFS(TB!AK:AK,TB!$J:$J,$C13)</f>
        <v>0</v>
      </c>
      <c r="AF13" s="14">
        <f>-SUMIFS(TB!AL:AL,TB!$J:$J,$C13)</f>
        <v>0</v>
      </c>
      <c r="AG13" s="14">
        <f>-SUMIFS(TB!AM:AM,TB!$J:$J,$C13)</f>
        <v>0</v>
      </c>
      <c r="AH13" s="14">
        <f>-SUMIFS(TB!AN:AN,TB!$J:$J,$C13)</f>
        <v>0</v>
      </c>
      <c r="AI13" s="14">
        <f>-SUMIFS(TB!AO:AO,TB!$J:$J,$C13)</f>
        <v>0</v>
      </c>
      <c r="AJ13" s="14"/>
      <c r="AK13" s="14">
        <f>SUM(E13:P13)</f>
        <v>-1112.5840000000001</v>
      </c>
      <c r="AL13" s="14">
        <f>SUM(Q13:AB13)</f>
        <v>-925.17</v>
      </c>
      <c r="AM13" s="14">
        <f>SUM(X13:AI13)</f>
        <v>-925.17</v>
      </c>
      <c r="AN13" s="14"/>
      <c r="AO13" s="13">
        <f>IFERROR(AK13/AK$15%,0)</f>
        <v>-14.548485204477288</v>
      </c>
      <c r="AP13" s="13">
        <f>IFERROR(AL13/AL$15%,0)</f>
        <v>-13.648089126788362</v>
      </c>
      <c r="AQ13" s="13">
        <f>IFERROR(AM13/AM$15%,0)</f>
        <v>-12.598635556207883</v>
      </c>
    </row>
    <row r="14" spans="1:43" ht="11.25" customHeight="1" collapsed="1" x14ac:dyDescent="0.2">
      <c r="C14" s="81" t="s">
        <v>29</v>
      </c>
      <c r="D14" s="80"/>
      <c r="E14" s="79">
        <f>SUM(E9:E13)</f>
        <v>193.12699999999998</v>
      </c>
      <c r="F14" s="79">
        <f>SUM(F9:F13)</f>
        <v>429.44349999999997</v>
      </c>
      <c r="G14" s="79">
        <f>SUM(G9:G13)</f>
        <v>731.81499999999994</v>
      </c>
      <c r="H14" s="79">
        <f>SUM(H9:H13)</f>
        <v>430.35499999999996</v>
      </c>
      <c r="I14" s="79">
        <f>SUM(I9:I13)</f>
        <v>623.42899999999997</v>
      </c>
      <c r="J14" s="79">
        <f>SUM(J9:J13)</f>
        <v>480.83100000000002</v>
      </c>
      <c r="K14" s="79">
        <f>SUM(K9:K13)</f>
        <v>688.46799999999996</v>
      </c>
      <c r="L14" s="79">
        <f>SUM(L9:L13)</f>
        <v>1267.3995</v>
      </c>
      <c r="M14" s="79">
        <f>SUM(M9:M13)</f>
        <v>1276.1760000000002</v>
      </c>
      <c r="N14" s="79">
        <f>SUM(N9:N13)</f>
        <v>238.70149999999998</v>
      </c>
      <c r="O14" s="79">
        <f>SUM(O9:O13)</f>
        <v>550.8931</v>
      </c>
      <c r="P14" s="79">
        <f>SUM(P9:P13)</f>
        <v>736.7829999999999</v>
      </c>
      <c r="Q14" s="79">
        <f>SUM(Q9:Q13)</f>
        <v>422.04399999999998</v>
      </c>
      <c r="R14" s="79">
        <f>SUM(R9:R13)</f>
        <v>525.65</v>
      </c>
      <c r="S14" s="79">
        <f>SUM(S9:S13)</f>
        <v>371.34799999999996</v>
      </c>
      <c r="T14" s="79">
        <f>SUM(T9:T13)</f>
        <v>381.63400000000001</v>
      </c>
      <c r="U14" s="79">
        <f>SUM(U9:U13)</f>
        <v>537.17899999999997</v>
      </c>
      <c r="V14" s="79">
        <f>SUM(V9:V13)</f>
        <v>356.904</v>
      </c>
      <c r="W14" s="79">
        <f>SUM(W9:W13)</f>
        <v>365.61400000000003</v>
      </c>
      <c r="X14" s="79">
        <f>SUM(X9:X13)</f>
        <v>1132.4019999999998</v>
      </c>
      <c r="Y14" s="79">
        <f>SUM(Y9:Y13)</f>
        <v>1135.1701400000002</v>
      </c>
      <c r="Z14" s="79">
        <f>SUM(Z9:Z13)</f>
        <v>329.65100999999999</v>
      </c>
      <c r="AA14" s="79">
        <f>SUM(AA9:AA13)</f>
        <v>807.92899999999997</v>
      </c>
      <c r="AB14" s="79">
        <f>SUM(AB9:AB13)</f>
        <v>413.22600999999975</v>
      </c>
      <c r="AC14" s="79">
        <f>SUM(AC9:AC13)</f>
        <v>351.47300000000001</v>
      </c>
      <c r="AD14" s="79">
        <f>SUM(AD9:AD13)</f>
        <v>543.60699999999997</v>
      </c>
      <c r="AE14" s="79">
        <f>SUM(AE9:AE13)</f>
        <v>736.56510000000014</v>
      </c>
      <c r="AF14" s="79">
        <f>SUM(AF9:AF13)</f>
        <v>425.64699999999999</v>
      </c>
      <c r="AG14" s="79">
        <f>SUM(AG9:AG13)</f>
        <v>284.19</v>
      </c>
      <c r="AH14" s="79">
        <f>SUM(AH9:AH13)</f>
        <v>760.36599999999999</v>
      </c>
      <c r="AI14" s="79">
        <f>SUM(AI9:AI13)</f>
        <v>423.18799999999999</v>
      </c>
      <c r="AJ14" s="79"/>
      <c r="AK14" s="79">
        <f>SUM(AK9:AK13)</f>
        <v>7647.4215999999988</v>
      </c>
      <c r="AL14" s="79">
        <f>SUM(AL9:AL13)</f>
        <v>6778.7511599999998</v>
      </c>
      <c r="AM14" s="79">
        <f>SUM(AM9:AM13)</f>
        <v>7343.4142599999996</v>
      </c>
      <c r="AN14" s="78"/>
      <c r="AO14" s="77">
        <f>IFERROR(AK14/AK$15%,0)</f>
        <v>100</v>
      </c>
      <c r="AP14" s="77">
        <f>IFERROR(AL14/AL$15%,0)</f>
        <v>100</v>
      </c>
      <c r="AQ14" s="77">
        <f>IFERROR(AM14/AM$15%,0)</f>
        <v>99.999999999999986</v>
      </c>
    </row>
    <row r="15" spans="1:43" ht="11.25" customHeight="1" x14ac:dyDescent="0.2">
      <c r="C15" t="s">
        <v>28</v>
      </c>
      <c r="D15" s="4"/>
      <c r="E15" s="29">
        <f>SUM(E14)</f>
        <v>193.12699999999998</v>
      </c>
      <c r="F15" s="29">
        <f>SUM(F14)</f>
        <v>429.44349999999997</v>
      </c>
      <c r="G15" s="29">
        <f>SUM(G14)</f>
        <v>731.81499999999994</v>
      </c>
      <c r="H15" s="29">
        <f>SUM(H14)</f>
        <v>430.35499999999996</v>
      </c>
      <c r="I15" s="29">
        <f>SUM(I14)</f>
        <v>623.42899999999997</v>
      </c>
      <c r="J15" s="29">
        <f>SUM(J14)</f>
        <v>480.83100000000002</v>
      </c>
      <c r="K15" s="29">
        <f>SUM(K14)</f>
        <v>688.46799999999996</v>
      </c>
      <c r="L15" s="29">
        <f>SUM(L14)</f>
        <v>1267.3995</v>
      </c>
      <c r="M15" s="29">
        <f>SUM(M14)</f>
        <v>1276.1760000000002</v>
      </c>
      <c r="N15" s="29">
        <f>SUM(N14)</f>
        <v>238.70149999999998</v>
      </c>
      <c r="O15" s="29">
        <f>SUM(O14)</f>
        <v>550.8931</v>
      </c>
      <c r="P15" s="29">
        <f>SUM(P14)</f>
        <v>736.7829999999999</v>
      </c>
      <c r="Q15" s="29">
        <f>SUM(Q14)</f>
        <v>422.04399999999998</v>
      </c>
      <c r="R15" s="29">
        <f>SUM(R14)</f>
        <v>525.65</v>
      </c>
      <c r="S15" s="29">
        <f>SUM(S14)</f>
        <v>371.34799999999996</v>
      </c>
      <c r="T15" s="29">
        <f>SUM(T14)</f>
        <v>381.63400000000001</v>
      </c>
      <c r="U15" s="29">
        <f>SUM(U14)</f>
        <v>537.17899999999997</v>
      </c>
      <c r="V15" s="29">
        <f>SUM(V14)</f>
        <v>356.904</v>
      </c>
      <c r="W15" s="29">
        <f>SUM(W14)</f>
        <v>365.61400000000003</v>
      </c>
      <c r="X15" s="29">
        <f>SUM(X14)</f>
        <v>1132.4019999999998</v>
      </c>
      <c r="Y15" s="29">
        <f>SUM(Y14)</f>
        <v>1135.1701400000002</v>
      </c>
      <c r="Z15" s="29">
        <f>SUM(Z14)</f>
        <v>329.65100999999999</v>
      </c>
      <c r="AA15" s="29">
        <f>SUM(AA14)</f>
        <v>807.92899999999997</v>
      </c>
      <c r="AB15" s="29">
        <f>SUM(AB14)</f>
        <v>413.22600999999975</v>
      </c>
      <c r="AC15" s="29">
        <f>SUM(AC14)</f>
        <v>351.47300000000001</v>
      </c>
      <c r="AD15" s="29">
        <f>SUM(AD14)</f>
        <v>543.60699999999997</v>
      </c>
      <c r="AE15" s="29">
        <f>SUM(AE14)</f>
        <v>736.56510000000014</v>
      </c>
      <c r="AF15" s="29">
        <f>SUM(AF14)</f>
        <v>425.64699999999999</v>
      </c>
      <c r="AG15" s="29">
        <f>SUM(AG14)</f>
        <v>284.19</v>
      </c>
      <c r="AH15" s="29">
        <f>SUM(AH14)</f>
        <v>760.36599999999999</v>
      </c>
      <c r="AI15" s="29">
        <f>SUM(AI14)</f>
        <v>423.18799999999999</v>
      </c>
      <c r="AJ15" s="29"/>
      <c r="AK15" s="29">
        <f>SUM(AK14)</f>
        <v>7647.4215999999988</v>
      </c>
      <c r="AL15" s="29">
        <f>SUM(AL14)</f>
        <v>6778.7511599999998</v>
      </c>
      <c r="AM15" s="29">
        <f>SUM(AM14)</f>
        <v>7343.4142599999996</v>
      </c>
      <c r="AN15" s="2"/>
      <c r="AO15" s="5">
        <f>IFERROR(AK15/AK$15%,0)</f>
        <v>100</v>
      </c>
      <c r="AP15" s="5">
        <f>IFERROR(AL15/AL$15%,0)</f>
        <v>100</v>
      </c>
      <c r="AQ15" s="5">
        <f>IFERROR(AM15/AM$15%,0)</f>
        <v>99.999999999999986</v>
      </c>
    </row>
    <row r="16" spans="1:43" ht="6" customHeight="1" x14ac:dyDescent="0.2">
      <c r="D16" s="4"/>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3"/>
      <c r="AP16" s="23"/>
      <c r="AQ16" s="23"/>
    </row>
    <row r="17" spans="3:43" ht="11.25" customHeight="1" x14ac:dyDescent="0.2">
      <c r="C17" s="7" t="s">
        <v>27</v>
      </c>
      <c r="D17" s="4"/>
      <c r="E17" s="22" t="s">
        <v>26</v>
      </c>
      <c r="F17" s="22" t="s">
        <v>26</v>
      </c>
      <c r="G17" s="22" t="s">
        <v>26</v>
      </c>
      <c r="H17" s="22" t="s">
        <v>26</v>
      </c>
      <c r="I17" s="22" t="s">
        <v>26</v>
      </c>
      <c r="J17" s="22" t="s">
        <v>26</v>
      </c>
      <c r="K17" s="22" t="s">
        <v>26</v>
      </c>
      <c r="L17" s="22" t="s">
        <v>26</v>
      </c>
      <c r="M17" s="22" t="s">
        <v>26</v>
      </c>
      <c r="N17" s="22" t="s">
        <v>26</v>
      </c>
      <c r="O17" s="22" t="s">
        <v>26</v>
      </c>
      <c r="P17" s="22" t="s">
        <v>26</v>
      </c>
      <c r="Q17" s="5">
        <f>IFERROR(Q15/E15%-100,0)</f>
        <v>118.53184691938466</v>
      </c>
      <c r="R17" s="5">
        <f>IFERROR(R15/F15%-100,0)</f>
        <v>22.402597780616077</v>
      </c>
      <c r="S17" s="5">
        <f>IFERROR(S15/G15%-100,0)</f>
        <v>-49.256574407466367</v>
      </c>
      <c r="T17" s="5">
        <f>IFERROR(T15/H15%-100,0)</f>
        <v>-11.321118611378964</v>
      </c>
      <c r="U17" s="5">
        <f>IFERROR(U15/I15%-100,0)</f>
        <v>-13.834775090667904</v>
      </c>
      <c r="V17" s="5">
        <f>IFERROR(V15/J15%-100,0)</f>
        <v>-25.773504620126417</v>
      </c>
      <c r="W17" s="5">
        <f>IFERROR(W15/K15%-100,0)</f>
        <v>-46.894554285747475</v>
      </c>
      <c r="X17" s="5">
        <f>IFERROR(X15/L15%-100,0)</f>
        <v>-10.651534894877273</v>
      </c>
      <c r="Y17" s="5">
        <f>IFERROR(Y15/M15%-100,0)</f>
        <v>-11.04909197477464</v>
      </c>
      <c r="Z17" s="5">
        <f>IFERROR(Z15/N15%-100,0)</f>
        <v>38.101775648665807</v>
      </c>
      <c r="AA17" s="5">
        <f>IFERROR(AA15/O15%-100,0)</f>
        <v>46.658035833086302</v>
      </c>
      <c r="AB17" s="5">
        <f>IFERROR(AB15/P15%-100,0)</f>
        <v>-43.914828382305259</v>
      </c>
      <c r="AC17" s="5">
        <f>IFERROR(AC15/Q15%-100,0)</f>
        <v>-16.721242334922422</v>
      </c>
      <c r="AD17" s="5">
        <f>IFERROR(AD15/R15%-100,0)</f>
        <v>3.4161514315609196</v>
      </c>
      <c r="AE17" s="5">
        <f>IFERROR(AE15/S15%-100,0)</f>
        <v>98.349014940164011</v>
      </c>
      <c r="AF17" s="5">
        <f>IFERROR(AF15/T15%-100,0)</f>
        <v>11.532777477897667</v>
      </c>
      <c r="AG17" s="5">
        <f>IFERROR(AG15/U15%-100,0)</f>
        <v>-47.095847008166736</v>
      </c>
      <c r="AH17" s="5">
        <f>IFERROR(AH15/V15%-100,0)</f>
        <v>113.04496447223903</v>
      </c>
      <c r="AI17" s="5">
        <f>IFERROR(AI15/W15%-100,0)</f>
        <v>15.747208804914465</v>
      </c>
      <c r="AJ17" s="2"/>
      <c r="AK17" s="22" t="s">
        <v>26</v>
      </c>
      <c r="AL17" s="5">
        <f>IFERROR(AL15/AK15%-100,0)</f>
        <v>-11.358997652228283</v>
      </c>
      <c r="AM17" s="5">
        <f>IFERROR(AM15/SUM(L15:W15)%-100,0)</f>
        <v>4.4533945587531036</v>
      </c>
      <c r="AN17" s="2"/>
      <c r="AO17" s="5"/>
      <c r="AP17" s="5"/>
      <c r="AQ17" s="5"/>
    </row>
    <row r="18" spans="3:43" ht="6" customHeight="1" x14ac:dyDescent="0.2">
      <c r="C18" s="7"/>
      <c r="D18" s="4"/>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2"/>
      <c r="AK18" s="5"/>
      <c r="AL18" s="5"/>
      <c r="AM18" s="5"/>
      <c r="AN18" s="2"/>
      <c r="AO18" s="5"/>
      <c r="AP18" s="5"/>
      <c r="AQ18" s="5"/>
    </row>
    <row r="19" spans="3:43" ht="11.25" customHeight="1" x14ac:dyDescent="0.2">
      <c r="C19" s="17" t="s">
        <v>25</v>
      </c>
      <c r="D19" s="15"/>
      <c r="E19" s="14">
        <v>0</v>
      </c>
      <c r="F19" s="14">
        <v>0</v>
      </c>
      <c r="G19" s="14">
        <v>0</v>
      </c>
      <c r="H19" s="14">
        <v>0</v>
      </c>
      <c r="I19" s="14">
        <v>0</v>
      </c>
      <c r="J19" s="14">
        <v>0</v>
      </c>
      <c r="K19" s="14">
        <v>0</v>
      </c>
      <c r="L19" s="14">
        <v>0</v>
      </c>
      <c r="M19" s="14">
        <v>0</v>
      </c>
      <c r="N19" s="14">
        <v>0</v>
      </c>
      <c r="O19" s="14">
        <v>0</v>
      </c>
      <c r="P19" s="14">
        <v>0</v>
      </c>
      <c r="Q19" s="14">
        <v>0</v>
      </c>
      <c r="R19" s="14">
        <v>0</v>
      </c>
      <c r="S19" s="14">
        <v>0</v>
      </c>
      <c r="T19" s="14">
        <v>0</v>
      </c>
      <c r="U19" s="14">
        <v>0</v>
      </c>
      <c r="V19" s="14">
        <v>0</v>
      </c>
      <c r="W19" s="14">
        <v>0</v>
      </c>
      <c r="X19" s="14">
        <v>0</v>
      </c>
      <c r="Y19" s="14">
        <v>0</v>
      </c>
      <c r="Z19" s="14">
        <v>0</v>
      </c>
      <c r="AA19" s="14">
        <v>0</v>
      </c>
      <c r="AB19" s="14">
        <v>0</v>
      </c>
      <c r="AC19" s="14">
        <v>0</v>
      </c>
      <c r="AD19" s="14">
        <v>0</v>
      </c>
      <c r="AE19" s="14">
        <v>0</v>
      </c>
      <c r="AF19" s="14">
        <v>0</v>
      </c>
      <c r="AG19" s="14">
        <v>0</v>
      </c>
      <c r="AH19" s="14">
        <v>0</v>
      </c>
      <c r="AI19" s="14">
        <v>0</v>
      </c>
      <c r="AJ19" s="14"/>
      <c r="AK19" s="14">
        <f>SUM(E19:P19)</f>
        <v>0</v>
      </c>
      <c r="AL19" s="14">
        <f>SUM(Q19:AB19)</f>
        <v>0</v>
      </c>
      <c r="AM19" s="14">
        <f>SUM(X19:AI19)</f>
        <v>0</v>
      </c>
      <c r="AN19" s="14"/>
      <c r="AO19" s="13">
        <f>IFERROR(AK19/AK$15%,0)</f>
        <v>0</v>
      </c>
      <c r="AP19" s="13">
        <f>IFERROR(AL19/AL$15%,0)</f>
        <v>0</v>
      </c>
      <c r="AQ19" s="13">
        <f>IFERROR(AM19/AM$15%,0)</f>
        <v>0</v>
      </c>
    </row>
    <row r="20" spans="3:43" ht="11.25" customHeight="1" x14ac:dyDescent="0.25">
      <c r="C20" s="21" t="s">
        <v>4</v>
      </c>
      <c r="D20" s="20"/>
      <c r="E20" s="19">
        <f>E15-E19</f>
        <v>193.12699999999998</v>
      </c>
      <c r="F20" s="19">
        <f>F15-F19</f>
        <v>429.44349999999997</v>
      </c>
      <c r="G20" s="19">
        <f>G15-G19</f>
        <v>731.81499999999994</v>
      </c>
      <c r="H20" s="19">
        <f>H15-H19</f>
        <v>430.35499999999996</v>
      </c>
      <c r="I20" s="19">
        <f>I15-I19</f>
        <v>623.42899999999997</v>
      </c>
      <c r="J20" s="19">
        <f>J15-J19</f>
        <v>480.83100000000002</v>
      </c>
      <c r="K20" s="19">
        <f>K15-K19</f>
        <v>688.46799999999996</v>
      </c>
      <c r="L20" s="19">
        <f>L15-L19</f>
        <v>1267.3995</v>
      </c>
      <c r="M20" s="19">
        <f>M15-M19</f>
        <v>1276.1760000000002</v>
      </c>
      <c r="N20" s="19">
        <f>N15-N19</f>
        <v>238.70149999999998</v>
      </c>
      <c r="O20" s="19">
        <f>O15-O19</f>
        <v>550.8931</v>
      </c>
      <c r="P20" s="19">
        <f>P15-P19</f>
        <v>736.7829999999999</v>
      </c>
      <c r="Q20" s="19">
        <f>Q15-Q19</f>
        <v>422.04399999999998</v>
      </c>
      <c r="R20" s="19">
        <f>R15-R19</f>
        <v>525.65</v>
      </c>
      <c r="S20" s="19">
        <f>S15-S19</f>
        <v>371.34799999999996</v>
      </c>
      <c r="T20" s="19">
        <f>T15-T19</f>
        <v>381.63400000000001</v>
      </c>
      <c r="U20" s="19">
        <f>U15-U19</f>
        <v>537.17899999999997</v>
      </c>
      <c r="V20" s="19">
        <f>V15-V19</f>
        <v>356.904</v>
      </c>
      <c r="W20" s="19">
        <f>W15-W19</f>
        <v>365.61400000000003</v>
      </c>
      <c r="X20" s="19">
        <f>X15-X19</f>
        <v>1132.4019999999998</v>
      </c>
      <c r="Y20" s="19">
        <f>Y15-Y19</f>
        <v>1135.1701400000002</v>
      </c>
      <c r="Z20" s="19">
        <f>Z15-Z19</f>
        <v>329.65100999999999</v>
      </c>
      <c r="AA20" s="19">
        <f>AA15-AA19</f>
        <v>807.92899999999997</v>
      </c>
      <c r="AB20" s="19">
        <f>AB15-AB19</f>
        <v>413.22600999999975</v>
      </c>
      <c r="AC20" s="19">
        <f>AC15-AC19</f>
        <v>351.47300000000001</v>
      </c>
      <c r="AD20" s="19">
        <f>AD15-AD19</f>
        <v>543.60699999999997</v>
      </c>
      <c r="AE20" s="19">
        <f>AE15-AE19</f>
        <v>736.56510000000014</v>
      </c>
      <c r="AF20" s="19">
        <f>AF15-AF19</f>
        <v>425.64699999999999</v>
      </c>
      <c r="AG20" s="19">
        <f>AG15-AG19</f>
        <v>284.19</v>
      </c>
      <c r="AH20" s="19">
        <f>AH15-AH19</f>
        <v>760.36599999999999</v>
      </c>
      <c r="AI20" s="19">
        <f>AI15-AI19</f>
        <v>423.18799999999999</v>
      </c>
      <c r="AJ20" s="19"/>
      <c r="AK20" s="19">
        <f>AK15-AK19</f>
        <v>7647.4215999999988</v>
      </c>
      <c r="AL20" s="19">
        <f>AL15-AL19</f>
        <v>6778.7511599999998</v>
      </c>
      <c r="AM20" s="19">
        <f>AM15-AM19</f>
        <v>7343.4142599999996</v>
      </c>
      <c r="AN20" s="19"/>
      <c r="AO20" s="18">
        <f>IFERROR(AK20/AK$15%,0)</f>
        <v>100</v>
      </c>
      <c r="AP20" s="18">
        <f>IFERROR(AL20/AL$15%,0)</f>
        <v>100</v>
      </c>
      <c r="AQ20" s="18">
        <f>IFERROR(AM20/AM$15%,0)</f>
        <v>99.999999999999986</v>
      </c>
    </row>
    <row r="21" spans="3:43" ht="6" customHeight="1" x14ac:dyDescent="0.2">
      <c r="D21" s="4"/>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5"/>
      <c r="AP21" s="5"/>
      <c r="AQ21" s="5"/>
    </row>
    <row r="22" spans="3:43" ht="11.25" hidden="1" customHeight="1" outlineLevel="2" x14ac:dyDescent="0.2">
      <c r="C22" t="s">
        <v>323</v>
      </c>
      <c r="D22" s="4"/>
      <c r="E22" s="2">
        <f>SUMIFS(TB!K:K,TB!$J:$J,$C22)</f>
        <v>0</v>
      </c>
      <c r="F22" s="2">
        <f>SUMIFS(TB!L:L,TB!$J:$J,$C22)</f>
        <v>0</v>
      </c>
      <c r="G22" s="2">
        <f>SUMIFS(TB!M:M,TB!$J:$J,$C22)</f>
        <v>0</v>
      </c>
      <c r="H22" s="2">
        <f>SUMIFS(TB!N:N,TB!$J:$J,$C22)</f>
        <v>0</v>
      </c>
      <c r="I22" s="2">
        <f>SUMIFS(TB!O:O,TB!$J:$J,$C22)</f>
        <v>0</v>
      </c>
      <c r="J22" s="2">
        <f>SUMIFS(TB!P:P,TB!$J:$J,$C22)</f>
        <v>0</v>
      </c>
      <c r="K22" s="2">
        <f>SUMIFS(TB!Q:Q,TB!$J:$J,$C22)</f>
        <v>0</v>
      </c>
      <c r="L22" s="2">
        <f>SUMIFS(TB!R:R,TB!$J:$J,$C22)</f>
        <v>0</v>
      </c>
      <c r="M22" s="2">
        <f>SUMIFS(TB!S:S,TB!$J:$J,$C22)</f>
        <v>0</v>
      </c>
      <c r="N22" s="2">
        <f>SUMIFS(TB!T:T,TB!$J:$J,$C22)</f>
        <v>0</v>
      </c>
      <c r="O22" s="2">
        <f>SUMIFS(TB!U:U,TB!$J:$J,$C22)</f>
        <v>0</v>
      </c>
      <c r="P22" s="2">
        <f>SUMIFS(TB!V:V,TB!$J:$J,$C22)</f>
        <v>57.514180000000003</v>
      </c>
      <c r="Q22" s="2">
        <f>SUMIFS(TB!W:W,TB!$J:$J,$C22)</f>
        <v>0</v>
      </c>
      <c r="R22" s="2">
        <f>SUMIFS(TB!X:X,TB!$J:$J,$C22)</f>
        <v>0</v>
      </c>
      <c r="S22" s="2">
        <f>SUMIFS(TB!Y:Y,TB!$J:$J,$C22)</f>
        <v>0</v>
      </c>
      <c r="T22" s="2">
        <f>SUMIFS(TB!Z:Z,TB!$J:$J,$C22)</f>
        <v>0</v>
      </c>
      <c r="U22" s="2">
        <f>SUMIFS(TB!AA:AA,TB!$J:$J,$C22)</f>
        <v>0</v>
      </c>
      <c r="V22" s="2">
        <f>SUMIFS(TB!AB:AB,TB!$J:$J,$C22)</f>
        <v>0</v>
      </c>
      <c r="W22" s="2">
        <f>SUMIFS(TB!AC:AC,TB!$J:$J,$C22)</f>
        <v>0</v>
      </c>
      <c r="X22" s="2">
        <f>SUMIFS(TB!AD:AD,TB!$J:$J,$C22)</f>
        <v>0</v>
      </c>
      <c r="Y22" s="2">
        <f>SUMIFS(TB!AE:AE,TB!$J:$J,$C22)</f>
        <v>0</v>
      </c>
      <c r="Z22" s="2">
        <f>SUMIFS(TB!AF:AF,TB!$J:$J,$C22)</f>
        <v>0</v>
      </c>
      <c r="AA22" s="2">
        <f>SUMIFS(TB!AG:AG,TB!$J:$J,$C22)</f>
        <v>0</v>
      </c>
      <c r="AB22" s="2">
        <f>SUMIFS(TB!AH:AH,TB!$J:$J,$C22)</f>
        <v>1669.14291</v>
      </c>
      <c r="AC22" s="2">
        <f>SUMIFS(TB!AI:AI,TB!$J:$J,$C22)</f>
        <v>0</v>
      </c>
      <c r="AD22" s="2">
        <f>SUMIFS(TB!AJ:AJ,TB!$J:$J,$C22)</f>
        <v>0</v>
      </c>
      <c r="AE22" s="2">
        <f>SUMIFS(TB!AK:AK,TB!$J:$J,$C22)</f>
        <v>0</v>
      </c>
      <c r="AF22" s="2">
        <f>SUMIFS(TB!AL:AL,TB!$J:$J,$C22)</f>
        <v>0</v>
      </c>
      <c r="AG22" s="2">
        <f>SUMIFS(TB!AM:AM,TB!$J:$J,$C22)</f>
        <v>0</v>
      </c>
      <c r="AH22" s="2">
        <f>SUMIFS(TB!AN:AN,TB!$J:$J,$C22)</f>
        <v>0</v>
      </c>
      <c r="AI22" s="2">
        <f>SUMIFS(TB!AO:AO,TB!$J:$J,$C22)</f>
        <v>0</v>
      </c>
      <c r="AJ22" s="2"/>
      <c r="AK22" s="2">
        <f>SUM(E22:P22)</f>
        <v>57.514180000000003</v>
      </c>
      <c r="AL22" s="2">
        <f>SUM(Q22:AB22)</f>
        <v>1669.14291</v>
      </c>
      <c r="AM22" s="2">
        <f>SUM(X22:AI22)</f>
        <v>1669.14291</v>
      </c>
      <c r="AN22" s="2"/>
      <c r="AO22" s="5">
        <f>IFERROR(AK22/AK$15%,0)</f>
        <v>0.75207282935728315</v>
      </c>
      <c r="AP22" s="5">
        <f>IFERROR(AL22/AL$15%,0)</f>
        <v>24.62316244693071</v>
      </c>
      <c r="AQ22" s="5">
        <f>IFERROR(AM22/AM$15%,0)</f>
        <v>22.729793675020044</v>
      </c>
    </row>
    <row r="23" spans="3:43" ht="11.25" hidden="1" customHeight="1" outlineLevel="2" x14ac:dyDescent="0.2">
      <c r="C23" t="s">
        <v>322</v>
      </c>
      <c r="D23" s="4"/>
      <c r="E23" s="2">
        <f>SUMIFS(TB!K:K,TB!$J:$J,$C23)</f>
        <v>0</v>
      </c>
      <c r="F23" s="2">
        <f>SUMIFS(TB!L:L,TB!$J:$J,$C23)</f>
        <v>0</v>
      </c>
      <c r="G23" s="2">
        <f>SUMIFS(TB!M:M,TB!$J:$J,$C23)</f>
        <v>0</v>
      </c>
      <c r="H23" s="2">
        <f>SUMIFS(TB!N:N,TB!$J:$J,$C23)</f>
        <v>0</v>
      </c>
      <c r="I23" s="2">
        <f>SUMIFS(TB!O:O,TB!$J:$J,$C23)</f>
        <v>0</v>
      </c>
      <c r="J23" s="2">
        <f>SUMIFS(TB!P:P,TB!$J:$J,$C23)</f>
        <v>0</v>
      </c>
      <c r="K23" s="2">
        <f>SUMIFS(TB!Q:Q,TB!$J:$J,$C23)</f>
        <v>0</v>
      </c>
      <c r="L23" s="2">
        <f>SUMIFS(TB!R:R,TB!$J:$J,$C23)</f>
        <v>0</v>
      </c>
      <c r="M23" s="2">
        <f>SUMIFS(TB!S:S,TB!$J:$J,$C23)</f>
        <v>0</v>
      </c>
      <c r="N23" s="2">
        <f>SUMIFS(TB!T:T,TB!$J:$J,$C23)</f>
        <v>0</v>
      </c>
      <c r="O23" s="2">
        <f>SUMIFS(TB!U:U,TB!$J:$J,$C23)</f>
        <v>0</v>
      </c>
      <c r="P23" s="2">
        <f>SUMIFS(TB!V:V,TB!$J:$J,$C23)</f>
        <v>0</v>
      </c>
      <c r="Q23" s="2">
        <f>SUMIFS(TB!W:W,TB!$J:$J,$C23)</f>
        <v>0</v>
      </c>
      <c r="R23" s="2">
        <f>SUMIFS(TB!X:X,TB!$J:$J,$C23)</f>
        <v>0</v>
      </c>
      <c r="S23" s="2">
        <f>SUMIFS(TB!Y:Y,TB!$J:$J,$C23)</f>
        <v>0</v>
      </c>
      <c r="T23" s="2">
        <f>SUMIFS(TB!Z:Z,TB!$J:$J,$C23)</f>
        <v>204.28433999999999</v>
      </c>
      <c r="U23" s="2">
        <f>SUMIFS(TB!AA:AA,TB!$J:$J,$C23)</f>
        <v>204.28433999999999</v>
      </c>
      <c r="V23" s="2">
        <f>SUMIFS(TB!AB:AB,TB!$J:$J,$C23)</f>
        <v>204.28434000000001</v>
      </c>
      <c r="W23" s="2">
        <f>SUMIFS(TB!AC:AC,TB!$J:$J,$C23)</f>
        <v>204.28433999999996</v>
      </c>
      <c r="X23" s="2">
        <f>SUMIFS(TB!AD:AD,TB!$J:$J,$C23)</f>
        <v>204.28433999999996</v>
      </c>
      <c r="Y23" s="2">
        <f>SUMIFS(TB!AE:AE,TB!$J:$J,$C23)</f>
        <v>202.83598999999998</v>
      </c>
      <c r="Z23" s="2">
        <f>SUMIFS(TB!AF:AF,TB!$J:$J,$C23)</f>
        <v>195.11768000000018</v>
      </c>
      <c r="AA23" s="2">
        <f>SUMIFS(TB!AG:AG,TB!$J:$J,$C23)</f>
        <v>191.49027999999979</v>
      </c>
      <c r="AB23" s="2">
        <f>SUMIFS(TB!AH:AH,TB!$J:$J,$C23)</f>
        <v>-1610.86565</v>
      </c>
      <c r="AC23" s="2">
        <f>SUMIFS(TB!AI:AI,TB!$J:$J,$C23)</f>
        <v>190.19159999999999</v>
      </c>
      <c r="AD23" s="2">
        <f>SUMIFS(TB!AJ:AJ,TB!$J:$J,$C23)</f>
        <v>190.19159999999999</v>
      </c>
      <c r="AE23" s="2">
        <f>SUMIFS(TB!AK:AK,TB!$J:$J,$C23)</f>
        <v>190.19160000000002</v>
      </c>
      <c r="AF23" s="2">
        <f>SUMIFS(TB!AL:AL,TB!$J:$J,$C23)</f>
        <v>190.19159999999997</v>
      </c>
      <c r="AG23" s="2">
        <f>SUMIFS(TB!AM:AM,TB!$J:$J,$C23)</f>
        <v>190.19159999999997</v>
      </c>
      <c r="AH23" s="2">
        <f>SUMIFS(TB!AN:AN,TB!$J:$J,$C23)</f>
        <v>190.19160000000008</v>
      </c>
      <c r="AI23" s="2">
        <f>SUMIFS(TB!AO:AO,TB!$J:$J,$C23)</f>
        <v>190.19159999999985</v>
      </c>
      <c r="AJ23" s="2"/>
      <c r="AK23" s="2">
        <f>SUM(E23:P23)</f>
        <v>0</v>
      </c>
      <c r="AL23" s="2">
        <f>SUM(Q23:AB23)</f>
        <v>0</v>
      </c>
      <c r="AM23" s="2">
        <f>SUM(X23:AI23)</f>
        <v>514.20383999999979</v>
      </c>
      <c r="AN23" s="2"/>
      <c r="AO23" s="5">
        <f>IFERROR(AK23/AK$15%,0)</f>
        <v>0</v>
      </c>
      <c r="AP23" s="5">
        <f>IFERROR(AL23/AL$15%,0)</f>
        <v>0</v>
      </c>
      <c r="AQ23" s="5">
        <f>IFERROR(AM23/AM$15%,0)</f>
        <v>7.0022447569231892</v>
      </c>
    </row>
    <row r="24" spans="3:43" ht="11.25" hidden="1" customHeight="1" outlineLevel="2" x14ac:dyDescent="0.2">
      <c r="C24" t="s">
        <v>321</v>
      </c>
      <c r="D24" s="4"/>
      <c r="E24" s="2">
        <f>SUMIFS(TB!K:K,TB!$J:$J,$C24)</f>
        <v>33.33334</v>
      </c>
      <c r="F24" s="2">
        <f>SUMIFS(TB!L:L,TB!$J:$J,$C24)</f>
        <v>33.33334</v>
      </c>
      <c r="G24" s="2">
        <f>SUMIFS(TB!M:M,TB!$J:$J,$C24)</f>
        <v>20.83334000000001</v>
      </c>
      <c r="H24" s="2">
        <f>SUMIFS(TB!N:N,TB!$J:$J,$C24)</f>
        <v>20.41667</v>
      </c>
      <c r="I24" s="2">
        <f>SUMIFS(TB!O:O,TB!$J:$J,$C24)</f>
        <v>20</v>
      </c>
      <c r="J24" s="2">
        <f>SUMIFS(TB!P:P,TB!$J:$J,$C24)</f>
        <v>20</v>
      </c>
      <c r="K24" s="2">
        <f>SUMIFS(TB!Q:Q,TB!$J:$J,$C24)</f>
        <v>20</v>
      </c>
      <c r="L24" s="2">
        <f>SUMIFS(TB!R:R,TB!$J:$J,$C24)</f>
        <v>20</v>
      </c>
      <c r="M24" s="2">
        <f>SUMIFS(TB!S:S,TB!$J:$J,$C24)</f>
        <v>20</v>
      </c>
      <c r="N24" s="2">
        <f>SUMIFS(TB!T:T,TB!$J:$J,$C24)</f>
        <v>20</v>
      </c>
      <c r="O24" s="2">
        <f>SUMIFS(TB!U:U,TB!$J:$J,$C24)</f>
        <v>20</v>
      </c>
      <c r="P24" s="2">
        <f>SUMIFS(TB!V:V,TB!$J:$J,$C24)</f>
        <v>100.15435999999998</v>
      </c>
      <c r="Q24" s="2">
        <f>SUMIFS(TB!W:W,TB!$J:$J,$C24)</f>
        <v>20</v>
      </c>
      <c r="R24" s="2">
        <f>SUMIFS(TB!X:X,TB!$J:$J,$C24)</f>
        <v>20</v>
      </c>
      <c r="S24" s="2">
        <f>SUMIFS(TB!Y:Y,TB!$J:$J,$C24)</f>
        <v>20</v>
      </c>
      <c r="T24" s="2">
        <f>SUMIFS(TB!Z:Z,TB!$J:$J,$C24)</f>
        <v>0</v>
      </c>
      <c r="U24" s="2">
        <f>SUMIFS(TB!AA:AA,TB!$J:$J,$C24)</f>
        <v>0</v>
      </c>
      <c r="V24" s="2">
        <f>SUMIFS(TB!AB:AB,TB!$J:$J,$C24)</f>
        <v>0</v>
      </c>
      <c r="W24" s="2">
        <f>SUMIFS(TB!AC:AC,TB!$J:$J,$C24)</f>
        <v>0</v>
      </c>
      <c r="X24" s="2">
        <f>SUMIFS(TB!AD:AD,TB!$J:$J,$C24)</f>
        <v>0</v>
      </c>
      <c r="Y24" s="2">
        <f>SUMIFS(TB!AE:AE,TB!$J:$J,$C24)</f>
        <v>0</v>
      </c>
      <c r="Z24" s="2">
        <f>SUMIFS(TB!AF:AF,TB!$J:$J,$C24)</f>
        <v>0</v>
      </c>
      <c r="AA24" s="2">
        <f>SUMIFS(TB!AG:AG,TB!$J:$J,$C24)</f>
        <v>0</v>
      </c>
      <c r="AB24" s="2">
        <f>SUMIFS(TB!AH:AH,TB!$J:$J,$C24)</f>
        <v>187.83981</v>
      </c>
      <c r="AC24" s="2">
        <f>SUMIFS(TB!AI:AI,TB!$J:$J,$C24)</f>
        <v>0</v>
      </c>
      <c r="AD24" s="2">
        <f>SUMIFS(TB!AJ:AJ,TB!$J:$J,$C24)</f>
        <v>0</v>
      </c>
      <c r="AE24" s="2">
        <f>SUMIFS(TB!AK:AK,TB!$J:$J,$C24)</f>
        <v>0</v>
      </c>
      <c r="AF24" s="2">
        <f>SUMIFS(TB!AL:AL,TB!$J:$J,$C24)</f>
        <v>0</v>
      </c>
      <c r="AG24" s="2">
        <f>SUMIFS(TB!AM:AM,TB!$J:$J,$C24)</f>
        <v>0</v>
      </c>
      <c r="AH24" s="2">
        <f>SUMIFS(TB!AN:AN,TB!$J:$J,$C24)</f>
        <v>0</v>
      </c>
      <c r="AI24" s="2">
        <f>SUMIFS(TB!AO:AO,TB!$J:$J,$C24)</f>
        <v>0</v>
      </c>
      <c r="AJ24" s="2"/>
      <c r="AK24" s="2">
        <f>SUM(E24:P24)</f>
        <v>348.07105000000001</v>
      </c>
      <c r="AL24" s="2">
        <f>SUM(Q24:AB24)</f>
        <v>247.83981</v>
      </c>
      <c r="AM24" s="2">
        <f>SUM(X24:AI24)</f>
        <v>187.83981</v>
      </c>
      <c r="AN24" s="2"/>
      <c r="AO24" s="5">
        <f>IFERROR(AK24/AK$15%,0)</f>
        <v>4.551482423827661</v>
      </c>
      <c r="AP24" s="5">
        <f>IFERROR(AL24/AL$15%,0)</f>
        <v>3.6561278641182633</v>
      </c>
      <c r="AQ24" s="5">
        <f>IFERROR(AM24/AM$15%,0)</f>
        <v>2.5579356325187081</v>
      </c>
    </row>
    <row r="25" spans="3:43" ht="11.25" hidden="1" customHeight="1" outlineLevel="2" x14ac:dyDescent="0.2">
      <c r="C25" t="s">
        <v>320</v>
      </c>
      <c r="D25" s="4"/>
      <c r="E25" s="2">
        <f>SUMIFS(TB!K:K,TB!$J:$J,$C25)</f>
        <v>0</v>
      </c>
      <c r="F25" s="2">
        <f>SUMIFS(TB!L:L,TB!$J:$J,$C25)</f>
        <v>0</v>
      </c>
      <c r="G25" s="2">
        <f>SUMIFS(TB!M:M,TB!$J:$J,$C25)</f>
        <v>0</v>
      </c>
      <c r="H25" s="2">
        <f>SUMIFS(TB!N:N,TB!$J:$J,$C25)</f>
        <v>0</v>
      </c>
      <c r="I25" s="2">
        <f>SUMIFS(TB!O:O,TB!$J:$J,$C25)</f>
        <v>0</v>
      </c>
      <c r="J25" s="2">
        <f>SUMIFS(TB!P:P,TB!$J:$J,$C25)</f>
        <v>0</v>
      </c>
      <c r="K25" s="2">
        <f>SUMIFS(TB!Q:Q,TB!$J:$J,$C25)</f>
        <v>0</v>
      </c>
      <c r="L25" s="2">
        <f>SUMIFS(TB!R:R,TB!$J:$J,$C25)</f>
        <v>0</v>
      </c>
      <c r="M25" s="2">
        <f>SUMIFS(TB!S:S,TB!$J:$J,$C25)</f>
        <v>0</v>
      </c>
      <c r="N25" s="2">
        <f>SUMIFS(TB!T:T,TB!$J:$J,$C25)</f>
        <v>0</v>
      </c>
      <c r="O25" s="2">
        <f>SUMIFS(TB!U:U,TB!$J:$J,$C25)</f>
        <v>0</v>
      </c>
      <c r="P25" s="2">
        <f>SUMIFS(TB!V:V,TB!$J:$J,$C25)</f>
        <v>0</v>
      </c>
      <c r="Q25" s="2">
        <f>SUMIFS(TB!W:W,TB!$J:$J,$C25)</f>
        <v>0</v>
      </c>
      <c r="R25" s="2">
        <f>SUMIFS(TB!X:X,TB!$J:$J,$C25)</f>
        <v>0</v>
      </c>
      <c r="S25" s="2">
        <f>SUMIFS(TB!Y:Y,TB!$J:$J,$C25)</f>
        <v>0</v>
      </c>
      <c r="T25" s="2">
        <f>SUMIFS(TB!Z:Z,TB!$J:$J,$C25)</f>
        <v>0</v>
      </c>
      <c r="U25" s="2">
        <f>SUMIFS(TB!AA:AA,TB!$J:$J,$C25)</f>
        <v>0</v>
      </c>
      <c r="V25" s="2">
        <f>SUMIFS(TB!AB:AB,TB!$J:$J,$C25)</f>
        <v>0</v>
      </c>
      <c r="W25" s="2">
        <f>SUMIFS(TB!AC:AC,TB!$J:$J,$C25)</f>
        <v>0</v>
      </c>
      <c r="X25" s="2">
        <f>SUMIFS(TB!AD:AD,TB!$J:$J,$C25)</f>
        <v>0</v>
      </c>
      <c r="Y25" s="2">
        <f>SUMIFS(TB!AE:AE,TB!$J:$J,$C25)</f>
        <v>0</v>
      </c>
      <c r="Z25" s="2">
        <f>SUMIFS(TB!AF:AF,TB!$J:$J,$C25)</f>
        <v>0</v>
      </c>
      <c r="AA25" s="2">
        <f>SUMIFS(TB!AG:AG,TB!$J:$J,$C25)</f>
        <v>0</v>
      </c>
      <c r="AB25" s="2">
        <f>SUMIFS(TB!AH:AH,TB!$J:$J,$C25)</f>
        <v>0</v>
      </c>
      <c r="AC25" s="2">
        <f>SUMIFS(TB!AI:AI,TB!$J:$J,$C25)</f>
        <v>0</v>
      </c>
      <c r="AD25" s="2">
        <f>SUMIFS(TB!AJ:AJ,TB!$J:$J,$C25)</f>
        <v>102.5</v>
      </c>
      <c r="AE25" s="2">
        <f>SUMIFS(TB!AK:AK,TB!$J:$J,$C25)</f>
        <v>0</v>
      </c>
      <c r="AF25" s="2">
        <f>SUMIFS(TB!AL:AL,TB!$J:$J,$C25)</f>
        <v>0</v>
      </c>
      <c r="AG25" s="2">
        <f>SUMIFS(TB!AM:AM,TB!$J:$J,$C25)</f>
        <v>0</v>
      </c>
      <c r="AH25" s="2">
        <f>SUMIFS(TB!AN:AN,TB!$J:$J,$C25)</f>
        <v>0</v>
      </c>
      <c r="AI25" s="2">
        <f>SUMIFS(TB!AO:AO,TB!$J:$J,$C25)</f>
        <v>0</v>
      </c>
      <c r="AJ25" s="2"/>
      <c r="AK25" s="2">
        <f>SUM(E25:P25)</f>
        <v>0</v>
      </c>
      <c r="AL25" s="2">
        <f>SUM(Q25:AB25)</f>
        <v>0</v>
      </c>
      <c r="AM25" s="2">
        <f>SUM(X25:AI25)</f>
        <v>102.5</v>
      </c>
      <c r="AN25" s="2"/>
      <c r="AO25" s="5">
        <f>IFERROR(AK25/AK$15%,0)</f>
        <v>0</v>
      </c>
      <c r="AP25" s="5">
        <f>IFERROR(AL25/AL$15%,0)</f>
        <v>0</v>
      </c>
      <c r="AQ25" s="5">
        <f>IFERROR(AM25/AM$15%,0)</f>
        <v>1.3958084941268178</v>
      </c>
    </row>
    <row r="26" spans="3:43" ht="11.25" hidden="1" customHeight="1" outlineLevel="2" x14ac:dyDescent="0.2">
      <c r="C26" t="s">
        <v>319</v>
      </c>
      <c r="D26" s="4"/>
      <c r="E26" s="2">
        <f>SUMIFS(TB!K:K,TB!$J:$J,$C26)</f>
        <v>198.51566</v>
      </c>
      <c r="F26" s="2">
        <f>SUMIFS(TB!L:L,TB!$J:$J,$C26)</f>
        <v>198.81328999999999</v>
      </c>
      <c r="G26" s="2">
        <f>SUMIFS(TB!M:M,TB!$J:$J,$C26)</f>
        <v>199.64065999999997</v>
      </c>
      <c r="H26" s="2">
        <f>SUMIFS(TB!N:N,TB!$J:$J,$C26)</f>
        <v>192.73296999999997</v>
      </c>
      <c r="I26" s="2">
        <f>SUMIFS(TB!O:O,TB!$J:$J,$C26)</f>
        <v>186.70474999999999</v>
      </c>
      <c r="J26" s="2">
        <f>SUMIFS(TB!P:P,TB!$J:$J,$C26)</f>
        <v>184.9739800000001</v>
      </c>
      <c r="K26" s="2">
        <f>SUMIFS(TB!Q:Q,TB!$J:$J,$C26)</f>
        <v>186.67976000000002</v>
      </c>
      <c r="L26" s="2">
        <f>SUMIFS(TB!R:R,TB!$J:$J,$C26)</f>
        <v>185.65937999999989</v>
      </c>
      <c r="M26" s="2">
        <f>SUMIFS(TB!S:S,TB!$J:$J,$C26)</f>
        <v>184.97349</v>
      </c>
      <c r="N26" s="2">
        <f>SUMIFS(TB!T:T,TB!$J:$J,$C26)</f>
        <v>187.11131000000006</v>
      </c>
      <c r="O26" s="2">
        <f>SUMIFS(TB!U:U,TB!$J:$J,$C26)</f>
        <v>183.99910000000008</v>
      </c>
      <c r="P26" s="2">
        <f>SUMIFS(TB!V:V,TB!$J:$J,$C26)</f>
        <v>182.03529000000003</v>
      </c>
      <c r="Q26" s="2">
        <f>SUMIFS(TB!W:W,TB!$J:$J,$C26)</f>
        <v>182.45102</v>
      </c>
      <c r="R26" s="2">
        <f>SUMIFS(TB!X:X,TB!$J:$J,$C26)</f>
        <v>182.45102</v>
      </c>
      <c r="S26" s="2">
        <f>SUMIFS(TB!Y:Y,TB!$J:$J,$C26)</f>
        <v>182.45102000000009</v>
      </c>
      <c r="T26" s="2">
        <f>SUMIFS(TB!Z:Z,TB!$J:$J,$C26)</f>
        <v>0</v>
      </c>
      <c r="U26" s="2">
        <f>SUMIFS(TB!AA:AA,TB!$J:$J,$C26)</f>
        <v>0</v>
      </c>
      <c r="V26" s="2">
        <f>SUMIFS(TB!AB:AB,TB!$J:$J,$C26)</f>
        <v>0</v>
      </c>
      <c r="W26" s="2">
        <f>SUMIFS(TB!AC:AC,TB!$J:$J,$C26)</f>
        <v>0</v>
      </c>
      <c r="X26" s="2">
        <f>SUMIFS(TB!AD:AD,TB!$J:$J,$C26)</f>
        <v>0</v>
      </c>
      <c r="Y26" s="2">
        <f>SUMIFS(TB!AE:AE,TB!$J:$J,$C26)</f>
        <v>0</v>
      </c>
      <c r="Z26" s="2">
        <f>SUMIFS(TB!AF:AF,TB!$J:$J,$C26)</f>
        <v>0</v>
      </c>
      <c r="AA26" s="2">
        <f>SUMIFS(TB!AG:AG,TB!$J:$J,$C26)</f>
        <v>0</v>
      </c>
      <c r="AB26" s="2">
        <f>SUMIFS(TB!AH:AH,TB!$J:$J,$C26)</f>
        <v>0</v>
      </c>
      <c r="AC26" s="2">
        <f>SUMIFS(TB!AI:AI,TB!$J:$J,$C26)</f>
        <v>0</v>
      </c>
      <c r="AD26" s="2">
        <f>SUMIFS(TB!AJ:AJ,TB!$J:$J,$C26)</f>
        <v>0</v>
      </c>
      <c r="AE26" s="2">
        <f>SUMIFS(TB!AK:AK,TB!$J:$J,$C26)</f>
        <v>0</v>
      </c>
      <c r="AF26" s="2">
        <f>SUMIFS(TB!AL:AL,TB!$J:$J,$C26)</f>
        <v>0</v>
      </c>
      <c r="AG26" s="2">
        <f>SUMIFS(TB!AM:AM,TB!$J:$J,$C26)</f>
        <v>0</v>
      </c>
      <c r="AH26" s="2">
        <f>SUMIFS(TB!AN:AN,TB!$J:$J,$C26)</f>
        <v>0</v>
      </c>
      <c r="AI26" s="2">
        <f>SUMIFS(TB!AO:AO,TB!$J:$J,$C26)</f>
        <v>0</v>
      </c>
      <c r="AJ26" s="2"/>
      <c r="AK26" s="2">
        <f>SUM(E26:P26)</f>
        <v>2271.8396400000001</v>
      </c>
      <c r="AL26" s="2">
        <f>SUM(Q26:AB26)</f>
        <v>547.35306000000014</v>
      </c>
      <c r="AM26" s="2">
        <f>SUM(X26:AI26)</f>
        <v>0</v>
      </c>
      <c r="AN26" s="2"/>
      <c r="AO26" s="5">
        <f>IFERROR(AK26/AK$15%,0)</f>
        <v>29.707262902832515</v>
      </c>
      <c r="AP26" s="5">
        <f>IFERROR(AL26/AL$15%,0)</f>
        <v>8.0745412699291368</v>
      </c>
      <c r="AQ26" s="5">
        <f>IFERROR(AM26/AM$15%,0)</f>
        <v>0</v>
      </c>
    </row>
    <row r="27" spans="3:43" ht="11.25" hidden="1" customHeight="1" outlineLevel="2" x14ac:dyDescent="0.2">
      <c r="C27" s="17" t="s">
        <v>318</v>
      </c>
      <c r="D27" s="15"/>
      <c r="E27" s="14">
        <f>SUMIFS(TB!K:K,TB!$J:$J,$C27)</f>
        <v>48.5</v>
      </c>
      <c r="F27" s="14">
        <f>SUMIFS(TB!L:L,TB!$J:$J,$C27)</f>
        <v>48.5</v>
      </c>
      <c r="G27" s="14">
        <f>SUMIFS(TB!M:M,TB!$J:$J,$C27)</f>
        <v>48.5</v>
      </c>
      <c r="H27" s="14">
        <f>SUMIFS(TB!N:N,TB!$J:$J,$C27)</f>
        <v>48.5</v>
      </c>
      <c r="I27" s="14">
        <f>SUMIFS(TB!O:O,TB!$J:$J,$C27)</f>
        <v>48.5</v>
      </c>
      <c r="J27" s="14">
        <f>SUMIFS(TB!P:P,TB!$J:$J,$C27)</f>
        <v>48.5</v>
      </c>
      <c r="K27" s="14">
        <f>SUMIFS(TB!Q:Q,TB!$J:$J,$C27)</f>
        <v>48.5</v>
      </c>
      <c r="L27" s="14">
        <f>SUMIFS(TB!R:R,TB!$J:$J,$C27)</f>
        <v>48.5</v>
      </c>
      <c r="M27" s="14">
        <f>SUMIFS(TB!S:S,TB!$J:$J,$C27)</f>
        <v>48.5</v>
      </c>
      <c r="N27" s="14">
        <f>SUMIFS(TB!T:T,TB!$J:$J,$C27)</f>
        <v>48.5</v>
      </c>
      <c r="O27" s="14">
        <f>SUMIFS(TB!U:U,TB!$J:$J,$C27)</f>
        <v>48.5</v>
      </c>
      <c r="P27" s="14">
        <f>SUMIFS(TB!V:V,TB!$J:$J,$C27)</f>
        <v>-103.5</v>
      </c>
      <c r="Q27" s="14">
        <f>SUMIFS(TB!W:W,TB!$J:$J,$C27)</f>
        <v>51.25</v>
      </c>
      <c r="R27" s="14">
        <f>SUMIFS(TB!X:X,TB!$J:$J,$C27)</f>
        <v>51.25</v>
      </c>
      <c r="S27" s="14">
        <f>SUMIFS(TB!Y:Y,TB!$J:$J,$C27)</f>
        <v>51.25</v>
      </c>
      <c r="T27" s="14">
        <f>SUMIFS(TB!Z:Z,TB!$J:$J,$C27)</f>
        <v>51.25</v>
      </c>
      <c r="U27" s="14">
        <f>SUMIFS(TB!AA:AA,TB!$J:$J,$C27)</f>
        <v>51.25</v>
      </c>
      <c r="V27" s="14">
        <f>SUMIFS(TB!AB:AB,TB!$J:$J,$C27)</f>
        <v>51.25</v>
      </c>
      <c r="W27" s="14">
        <f>SUMIFS(TB!AC:AC,TB!$J:$J,$C27)</f>
        <v>51.25</v>
      </c>
      <c r="X27" s="14">
        <f>SUMIFS(TB!AD:AD,TB!$J:$J,$C27)</f>
        <v>51.25</v>
      </c>
      <c r="Y27" s="14">
        <f>SUMIFS(TB!AE:AE,TB!$J:$J,$C27)</f>
        <v>51.25</v>
      </c>
      <c r="Z27" s="14">
        <f>SUMIFS(TB!AF:AF,TB!$J:$J,$C27)</f>
        <v>-461.25</v>
      </c>
      <c r="AA27" s="14">
        <f>SUMIFS(TB!AG:AG,TB!$J:$J,$C27)</f>
        <v>0</v>
      </c>
      <c r="AB27" s="14">
        <f>SUMIFS(TB!AH:AH,TB!$J:$J,$C27)</f>
        <v>0</v>
      </c>
      <c r="AC27" s="14">
        <f>SUMIFS(TB!AI:AI,TB!$J:$J,$C27)</f>
        <v>0</v>
      </c>
      <c r="AD27" s="14">
        <f>SUMIFS(TB!AJ:AJ,TB!$J:$J,$C27)</f>
        <v>0</v>
      </c>
      <c r="AE27" s="14">
        <f>SUMIFS(TB!AK:AK,TB!$J:$J,$C27)</f>
        <v>51.25</v>
      </c>
      <c r="AF27" s="14">
        <f>SUMIFS(TB!AL:AL,TB!$J:$J,$C27)</f>
        <v>51.25</v>
      </c>
      <c r="AG27" s="14">
        <f>SUMIFS(TB!AM:AM,TB!$J:$J,$C27)</f>
        <v>51.25</v>
      </c>
      <c r="AH27" s="14">
        <f>SUMIFS(TB!AN:AN,TB!$J:$J,$C27)</f>
        <v>51.25</v>
      </c>
      <c r="AI27" s="14">
        <f>SUMIFS(TB!AO:AO,TB!$J:$J,$C27)</f>
        <v>51.25</v>
      </c>
      <c r="AJ27" s="14"/>
      <c r="AK27" s="14">
        <f>SUM(E27:P27)</f>
        <v>430</v>
      </c>
      <c r="AL27" s="14">
        <f>SUM(Q27:AB27)</f>
        <v>0</v>
      </c>
      <c r="AM27" s="14">
        <f>SUM(X27:AI27)</f>
        <v>-102.5</v>
      </c>
      <c r="AN27" s="14"/>
      <c r="AO27" s="13">
        <f>IFERROR(AK27/AK$15%,0)</f>
        <v>5.6228101769621288</v>
      </c>
      <c r="AP27" s="13">
        <f>IFERROR(AL27/AL$15%,0)</f>
        <v>0</v>
      </c>
      <c r="AQ27" s="13">
        <f>IFERROR(AM27/AM$15%,0)</f>
        <v>-1.3958084941268178</v>
      </c>
    </row>
    <row r="28" spans="3:43" ht="11.25" hidden="1" customHeight="1" outlineLevel="1" collapsed="1" x14ac:dyDescent="0.2">
      <c r="C28" t="s">
        <v>317</v>
      </c>
      <c r="D28" s="4"/>
      <c r="E28" s="2">
        <f>SUM(E22:E27)</f>
        <v>280.34899999999999</v>
      </c>
      <c r="F28" s="2">
        <f>SUM(F22:F27)</f>
        <v>280.64662999999996</v>
      </c>
      <c r="G28" s="2">
        <f>SUM(G22:G27)</f>
        <v>268.97399999999999</v>
      </c>
      <c r="H28" s="2">
        <f>SUM(H22:H27)</f>
        <v>261.64963999999998</v>
      </c>
      <c r="I28" s="2">
        <f>SUM(I22:I27)</f>
        <v>255.20474999999999</v>
      </c>
      <c r="J28" s="2">
        <f>SUM(J22:J27)</f>
        <v>253.4739800000001</v>
      </c>
      <c r="K28" s="2">
        <f>SUM(K22:K27)</f>
        <v>255.17976000000002</v>
      </c>
      <c r="L28" s="2">
        <f>SUM(L22:L27)</f>
        <v>254.15937999999989</v>
      </c>
      <c r="M28" s="2">
        <f>SUM(M22:M27)</f>
        <v>253.47349</v>
      </c>
      <c r="N28" s="2">
        <f>SUM(N22:N27)</f>
        <v>255.61131000000006</v>
      </c>
      <c r="O28" s="2">
        <f>SUM(O22:O27)</f>
        <v>252.49910000000008</v>
      </c>
      <c r="P28" s="2">
        <f>SUM(P22:P27)</f>
        <v>236.20383000000004</v>
      </c>
      <c r="Q28" s="2">
        <f>SUM(Q22:Q27)</f>
        <v>253.70102</v>
      </c>
      <c r="R28" s="2">
        <f>SUM(R22:R27)</f>
        <v>253.70102</v>
      </c>
      <c r="S28" s="2">
        <f>SUM(S22:S27)</f>
        <v>253.70102000000009</v>
      </c>
      <c r="T28" s="2">
        <f>SUM(T22:T27)</f>
        <v>255.53433999999999</v>
      </c>
      <c r="U28" s="2">
        <f>SUM(U22:U27)</f>
        <v>255.53433999999999</v>
      </c>
      <c r="V28" s="2">
        <f>SUM(V22:V27)</f>
        <v>255.53434000000001</v>
      </c>
      <c r="W28" s="2">
        <f>SUM(W22:W27)</f>
        <v>255.53433999999996</v>
      </c>
      <c r="X28" s="2">
        <f>SUM(X22:X27)</f>
        <v>255.53433999999996</v>
      </c>
      <c r="Y28" s="2">
        <f>SUM(Y22:Y27)</f>
        <v>254.08598999999998</v>
      </c>
      <c r="Z28" s="2">
        <f>SUM(Z22:Z27)</f>
        <v>-266.13231999999982</v>
      </c>
      <c r="AA28" s="2">
        <f>SUM(AA22:AA27)</f>
        <v>191.49027999999979</v>
      </c>
      <c r="AB28" s="2">
        <f>SUM(AB22:AB27)</f>
        <v>246.11707000000007</v>
      </c>
      <c r="AC28" s="2">
        <f>SUM(AC22:AC27)</f>
        <v>190.19159999999999</v>
      </c>
      <c r="AD28" s="2">
        <f>SUM(AD22:AD27)</f>
        <v>292.69159999999999</v>
      </c>
      <c r="AE28" s="2">
        <f>SUM(AE22:AE27)</f>
        <v>241.44160000000002</v>
      </c>
      <c r="AF28" s="2">
        <f>SUM(AF22:AF27)</f>
        <v>241.44159999999997</v>
      </c>
      <c r="AG28" s="2">
        <f>SUM(AG22:AG27)</f>
        <v>241.44159999999997</v>
      </c>
      <c r="AH28" s="2">
        <f>SUM(AH22:AH27)</f>
        <v>241.44160000000008</v>
      </c>
      <c r="AI28" s="2">
        <f>SUM(AI22:AI27)</f>
        <v>241.44159999999985</v>
      </c>
      <c r="AJ28" s="2"/>
      <c r="AK28" s="2">
        <f>SUM(AK22:AK27)</f>
        <v>3107.4248700000003</v>
      </c>
      <c r="AL28" s="2">
        <f>SUM(AL22:AL27)</f>
        <v>2464.3357800000003</v>
      </c>
      <c r="AM28" s="2">
        <f>SUM(AM22:AM27)</f>
        <v>2371.1865599999996</v>
      </c>
      <c r="AN28" s="2"/>
      <c r="AO28" s="5">
        <f>IFERROR(AK28/AK$15%,0)</f>
        <v>40.63362833297959</v>
      </c>
      <c r="AP28" s="5">
        <f>IFERROR(AL28/AL$15%,0)</f>
        <v>36.353831580978117</v>
      </c>
      <c r="AQ28" s="5">
        <f>IFERROR(AM28/AM$15%,0)</f>
        <v>32.289974064461937</v>
      </c>
    </row>
    <row r="29" spans="3:43" ht="6" hidden="1" customHeight="1" outlineLevel="2" x14ac:dyDescent="0.2">
      <c r="D29" s="4"/>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5"/>
      <c r="AP29" s="5"/>
      <c r="AQ29" s="5"/>
    </row>
    <row r="30" spans="3:43" ht="11.25" hidden="1" customHeight="1" outlineLevel="2" x14ac:dyDescent="0.2">
      <c r="C30" t="s">
        <v>316</v>
      </c>
      <c r="D30" s="4"/>
      <c r="E30" s="2">
        <f>SUMIFS(TB!K:K,TB!$J:$J,$C30)</f>
        <v>16.50798</v>
      </c>
      <c r="F30" s="2">
        <f>SUMIFS(TB!L:L,TB!$J:$J,$C30)</f>
        <v>16.003330000000002</v>
      </c>
      <c r="G30" s="2">
        <f>SUMIFS(TB!M:M,TB!$J:$J,$C30)</f>
        <v>13.507189999999998</v>
      </c>
      <c r="H30" s="2">
        <f>SUMIFS(TB!N:N,TB!$J:$J,$C30)</f>
        <v>13.205940000000002</v>
      </c>
      <c r="I30" s="2">
        <f>SUMIFS(TB!O:O,TB!$J:$J,$C30)</f>
        <v>12.059009999999995</v>
      </c>
      <c r="J30" s="2">
        <f>SUMIFS(TB!P:P,TB!$J:$J,$C30)</f>
        <v>11.321880000000005</v>
      </c>
      <c r="K30" s="2">
        <f>SUMIFS(TB!Q:Q,TB!$J:$J,$C30)</f>
        <v>11.41278</v>
      </c>
      <c r="L30" s="2">
        <f>SUMIFS(TB!R:R,TB!$J:$J,$C30)</f>
        <v>10.909699999999997</v>
      </c>
      <c r="M30" s="2">
        <f>SUMIFS(TB!S:S,TB!$J:$J,$C30)</f>
        <v>9.9414300000000075</v>
      </c>
      <c r="N30" s="2">
        <f>SUMIFS(TB!T:T,TB!$J:$J,$C30)</f>
        <v>24.098839999999981</v>
      </c>
      <c r="O30" s="2">
        <f>SUMIFS(TB!U:U,TB!$J:$J,$C30)</f>
        <v>21.154510000000009</v>
      </c>
      <c r="P30" s="2">
        <f>SUMIFS(TB!V:V,TB!$J:$J,$C30)</f>
        <v>45.765959999999993</v>
      </c>
      <c r="Q30" s="2">
        <f>SUMIFS(TB!W:W,TB!$J:$J,$C30)</f>
        <v>16.626609999999999</v>
      </c>
      <c r="R30" s="2">
        <f>SUMIFS(TB!X:X,TB!$J:$J,$C30)</f>
        <v>16.335050000000003</v>
      </c>
      <c r="S30" s="2">
        <f>SUMIFS(TB!Y:Y,TB!$J:$J,$C30)</f>
        <v>13.760849999999998</v>
      </c>
      <c r="T30" s="2">
        <f>SUMIFS(TB!Z:Z,TB!$J:$J,$C30)</f>
        <v>0</v>
      </c>
      <c r="U30" s="2">
        <f>SUMIFS(TB!AA:AA,TB!$J:$J,$C30)</f>
        <v>0</v>
      </c>
      <c r="V30" s="2">
        <f>SUMIFS(TB!AB:AB,TB!$J:$J,$C30)</f>
        <v>0</v>
      </c>
      <c r="W30" s="2">
        <f>SUMIFS(TB!AC:AC,TB!$J:$J,$C30)</f>
        <v>0.17794999999999708</v>
      </c>
      <c r="X30" s="2">
        <f>SUMIFS(TB!AD:AD,TB!$J:$J,$C30)</f>
        <v>0</v>
      </c>
      <c r="Y30" s="2">
        <f>SUMIFS(TB!AE:AE,TB!$J:$J,$C30)</f>
        <v>0</v>
      </c>
      <c r="Z30" s="2">
        <f>SUMIFS(TB!AF:AF,TB!$J:$J,$C30)</f>
        <v>0</v>
      </c>
      <c r="AA30" s="2">
        <f>SUMIFS(TB!AG:AG,TB!$J:$J,$C30)</f>
        <v>0</v>
      </c>
      <c r="AB30" s="2">
        <f>SUMIFS(TB!AH:AH,TB!$J:$J,$C30)</f>
        <v>153.35380000000001</v>
      </c>
      <c r="AC30" s="2">
        <f>SUMIFS(TB!AI:AI,TB!$J:$J,$C30)</f>
        <v>0</v>
      </c>
      <c r="AD30" s="2">
        <f>SUMIFS(TB!AJ:AJ,TB!$J:$J,$C30)</f>
        <v>0</v>
      </c>
      <c r="AE30" s="2">
        <f>SUMIFS(TB!AK:AK,TB!$J:$J,$C30)</f>
        <v>0</v>
      </c>
      <c r="AF30" s="2">
        <f>SUMIFS(TB!AL:AL,TB!$J:$J,$C30)</f>
        <v>0</v>
      </c>
      <c r="AG30" s="2">
        <f>SUMIFS(TB!AM:AM,TB!$J:$J,$C30)</f>
        <v>0</v>
      </c>
      <c r="AH30" s="2">
        <f>SUMIFS(TB!AN:AN,TB!$J:$J,$C30)</f>
        <v>0</v>
      </c>
      <c r="AI30" s="2">
        <f>SUMIFS(TB!AO:AO,TB!$J:$J,$C30)</f>
        <v>0</v>
      </c>
      <c r="AJ30" s="2"/>
      <c r="AK30" s="2">
        <f>SUM(E30:P30)</f>
        <v>205.88855000000001</v>
      </c>
      <c r="AL30" s="2">
        <f>SUM(Q30:AB30)</f>
        <v>200.25425999999999</v>
      </c>
      <c r="AM30" s="2">
        <f>SUM(X30:AI30)</f>
        <v>153.35380000000001</v>
      </c>
      <c r="AN30" s="2"/>
      <c r="AO30" s="5">
        <f>IFERROR(AK30/AK$15%,0)</f>
        <v>2.6922610099069213</v>
      </c>
      <c r="AP30" s="5">
        <f>IFERROR(AL30/AL$15%,0)</f>
        <v>2.9541467930207954</v>
      </c>
      <c r="AQ30" s="5">
        <f>IFERROR(AM30/AM$15%,0)</f>
        <v>2.0883174306987824</v>
      </c>
    </row>
    <row r="31" spans="3:43" ht="11.25" hidden="1" customHeight="1" outlineLevel="2" x14ac:dyDescent="0.2">
      <c r="C31" t="s">
        <v>315</v>
      </c>
      <c r="D31" s="4"/>
      <c r="E31" s="2">
        <f>SUMIFS(TB!K:K,TB!$J:$J,$C31)</f>
        <v>0</v>
      </c>
      <c r="F31" s="2">
        <f>SUMIFS(TB!L:L,TB!$J:$J,$C31)</f>
        <v>0</v>
      </c>
      <c r="G31" s="2">
        <f>SUMIFS(TB!M:M,TB!$J:$J,$C31)</f>
        <v>0</v>
      </c>
      <c r="H31" s="2">
        <f>SUMIFS(TB!N:N,TB!$J:$J,$C31)</f>
        <v>0</v>
      </c>
      <c r="I31" s="2">
        <f>SUMIFS(TB!O:O,TB!$J:$J,$C31)</f>
        <v>0</v>
      </c>
      <c r="J31" s="2">
        <f>SUMIFS(TB!P:P,TB!$J:$J,$C31)</f>
        <v>0</v>
      </c>
      <c r="K31" s="2">
        <f>SUMIFS(TB!Q:Q,TB!$J:$J,$C31)</f>
        <v>0</v>
      </c>
      <c r="L31" s="2">
        <f>SUMIFS(TB!R:R,TB!$J:$J,$C31)</f>
        <v>0</v>
      </c>
      <c r="M31" s="2">
        <f>SUMIFS(TB!S:S,TB!$J:$J,$C31)</f>
        <v>0</v>
      </c>
      <c r="N31" s="2">
        <f>SUMIFS(TB!T:T,TB!$J:$J,$C31)</f>
        <v>0</v>
      </c>
      <c r="O31" s="2">
        <f>SUMIFS(TB!U:U,TB!$J:$J,$C31)</f>
        <v>0</v>
      </c>
      <c r="P31" s="2">
        <f>SUMIFS(TB!V:V,TB!$J:$J,$C31)</f>
        <v>0</v>
      </c>
      <c r="Q31" s="2">
        <f>SUMIFS(TB!W:W,TB!$J:$J,$C31)</f>
        <v>0</v>
      </c>
      <c r="R31" s="2">
        <f>SUMIFS(TB!X:X,TB!$J:$J,$C31)</f>
        <v>0</v>
      </c>
      <c r="S31" s="2">
        <f>SUMIFS(TB!Y:Y,TB!$J:$J,$C31)</f>
        <v>0</v>
      </c>
      <c r="T31" s="2">
        <f>SUMIFS(TB!Z:Z,TB!$J:$J,$C31)</f>
        <v>20.066740000000003</v>
      </c>
      <c r="U31" s="2">
        <f>SUMIFS(TB!AA:AA,TB!$J:$J,$C31)</f>
        <v>14.472619999999999</v>
      </c>
      <c r="V31" s="2">
        <f>SUMIFS(TB!AB:AB,TB!$J:$J,$C31)</f>
        <v>10.93318</v>
      </c>
      <c r="W31" s="2">
        <f>SUMIFS(TB!AC:AC,TB!$J:$J,$C31)</f>
        <v>9.6703099999999971</v>
      </c>
      <c r="X31" s="2">
        <f>SUMIFS(TB!AD:AD,TB!$J:$J,$C31)</f>
        <v>7.8381600000000038</v>
      </c>
      <c r="Y31" s="2">
        <f>SUMIFS(TB!AE:AE,TB!$J:$J,$C31)</f>
        <v>8.8815400000000011</v>
      </c>
      <c r="Z31" s="2">
        <f>SUMIFS(TB!AF:AF,TB!$J:$J,$C31)</f>
        <v>24.907319999999991</v>
      </c>
      <c r="AA31" s="2">
        <f>SUMIFS(TB!AG:AG,TB!$J:$J,$C31)</f>
        <v>21.986270000000005</v>
      </c>
      <c r="AB31" s="2">
        <f>SUMIFS(TB!AH:AH,TB!$J:$J,$C31)</f>
        <v>-118.75614</v>
      </c>
      <c r="AC31" s="2">
        <f>SUMIFS(TB!AI:AI,TB!$J:$J,$C31)</f>
        <v>16.796619999999997</v>
      </c>
      <c r="AD31" s="2">
        <f>SUMIFS(TB!AJ:AJ,TB!$J:$J,$C31)</f>
        <v>15.202170000000002</v>
      </c>
      <c r="AE31" s="2">
        <f>SUMIFS(TB!AK:AK,TB!$J:$J,$C31)</f>
        <v>14.831729999999997</v>
      </c>
      <c r="AF31" s="2">
        <f>SUMIFS(TB!AL:AL,TB!$J:$J,$C31)</f>
        <v>14.872550000000002</v>
      </c>
      <c r="AG31" s="2">
        <f>SUMIFS(TB!AM:AM,TB!$J:$J,$C31)</f>
        <v>14.709659999999996</v>
      </c>
      <c r="AH31" s="2">
        <f>SUMIFS(TB!AN:AN,TB!$J:$J,$C31)</f>
        <v>14.371889999999999</v>
      </c>
      <c r="AI31" s="2">
        <f>SUMIFS(TB!AO:AO,TB!$J:$J,$C31)</f>
        <v>13.19912000000001</v>
      </c>
      <c r="AJ31" s="2"/>
      <c r="AK31" s="2">
        <f>SUM(E31:P31)</f>
        <v>0</v>
      </c>
      <c r="AL31" s="2">
        <f>SUM(Q31:AB31)</f>
        <v>0</v>
      </c>
      <c r="AM31" s="2">
        <f>SUM(X31:AI31)</f>
        <v>48.840890000000002</v>
      </c>
      <c r="AN31" s="2"/>
      <c r="AO31" s="5">
        <f>IFERROR(AK31/AK$15%,0)</f>
        <v>0</v>
      </c>
      <c r="AP31" s="5">
        <f>IFERROR(AL31/AL$15%,0)</f>
        <v>0</v>
      </c>
      <c r="AQ31" s="5">
        <f>IFERROR(AM31/AM$15%,0)</f>
        <v>0.66509784509964442</v>
      </c>
    </row>
    <row r="32" spans="3:43" ht="11.25" hidden="1" customHeight="1" outlineLevel="2" x14ac:dyDescent="0.2">
      <c r="C32" t="s">
        <v>314</v>
      </c>
      <c r="D32" s="4"/>
      <c r="E32" s="2">
        <f>SUMIFS(TB!K:K,TB!$J:$J,$C32)</f>
        <v>0</v>
      </c>
      <c r="F32" s="2">
        <f>SUMIFS(TB!L:L,TB!$J:$J,$C32)</f>
        <v>0</v>
      </c>
      <c r="G32" s="2">
        <f>SUMIFS(TB!M:M,TB!$J:$J,$C32)</f>
        <v>0</v>
      </c>
      <c r="H32" s="2">
        <f>SUMIFS(TB!N:N,TB!$J:$J,$C32)</f>
        <v>0</v>
      </c>
      <c r="I32" s="2">
        <f>SUMIFS(TB!O:O,TB!$J:$J,$C32)</f>
        <v>0</v>
      </c>
      <c r="J32" s="2">
        <f>SUMIFS(TB!P:P,TB!$J:$J,$C32)</f>
        <v>0</v>
      </c>
      <c r="K32" s="2">
        <f>SUMIFS(TB!Q:Q,TB!$J:$J,$C32)</f>
        <v>0</v>
      </c>
      <c r="L32" s="2">
        <f>SUMIFS(TB!R:R,TB!$J:$J,$C32)</f>
        <v>0</v>
      </c>
      <c r="M32" s="2">
        <f>SUMIFS(TB!S:S,TB!$J:$J,$C32)</f>
        <v>0</v>
      </c>
      <c r="N32" s="2">
        <f>SUMIFS(TB!T:T,TB!$J:$J,$C32)</f>
        <v>0</v>
      </c>
      <c r="O32" s="2">
        <f>SUMIFS(TB!U:U,TB!$J:$J,$C32)</f>
        <v>0</v>
      </c>
      <c r="P32" s="2">
        <f>SUMIFS(TB!V:V,TB!$J:$J,$C32)</f>
        <v>0</v>
      </c>
      <c r="Q32" s="2">
        <f>SUMIFS(TB!W:W,TB!$J:$J,$C32)</f>
        <v>0</v>
      </c>
      <c r="R32" s="2">
        <f>SUMIFS(TB!X:X,TB!$J:$J,$C32)</f>
        <v>0</v>
      </c>
      <c r="S32" s="2">
        <f>SUMIFS(TB!Y:Y,TB!$J:$J,$C32)</f>
        <v>1.881</v>
      </c>
      <c r="T32" s="2">
        <f>SUMIFS(TB!Z:Z,TB!$J:$J,$C32)</f>
        <v>1.782</v>
      </c>
      <c r="U32" s="2">
        <f>SUMIFS(TB!AA:AA,TB!$J:$J,$C32)</f>
        <v>1.9379999999999999</v>
      </c>
      <c r="V32" s="2">
        <f>SUMIFS(TB!AB:AB,TB!$J:$J,$C32)</f>
        <v>1.881</v>
      </c>
      <c r="W32" s="2">
        <f>SUMIFS(TB!AC:AC,TB!$J:$J,$C32)</f>
        <v>1.881</v>
      </c>
      <c r="X32" s="2">
        <f>SUMIFS(TB!AD:AD,TB!$J:$J,$C32)</f>
        <v>2.0804999999999998</v>
      </c>
      <c r="Y32" s="2">
        <f>SUMIFS(TB!AE:AE,TB!$J:$J,$C32)</f>
        <v>1.881</v>
      </c>
      <c r="Z32" s="2">
        <f>SUMIFS(TB!AF:AF,TB!$J:$J,$C32)</f>
        <v>1.782</v>
      </c>
      <c r="AA32" s="2">
        <f>SUMIFS(TB!AG:AG,TB!$J:$J,$C32)</f>
        <v>1.782</v>
      </c>
      <c r="AB32" s="2">
        <f>SUMIFS(TB!AH:AH,TB!$J:$J,$C32)</f>
        <v>1.6830000000000001</v>
      </c>
      <c r="AC32" s="2">
        <f>SUMIFS(TB!AI:AI,TB!$J:$J,$C32)</f>
        <v>1.6830000000000001</v>
      </c>
      <c r="AD32" s="2">
        <f>SUMIFS(TB!AJ:AJ,TB!$J:$J,$C32)</f>
        <v>1.6830000000000001</v>
      </c>
      <c r="AE32" s="2">
        <f>SUMIFS(TB!AK:AK,TB!$J:$J,$C32)</f>
        <v>1.6830000000000001</v>
      </c>
      <c r="AF32" s="2">
        <f>SUMIFS(TB!AL:AL,TB!$J:$J,$C32)</f>
        <v>1.6830000000000001</v>
      </c>
      <c r="AG32" s="2">
        <f>SUMIFS(TB!AM:AM,TB!$J:$J,$C32)</f>
        <v>1.6830000000000001</v>
      </c>
      <c r="AH32" s="2">
        <f>SUMIFS(TB!AN:AN,TB!$J:$J,$C32)</f>
        <v>1.6830000000000001</v>
      </c>
      <c r="AI32" s="2">
        <f>SUMIFS(TB!AO:AO,TB!$J:$J,$C32)</f>
        <v>1.6830000000000001</v>
      </c>
      <c r="AJ32" s="2"/>
      <c r="AK32" s="2">
        <f>SUM(E32:P32)</f>
        <v>0</v>
      </c>
      <c r="AL32" s="2">
        <f>SUM(Q32:AB32)</f>
        <v>18.5715</v>
      </c>
      <c r="AM32" s="2">
        <f>SUM(X32:AI32)</f>
        <v>20.9895</v>
      </c>
      <c r="AN32" s="2"/>
      <c r="AO32" s="5">
        <f>IFERROR(AK32/AK$15%,0)</f>
        <v>0</v>
      </c>
      <c r="AP32" s="5">
        <f>IFERROR(AL32/AL$15%,0)</f>
        <v>0.27396639235832343</v>
      </c>
      <c r="AQ32" s="5">
        <f>IFERROR(AM32/AM$15%,0)</f>
        <v>0.2858275354875594</v>
      </c>
    </row>
    <row r="33" spans="3:43" ht="11.25" hidden="1" customHeight="1" outlineLevel="2" x14ac:dyDescent="0.2">
      <c r="C33" s="17" t="s">
        <v>313</v>
      </c>
      <c r="D33" s="15"/>
      <c r="E33" s="14">
        <f>SUMIFS(TB!K:K,TB!$J:$J,$C33)</f>
        <v>1.83348</v>
      </c>
      <c r="F33" s="14">
        <f>SUMIFS(TB!L:L,TB!$J:$J,$C33)</f>
        <v>1.83348</v>
      </c>
      <c r="G33" s="14">
        <f>SUMIFS(TB!M:M,TB!$J:$J,$C33)</f>
        <v>1.8334799999999996</v>
      </c>
      <c r="H33" s="14">
        <f>SUMIFS(TB!N:N,TB!$J:$J,$C33)</f>
        <v>1.8334800000000004</v>
      </c>
      <c r="I33" s="14">
        <f>SUMIFS(TB!O:O,TB!$J:$J,$C33)</f>
        <v>1.7084699999999993</v>
      </c>
      <c r="J33" s="14">
        <f>SUMIFS(TB!P:P,TB!$J:$J,$C33)</f>
        <v>1.6668000000000012</v>
      </c>
      <c r="K33" s="14">
        <f>SUMIFS(TB!Q:Q,TB!$J:$J,$C33)</f>
        <v>1.7084699999999993</v>
      </c>
      <c r="L33" s="14">
        <f>SUMIFS(TB!R:R,TB!$J:$J,$C33)</f>
        <v>1.6667999999999992</v>
      </c>
      <c r="M33" s="14">
        <f>SUMIFS(TB!S:S,TB!$J:$J,$C33)</f>
        <v>1.6668000000000012</v>
      </c>
      <c r="N33" s="14">
        <f>SUMIFS(TB!T:T,TB!$J:$J,$C33)</f>
        <v>1.6668000000000012</v>
      </c>
      <c r="O33" s="14">
        <f>SUMIFS(TB!U:U,TB!$J:$J,$C33)</f>
        <v>1.6667999999999992</v>
      </c>
      <c r="P33" s="14">
        <f>SUMIFS(TB!V:V,TB!$J:$J,$C33)</f>
        <v>1.5834599999999992</v>
      </c>
      <c r="Q33" s="14">
        <f>SUMIFS(TB!W:W,TB!$J:$J,$C33)</f>
        <v>1.5834600000000001</v>
      </c>
      <c r="R33" s="14">
        <f>SUMIFS(TB!X:X,TB!$J:$J,$C33)</f>
        <v>1.5834600000000001</v>
      </c>
      <c r="S33" s="14">
        <f>SUMIFS(TB!Y:Y,TB!$J:$J,$C33)</f>
        <v>1.5834600000000001</v>
      </c>
      <c r="T33" s="14">
        <f>SUMIFS(TB!Z:Z,TB!$J:$J,$C33)</f>
        <v>0</v>
      </c>
      <c r="U33" s="14">
        <f>SUMIFS(TB!AA:AA,TB!$J:$J,$C33)</f>
        <v>0</v>
      </c>
      <c r="V33" s="14">
        <f>SUMIFS(TB!AB:AB,TB!$J:$J,$C33)</f>
        <v>0</v>
      </c>
      <c r="W33" s="14">
        <f>SUMIFS(TB!AC:AC,TB!$J:$J,$C33)</f>
        <v>0</v>
      </c>
      <c r="X33" s="14">
        <f>SUMIFS(TB!AD:AD,TB!$J:$J,$C33)</f>
        <v>0</v>
      </c>
      <c r="Y33" s="14">
        <f>SUMIFS(TB!AE:AE,TB!$J:$J,$C33)</f>
        <v>0</v>
      </c>
      <c r="Z33" s="14">
        <f>SUMIFS(TB!AF:AF,TB!$J:$J,$C33)</f>
        <v>0</v>
      </c>
      <c r="AA33" s="14">
        <f>SUMIFS(TB!AG:AG,TB!$J:$J,$C33)</f>
        <v>0</v>
      </c>
      <c r="AB33" s="14">
        <f>SUMIFS(TB!AH:AH,TB!$J:$J,$C33)</f>
        <v>0</v>
      </c>
      <c r="AC33" s="14">
        <f>SUMIFS(TB!AI:AI,TB!$J:$J,$C33)</f>
        <v>0</v>
      </c>
      <c r="AD33" s="14">
        <f>SUMIFS(TB!AJ:AJ,TB!$J:$J,$C33)</f>
        <v>0</v>
      </c>
      <c r="AE33" s="14">
        <f>SUMIFS(TB!AK:AK,TB!$J:$J,$C33)</f>
        <v>0</v>
      </c>
      <c r="AF33" s="14">
        <f>SUMIFS(TB!AL:AL,TB!$J:$J,$C33)</f>
        <v>0</v>
      </c>
      <c r="AG33" s="14">
        <f>SUMIFS(TB!AM:AM,TB!$J:$J,$C33)</f>
        <v>0</v>
      </c>
      <c r="AH33" s="14">
        <f>SUMIFS(TB!AN:AN,TB!$J:$J,$C33)</f>
        <v>0</v>
      </c>
      <c r="AI33" s="14">
        <f>SUMIFS(TB!AO:AO,TB!$J:$J,$C33)</f>
        <v>0</v>
      </c>
      <c r="AJ33" s="14"/>
      <c r="AK33" s="14">
        <f>SUM(E33:P33)</f>
        <v>20.668319999999998</v>
      </c>
      <c r="AL33" s="14">
        <f>SUM(Q33:AB33)</f>
        <v>4.7503799999999998</v>
      </c>
      <c r="AM33" s="14">
        <f>SUM(X33:AI33)</f>
        <v>0</v>
      </c>
      <c r="AN33" s="14"/>
      <c r="AO33" s="13">
        <f>IFERROR(AK33/AK$15%,0)</f>
        <v>0.27026520938769744</v>
      </c>
      <c r="AP33" s="13">
        <f>IFERROR(AL33/AL$15%,0)</f>
        <v>7.007750967510068E-2</v>
      </c>
      <c r="AQ33" s="13">
        <f>IFERROR(AM33/AM$15%,0)</f>
        <v>0</v>
      </c>
    </row>
    <row r="34" spans="3:43" ht="11.25" hidden="1" customHeight="1" outlineLevel="1" collapsed="1" x14ac:dyDescent="0.2">
      <c r="C34" t="s">
        <v>312</v>
      </c>
      <c r="D34" s="4"/>
      <c r="E34" s="2">
        <f>SUM(E30:E33)</f>
        <v>18.341460000000001</v>
      </c>
      <c r="F34" s="2">
        <f>SUM(F30:F33)</f>
        <v>17.836810000000003</v>
      </c>
      <c r="G34" s="2">
        <f>SUM(G30:G33)</f>
        <v>15.340669999999998</v>
      </c>
      <c r="H34" s="2">
        <f>SUM(H30:H33)</f>
        <v>15.039420000000002</v>
      </c>
      <c r="I34" s="2">
        <f>SUM(I30:I33)</f>
        <v>13.767479999999995</v>
      </c>
      <c r="J34" s="2">
        <f>SUM(J30:J33)</f>
        <v>12.988680000000006</v>
      </c>
      <c r="K34" s="2">
        <f>SUM(K30:K33)</f>
        <v>13.12125</v>
      </c>
      <c r="L34" s="2">
        <f>SUM(L30:L33)</f>
        <v>12.576499999999996</v>
      </c>
      <c r="M34" s="2">
        <f>SUM(M30:M33)</f>
        <v>11.60823000000001</v>
      </c>
      <c r="N34" s="2">
        <f>SUM(N30:N33)</f>
        <v>25.765639999999983</v>
      </c>
      <c r="O34" s="2">
        <f>SUM(O30:O33)</f>
        <v>22.821310000000008</v>
      </c>
      <c r="P34" s="2">
        <f>SUM(P30:P33)</f>
        <v>47.349419999999995</v>
      </c>
      <c r="Q34" s="2">
        <f>SUM(Q30:Q33)</f>
        <v>18.210069999999998</v>
      </c>
      <c r="R34" s="2">
        <f>SUM(R30:R33)</f>
        <v>17.918510000000001</v>
      </c>
      <c r="S34" s="2">
        <f>SUM(S30:S33)</f>
        <v>17.225309999999997</v>
      </c>
      <c r="T34" s="2">
        <f>SUM(T30:T33)</f>
        <v>21.848740000000003</v>
      </c>
      <c r="U34" s="2">
        <f>SUM(U30:U33)</f>
        <v>16.410619999999998</v>
      </c>
      <c r="V34" s="2">
        <f>SUM(V30:V33)</f>
        <v>12.81418</v>
      </c>
      <c r="W34" s="2">
        <f>SUM(W30:W33)</f>
        <v>11.729259999999995</v>
      </c>
      <c r="X34" s="2">
        <f>SUM(X30:X33)</f>
        <v>9.9186600000000027</v>
      </c>
      <c r="Y34" s="2">
        <f>SUM(Y30:Y33)</f>
        <v>10.762540000000001</v>
      </c>
      <c r="Z34" s="2">
        <f>SUM(Z30:Z33)</f>
        <v>26.689319999999991</v>
      </c>
      <c r="AA34" s="2">
        <f>SUM(AA30:AA33)</f>
        <v>23.768270000000005</v>
      </c>
      <c r="AB34" s="2">
        <f>SUM(AB30:AB33)</f>
        <v>36.280660000000005</v>
      </c>
      <c r="AC34" s="2">
        <f>SUM(AC30:AC33)</f>
        <v>18.479619999999997</v>
      </c>
      <c r="AD34" s="2">
        <f>SUM(AD30:AD33)</f>
        <v>16.885170000000002</v>
      </c>
      <c r="AE34" s="2">
        <f>SUM(AE30:AE33)</f>
        <v>16.514729999999997</v>
      </c>
      <c r="AF34" s="2">
        <f>SUM(AF30:AF33)</f>
        <v>16.555550000000004</v>
      </c>
      <c r="AG34" s="2">
        <f>SUM(AG30:AG33)</f>
        <v>16.392659999999996</v>
      </c>
      <c r="AH34" s="2">
        <f>SUM(AH30:AH33)</f>
        <v>16.05489</v>
      </c>
      <c r="AI34" s="2">
        <f>SUM(AI30:AI33)</f>
        <v>14.882120000000009</v>
      </c>
      <c r="AJ34" s="2"/>
      <c r="AK34" s="2">
        <f>SUM(AK30:AK33)</f>
        <v>226.55687</v>
      </c>
      <c r="AL34" s="2">
        <f>SUM(AL30:AL33)</f>
        <v>223.57614000000001</v>
      </c>
      <c r="AM34" s="2">
        <f>SUM(AM30:AM33)</f>
        <v>223.18419</v>
      </c>
      <c r="AN34" s="2"/>
      <c r="AO34" s="5">
        <f>IFERROR(AK34/AK$15%,0)</f>
        <v>2.9625262192946189</v>
      </c>
      <c r="AP34" s="5">
        <f>IFERROR(AL34/AL$15%,0)</f>
        <v>3.2981906950542199</v>
      </c>
      <c r="AQ34" s="5">
        <f>IFERROR(AM34/AM$15%,0)</f>
        <v>3.0392428112859862</v>
      </c>
    </row>
    <row r="35" spans="3:43" ht="6" hidden="1" customHeight="1" outlineLevel="2" x14ac:dyDescent="0.2">
      <c r="D35" s="4"/>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5"/>
      <c r="AP35" s="5"/>
      <c r="AQ35" s="5"/>
    </row>
    <row r="36" spans="3:43" ht="11.25" hidden="1" customHeight="1" outlineLevel="2" x14ac:dyDescent="0.2">
      <c r="C36" t="s">
        <v>311</v>
      </c>
      <c r="D36" s="4"/>
      <c r="E36" s="2">
        <f>SUMIFS(TB!K:K,TB!$J:$J,$C36)</f>
        <v>0</v>
      </c>
      <c r="F36" s="2">
        <f>SUMIFS(TB!L:L,TB!$J:$J,$C36)</f>
        <v>0</v>
      </c>
      <c r="G36" s="2">
        <f>SUMIFS(TB!M:M,TB!$J:$J,$C36)</f>
        <v>0</v>
      </c>
      <c r="H36" s="2">
        <f>SUMIFS(TB!N:N,TB!$J:$J,$C36)</f>
        <v>0</v>
      </c>
      <c r="I36" s="2">
        <f>SUMIFS(TB!O:O,TB!$J:$J,$C36)</f>
        <v>0</v>
      </c>
      <c r="J36" s="2">
        <f>SUMIFS(TB!P:P,TB!$J:$J,$C36)</f>
        <v>0.19538</v>
      </c>
      <c r="K36" s="2">
        <f>SUMIFS(TB!Q:Q,TB!$J:$J,$C36)</f>
        <v>0</v>
      </c>
      <c r="L36" s="2">
        <f>SUMIFS(TB!R:R,TB!$J:$J,$C36)</f>
        <v>0</v>
      </c>
      <c r="M36" s="2">
        <f>SUMIFS(TB!S:S,TB!$J:$J,$C36)</f>
        <v>0</v>
      </c>
      <c r="N36" s="2">
        <f>SUMIFS(TB!T:T,TB!$J:$J,$C36)</f>
        <v>0</v>
      </c>
      <c r="O36" s="2">
        <f>SUMIFS(TB!U:U,TB!$J:$J,$C36)</f>
        <v>0</v>
      </c>
      <c r="P36" s="2">
        <f>SUMIFS(TB!V:V,TB!$J:$J,$C36)</f>
        <v>91.939139999999995</v>
      </c>
      <c r="Q36" s="2">
        <f>SUMIFS(TB!W:W,TB!$J:$J,$C36)</f>
        <v>0</v>
      </c>
      <c r="R36" s="2">
        <f>SUMIFS(TB!X:X,TB!$J:$J,$C36)</f>
        <v>0</v>
      </c>
      <c r="S36" s="2">
        <f>SUMIFS(TB!Y:Y,TB!$J:$J,$C36)</f>
        <v>0</v>
      </c>
      <c r="T36" s="2">
        <f>SUMIFS(TB!Z:Z,TB!$J:$J,$C36)</f>
        <v>0</v>
      </c>
      <c r="U36" s="2">
        <f>SUMIFS(TB!AA:AA,TB!$J:$J,$C36)</f>
        <v>0</v>
      </c>
      <c r="V36" s="2">
        <f>SUMIFS(TB!AB:AB,TB!$J:$J,$C36)</f>
        <v>0</v>
      </c>
      <c r="W36" s="2">
        <f>SUMIFS(TB!AC:AC,TB!$J:$J,$C36)</f>
        <v>0</v>
      </c>
      <c r="X36" s="2">
        <f>SUMIFS(TB!AD:AD,TB!$J:$J,$C36)</f>
        <v>0</v>
      </c>
      <c r="Y36" s="2">
        <f>SUMIFS(TB!AE:AE,TB!$J:$J,$C36)</f>
        <v>0</v>
      </c>
      <c r="Z36" s="2">
        <f>SUMIFS(TB!AF:AF,TB!$J:$J,$C36)</f>
        <v>0</v>
      </c>
      <c r="AA36" s="2">
        <f>SUMIFS(TB!AG:AG,TB!$J:$J,$C36)</f>
        <v>0</v>
      </c>
      <c r="AB36" s="2">
        <f>SUMIFS(TB!AH:AH,TB!$J:$J,$C36)</f>
        <v>87.325890000000001</v>
      </c>
      <c r="AC36" s="2">
        <f>SUMIFS(TB!AI:AI,TB!$J:$J,$C36)</f>
        <v>0</v>
      </c>
      <c r="AD36" s="2">
        <f>SUMIFS(TB!AJ:AJ,TB!$J:$J,$C36)</f>
        <v>0</v>
      </c>
      <c r="AE36" s="2">
        <f>SUMIFS(TB!AK:AK,TB!$J:$J,$C36)</f>
        <v>0</v>
      </c>
      <c r="AF36" s="2">
        <f>SUMIFS(TB!AL:AL,TB!$J:$J,$C36)</f>
        <v>0</v>
      </c>
      <c r="AG36" s="2">
        <f>SUMIFS(TB!AM:AM,TB!$J:$J,$C36)</f>
        <v>0</v>
      </c>
      <c r="AH36" s="2">
        <f>SUMIFS(TB!AN:AN,TB!$J:$J,$C36)</f>
        <v>0</v>
      </c>
      <c r="AI36" s="2">
        <f>SUMIFS(TB!AO:AO,TB!$J:$J,$C36)</f>
        <v>5.6132499999999999</v>
      </c>
      <c r="AJ36" s="2"/>
      <c r="AK36" s="2">
        <f>SUM(E36:P36)</f>
        <v>92.134519999999995</v>
      </c>
      <c r="AL36" s="2">
        <f>SUM(Q36:AB36)</f>
        <v>87.325890000000001</v>
      </c>
      <c r="AM36" s="2">
        <f>SUM(X36:AI36)</f>
        <v>92.939139999999995</v>
      </c>
      <c r="AN36" s="2"/>
      <c r="AO36" s="5">
        <f>IFERROR(AK36/AK$15%,0)</f>
        <v>1.2047788760593507</v>
      </c>
      <c r="AP36" s="5">
        <f>IFERROR(AL36/AL$15%,0)</f>
        <v>1.2882297629582851</v>
      </c>
      <c r="AQ36" s="5">
        <f>IFERROR(AM36/AM$15%,0)</f>
        <v>1.2656121077935756</v>
      </c>
    </row>
    <row r="37" spans="3:43" ht="11.25" hidden="1" customHeight="1" outlineLevel="2" x14ac:dyDescent="0.2">
      <c r="C37" t="s">
        <v>310</v>
      </c>
      <c r="D37" s="4"/>
      <c r="E37" s="2">
        <f>SUMIFS(TB!K:K,TB!$J:$J,$C37)</f>
        <v>0</v>
      </c>
      <c r="F37" s="2">
        <f>SUMIFS(TB!L:L,TB!$J:$J,$C37)</f>
        <v>0</v>
      </c>
      <c r="G37" s="2">
        <f>SUMIFS(TB!M:M,TB!$J:$J,$C37)</f>
        <v>0</v>
      </c>
      <c r="H37" s="2">
        <f>SUMIFS(TB!N:N,TB!$J:$J,$C37)</f>
        <v>0</v>
      </c>
      <c r="I37" s="2">
        <f>SUMIFS(TB!O:O,TB!$J:$J,$C37)</f>
        <v>0</v>
      </c>
      <c r="J37" s="2">
        <f>SUMIFS(TB!P:P,TB!$J:$J,$C37)</f>
        <v>0</v>
      </c>
      <c r="K37" s="2">
        <f>SUMIFS(TB!Q:Q,TB!$J:$J,$C37)</f>
        <v>0</v>
      </c>
      <c r="L37" s="2">
        <f>SUMIFS(TB!R:R,TB!$J:$J,$C37)</f>
        <v>0</v>
      </c>
      <c r="M37" s="2">
        <f>SUMIFS(TB!S:S,TB!$J:$J,$C37)</f>
        <v>0</v>
      </c>
      <c r="N37" s="2">
        <f>SUMIFS(TB!T:T,TB!$J:$J,$C37)</f>
        <v>0</v>
      </c>
      <c r="O37" s="2">
        <f>SUMIFS(TB!U:U,TB!$J:$J,$C37)</f>
        <v>0</v>
      </c>
      <c r="P37" s="2">
        <f>SUMIFS(TB!V:V,TB!$J:$J,$C37)</f>
        <v>0</v>
      </c>
      <c r="Q37" s="2">
        <f>SUMIFS(TB!W:W,TB!$J:$J,$C37)</f>
        <v>0</v>
      </c>
      <c r="R37" s="2">
        <f>SUMIFS(TB!X:X,TB!$J:$J,$C37)</f>
        <v>0</v>
      </c>
      <c r="S37" s="2">
        <f>SUMIFS(TB!Y:Y,TB!$J:$J,$C37)</f>
        <v>0</v>
      </c>
      <c r="T37" s="2">
        <f>SUMIFS(TB!Z:Z,TB!$J:$J,$C37)</f>
        <v>3.9203000000000001</v>
      </c>
      <c r="U37" s="2">
        <f>SUMIFS(TB!AA:AA,TB!$J:$J,$C37)</f>
        <v>3.9203000000000001</v>
      </c>
      <c r="V37" s="2">
        <f>SUMIFS(TB!AB:AB,TB!$J:$J,$C37)</f>
        <v>3.1364599999999991</v>
      </c>
      <c r="W37" s="2">
        <f>SUMIFS(TB!AC:AC,TB!$J:$J,$C37)</f>
        <v>3.1364600000000009</v>
      </c>
      <c r="X37" s="2">
        <f>SUMIFS(TB!AD:AD,TB!$J:$J,$C37)</f>
        <v>4.241439999999999</v>
      </c>
      <c r="Y37" s="2">
        <f>SUMIFS(TB!AE:AE,TB!$J:$J,$C37)</f>
        <v>4.2414400000000025</v>
      </c>
      <c r="Z37" s="2">
        <f>SUMIFS(TB!AF:AF,TB!$J:$J,$C37)</f>
        <v>3.5690599999999977</v>
      </c>
      <c r="AA37" s="2">
        <f>SUMIFS(TB!AG:AG,TB!$J:$J,$C37)</f>
        <v>10.094669999999999</v>
      </c>
      <c r="AB37" s="2">
        <f>SUMIFS(TB!AH:AH,TB!$J:$J,$C37)</f>
        <v>-36.260129999999997</v>
      </c>
      <c r="AC37" s="2">
        <f>SUMIFS(TB!AI:AI,TB!$J:$J,$C37)</f>
        <v>5.5928800000000001</v>
      </c>
      <c r="AD37" s="2">
        <f>SUMIFS(TB!AJ:AJ,TB!$J:$J,$C37)</f>
        <v>7.3631200000000003</v>
      </c>
      <c r="AE37" s="2">
        <f>SUMIFS(TB!AK:AK,TB!$J:$J,$C37)</f>
        <v>7.3631199999999986</v>
      </c>
      <c r="AF37" s="2">
        <f>SUMIFS(TB!AL:AL,TB!$J:$J,$C37)</f>
        <v>7.363120000000003</v>
      </c>
      <c r="AG37" s="2">
        <f>SUMIFS(TB!AM:AM,TB!$J:$J,$C37)</f>
        <v>7.3601199999999993</v>
      </c>
      <c r="AH37" s="2">
        <f>SUMIFS(TB!AN:AN,TB!$J:$J,$C37)</f>
        <v>6.6523600000000007</v>
      </c>
      <c r="AI37" s="2">
        <f>SUMIFS(TB!AO:AO,TB!$J:$J,$C37)</f>
        <v>9.9086999999999978</v>
      </c>
      <c r="AJ37" s="2"/>
      <c r="AK37" s="2">
        <f>SUM(E37:P37)</f>
        <v>0</v>
      </c>
      <c r="AL37" s="2">
        <f>SUM(Q37:AB37)</f>
        <v>0</v>
      </c>
      <c r="AM37" s="2">
        <f>SUM(X37:AI37)</f>
        <v>37.489899999999999</v>
      </c>
      <c r="AN37" s="2"/>
      <c r="AO37" s="5">
        <f>IFERROR(AK37/AK$15%,0)</f>
        <v>0</v>
      </c>
      <c r="AP37" s="5">
        <f>IFERROR(AL37/AL$15%,0)</f>
        <v>0</v>
      </c>
      <c r="AQ37" s="5">
        <f>IFERROR(AM37/AM$15%,0)</f>
        <v>0.51052410598990228</v>
      </c>
    </row>
    <row r="38" spans="3:43" ht="11.25" hidden="1" customHeight="1" outlineLevel="2" x14ac:dyDescent="0.2">
      <c r="C38" t="s">
        <v>309</v>
      </c>
      <c r="D38" s="4"/>
      <c r="E38" s="2">
        <f>SUMIFS(TB!K:K,TB!$J:$J,$C38)</f>
        <v>0</v>
      </c>
      <c r="F38" s="2">
        <f>SUMIFS(TB!L:L,TB!$J:$J,$C38)</f>
        <v>0</v>
      </c>
      <c r="G38" s="2">
        <f>SUMIFS(TB!M:M,TB!$J:$J,$C38)</f>
        <v>0</v>
      </c>
      <c r="H38" s="2">
        <f>SUMIFS(TB!N:N,TB!$J:$J,$C38)</f>
        <v>0</v>
      </c>
      <c r="I38" s="2">
        <f>SUMIFS(TB!O:O,TB!$J:$J,$C38)</f>
        <v>0</v>
      </c>
      <c r="J38" s="2">
        <f>SUMIFS(TB!P:P,TB!$J:$J,$C38)</f>
        <v>0</v>
      </c>
      <c r="K38" s="2">
        <f>SUMIFS(TB!Q:Q,TB!$J:$J,$C38)</f>
        <v>0</v>
      </c>
      <c r="L38" s="2">
        <f>SUMIFS(TB!R:R,TB!$J:$J,$C38)</f>
        <v>0</v>
      </c>
      <c r="M38" s="2">
        <f>SUMIFS(TB!S:S,TB!$J:$J,$C38)</f>
        <v>0</v>
      </c>
      <c r="N38" s="2">
        <f>SUMIFS(TB!T:T,TB!$J:$J,$C38)</f>
        <v>0</v>
      </c>
      <c r="O38" s="2">
        <f>SUMIFS(TB!U:U,TB!$J:$J,$C38)</f>
        <v>0</v>
      </c>
      <c r="P38" s="2">
        <f>SUMIFS(TB!V:V,TB!$J:$J,$C38)</f>
        <v>0</v>
      </c>
      <c r="Q38" s="2">
        <f>SUMIFS(TB!W:W,TB!$J:$J,$C38)</f>
        <v>0</v>
      </c>
      <c r="R38" s="2">
        <f>SUMIFS(TB!X:X,TB!$J:$J,$C38)</f>
        <v>0</v>
      </c>
      <c r="S38" s="2">
        <f>SUMIFS(TB!Y:Y,TB!$J:$J,$C38)</f>
        <v>22.98142</v>
      </c>
      <c r="T38" s="2">
        <f>SUMIFS(TB!Z:Z,TB!$J:$J,$C38)</f>
        <v>19.413190000000004</v>
      </c>
      <c r="U38" s="2">
        <f>SUMIFS(TB!AA:AA,TB!$J:$J,$C38)</f>
        <v>19.931429999999999</v>
      </c>
      <c r="V38" s="2">
        <f>SUMIFS(TB!AB:AB,TB!$J:$J,$C38)</f>
        <v>19.976430000000001</v>
      </c>
      <c r="W38" s="2">
        <f>SUMIFS(TB!AC:AC,TB!$J:$J,$C38)</f>
        <v>18.680270000000004</v>
      </c>
      <c r="X38" s="2">
        <f>SUMIFS(TB!AD:AD,TB!$J:$J,$C38)</f>
        <v>20.92912999999999</v>
      </c>
      <c r="Y38" s="2">
        <f>SUMIFS(TB!AE:AE,TB!$J:$J,$C38)</f>
        <v>17.136179999999992</v>
      </c>
      <c r="Z38" s="2">
        <f>SUMIFS(TB!AF:AF,TB!$J:$J,$C38)</f>
        <v>15.248340000000026</v>
      </c>
      <c r="AA38" s="2">
        <f>SUMIFS(TB!AG:AG,TB!$J:$J,$C38)</f>
        <v>18.409489999999991</v>
      </c>
      <c r="AB38" s="2">
        <f>SUMIFS(TB!AH:AH,TB!$J:$J,$C38)</f>
        <v>-172.70588000000001</v>
      </c>
      <c r="AC38" s="2">
        <f>SUMIFS(TB!AI:AI,TB!$J:$J,$C38)</f>
        <v>15.10064</v>
      </c>
      <c r="AD38" s="2">
        <f>SUMIFS(TB!AJ:AJ,TB!$J:$J,$C38)</f>
        <v>15.12748</v>
      </c>
      <c r="AE38" s="2">
        <f>SUMIFS(TB!AK:AK,TB!$J:$J,$C38)</f>
        <v>15.112560000000002</v>
      </c>
      <c r="AF38" s="2">
        <f>SUMIFS(TB!AL:AL,TB!$J:$J,$C38)</f>
        <v>15.112559999999998</v>
      </c>
      <c r="AG38" s="2">
        <f>SUMIFS(TB!AM:AM,TB!$J:$J,$C38)</f>
        <v>15.115560000000006</v>
      </c>
      <c r="AH38" s="2">
        <f>SUMIFS(TB!AN:AN,TB!$J:$J,$C38)</f>
        <v>15.115559999999999</v>
      </c>
      <c r="AI38" s="2">
        <f>SUMIFS(TB!AO:AO,TB!$J:$J,$C38)</f>
        <v>14.798559999999998</v>
      </c>
      <c r="AJ38" s="2"/>
      <c r="AK38" s="2">
        <f>SUM(E38:P38)</f>
        <v>0</v>
      </c>
      <c r="AL38" s="2">
        <f>SUM(Q38:AB38)</f>
        <v>0</v>
      </c>
      <c r="AM38" s="2">
        <f>SUM(X38:AI38)</f>
        <v>4.5001800000000038</v>
      </c>
      <c r="AN38" s="2"/>
      <c r="AO38" s="5">
        <f>IFERROR(AK38/AK$15%,0)</f>
        <v>0</v>
      </c>
      <c r="AP38" s="5">
        <f>IFERROR(AL38/AL$15%,0)</f>
        <v>0</v>
      </c>
      <c r="AQ38" s="5">
        <f>IFERROR(AM38/AM$15%,0)</f>
        <v>6.128184847902076E-2</v>
      </c>
    </row>
    <row r="39" spans="3:43" ht="11.25" hidden="1" customHeight="1" outlineLevel="2" x14ac:dyDescent="0.2">
      <c r="C39" t="s">
        <v>308</v>
      </c>
      <c r="D39" s="4"/>
      <c r="E39" s="2">
        <f>SUMIFS(TB!K:K,TB!$J:$J,$C39)</f>
        <v>0</v>
      </c>
      <c r="F39" s="2">
        <f>SUMIFS(TB!L:L,TB!$J:$J,$C39)</f>
        <v>0</v>
      </c>
      <c r="G39" s="2">
        <f>SUMIFS(TB!M:M,TB!$J:$J,$C39)</f>
        <v>0</v>
      </c>
      <c r="H39" s="2">
        <f>SUMIFS(TB!N:N,TB!$J:$J,$C39)</f>
        <v>0</v>
      </c>
      <c r="I39" s="2">
        <f>SUMIFS(TB!O:O,TB!$J:$J,$C39)</f>
        <v>0</v>
      </c>
      <c r="J39" s="2">
        <f>SUMIFS(TB!P:P,TB!$J:$J,$C39)</f>
        <v>0</v>
      </c>
      <c r="K39" s="2">
        <f>SUMIFS(TB!Q:Q,TB!$J:$J,$C39)</f>
        <v>0</v>
      </c>
      <c r="L39" s="2">
        <f>SUMIFS(TB!R:R,TB!$J:$J,$C39)</f>
        <v>0</v>
      </c>
      <c r="M39" s="2">
        <f>SUMIFS(TB!S:S,TB!$J:$J,$C39)</f>
        <v>0</v>
      </c>
      <c r="N39" s="2">
        <f>SUMIFS(TB!T:T,TB!$J:$J,$C39)</f>
        <v>0</v>
      </c>
      <c r="O39" s="2">
        <f>SUMIFS(TB!U:U,TB!$J:$J,$C39)</f>
        <v>0</v>
      </c>
      <c r="P39" s="2">
        <f>SUMIFS(TB!V:V,TB!$J:$J,$C39)</f>
        <v>0</v>
      </c>
      <c r="Q39" s="2">
        <f>SUMIFS(TB!W:W,TB!$J:$J,$C39)</f>
        <v>0</v>
      </c>
      <c r="R39" s="2">
        <f>SUMIFS(TB!X:X,TB!$J:$J,$C39)</f>
        <v>0</v>
      </c>
      <c r="S39" s="2">
        <f>SUMIFS(TB!Y:Y,TB!$J:$J,$C39)</f>
        <v>0</v>
      </c>
      <c r="T39" s="2">
        <f>SUMIFS(TB!Z:Z,TB!$J:$J,$C39)</f>
        <v>0</v>
      </c>
      <c r="U39" s="2">
        <f>SUMIFS(TB!AA:AA,TB!$J:$J,$C39)</f>
        <v>0</v>
      </c>
      <c r="V39" s="2">
        <f>SUMIFS(TB!AB:AB,TB!$J:$J,$C39)</f>
        <v>0</v>
      </c>
      <c r="W39" s="2">
        <f>SUMIFS(TB!AC:AC,TB!$J:$J,$C39)</f>
        <v>0</v>
      </c>
      <c r="X39" s="2">
        <f>SUMIFS(TB!AD:AD,TB!$J:$J,$C39)</f>
        <v>0</v>
      </c>
      <c r="Y39" s="2">
        <f>SUMIFS(TB!AE:AE,TB!$J:$J,$C39)</f>
        <v>0</v>
      </c>
      <c r="Z39" s="2">
        <f>SUMIFS(TB!AF:AF,TB!$J:$J,$C39)</f>
        <v>0</v>
      </c>
      <c r="AA39" s="2">
        <f>SUMIFS(TB!AG:AG,TB!$J:$J,$C39)</f>
        <v>0</v>
      </c>
      <c r="AB39" s="2">
        <f>SUMIFS(TB!AH:AH,TB!$J:$J,$C39)</f>
        <v>0</v>
      </c>
      <c r="AC39" s="2">
        <f>SUMIFS(TB!AI:AI,TB!$J:$J,$C39)</f>
        <v>1.7672399999999999</v>
      </c>
      <c r="AD39" s="2">
        <f>SUMIFS(TB!AJ:AJ,TB!$J:$J,$C39)</f>
        <v>0</v>
      </c>
      <c r="AE39" s="2">
        <f>SUMIFS(TB!AK:AK,TB!$J:$J,$C39)</f>
        <v>0</v>
      </c>
      <c r="AF39" s="2">
        <f>SUMIFS(TB!AL:AL,TB!$J:$J,$C39)</f>
        <v>0</v>
      </c>
      <c r="AG39" s="2">
        <f>SUMIFS(TB!AM:AM,TB!$J:$J,$C39)</f>
        <v>0</v>
      </c>
      <c r="AH39" s="2">
        <f>SUMIFS(TB!AN:AN,TB!$J:$J,$C39)</f>
        <v>0</v>
      </c>
      <c r="AI39" s="2">
        <f>SUMIFS(TB!AO:AO,TB!$J:$J,$C39)</f>
        <v>0</v>
      </c>
      <c r="AJ39" s="2"/>
      <c r="AK39" s="2">
        <f>SUM(E39:P39)</f>
        <v>0</v>
      </c>
      <c r="AL39" s="2">
        <f>SUM(Q39:AB39)</f>
        <v>0</v>
      </c>
      <c r="AM39" s="2">
        <f>SUM(X39:AI39)</f>
        <v>1.7672399999999999</v>
      </c>
      <c r="AN39" s="2"/>
      <c r="AO39" s="5">
        <f>IFERROR(AK39/AK$15%,0)</f>
        <v>0</v>
      </c>
      <c r="AP39" s="5">
        <f>IFERROR(AL39/AL$15%,0)</f>
        <v>0</v>
      </c>
      <c r="AQ39" s="5">
        <f>IFERROR(AM39/AM$15%,0)</f>
        <v>2.4065644908884656E-2</v>
      </c>
    </row>
    <row r="40" spans="3:43" ht="11.25" hidden="1" customHeight="1" outlineLevel="2" x14ac:dyDescent="0.2">
      <c r="C40" t="s">
        <v>307</v>
      </c>
      <c r="D40" s="4"/>
      <c r="E40" s="2">
        <f>SUMIFS(TB!K:K,TB!$J:$J,$C40)</f>
        <v>0</v>
      </c>
      <c r="F40" s="2">
        <f>SUMIFS(TB!L:L,TB!$J:$J,$C40)</f>
        <v>0</v>
      </c>
      <c r="G40" s="2">
        <f>SUMIFS(TB!M:M,TB!$J:$J,$C40)</f>
        <v>0</v>
      </c>
      <c r="H40" s="2">
        <f>SUMIFS(TB!N:N,TB!$J:$J,$C40)</f>
        <v>0</v>
      </c>
      <c r="I40" s="2">
        <f>SUMIFS(TB!O:O,TB!$J:$J,$C40)</f>
        <v>0</v>
      </c>
      <c r="J40" s="2">
        <f>SUMIFS(TB!P:P,TB!$J:$J,$C40)</f>
        <v>0</v>
      </c>
      <c r="K40" s="2">
        <f>SUMIFS(TB!Q:Q,TB!$J:$J,$C40)</f>
        <v>0</v>
      </c>
      <c r="L40" s="2">
        <f>SUMIFS(TB!R:R,TB!$J:$J,$C40)</f>
        <v>0</v>
      </c>
      <c r="M40" s="2">
        <f>SUMIFS(TB!S:S,TB!$J:$J,$C40)</f>
        <v>0</v>
      </c>
      <c r="N40" s="2">
        <f>SUMIFS(TB!T:T,TB!$J:$J,$C40)</f>
        <v>0</v>
      </c>
      <c r="O40" s="2">
        <f>SUMIFS(TB!U:U,TB!$J:$J,$C40)</f>
        <v>0</v>
      </c>
      <c r="P40" s="2">
        <f>SUMIFS(TB!V:V,TB!$J:$J,$C40)</f>
        <v>0</v>
      </c>
      <c r="Q40" s="2">
        <f>SUMIFS(TB!W:W,TB!$J:$J,$C40)</f>
        <v>0</v>
      </c>
      <c r="R40" s="2">
        <f>SUMIFS(TB!X:X,TB!$J:$J,$C40)</f>
        <v>0</v>
      </c>
      <c r="S40" s="2">
        <f>SUMIFS(TB!Y:Y,TB!$J:$J,$C40)</f>
        <v>0</v>
      </c>
      <c r="T40" s="2">
        <f>SUMIFS(TB!Z:Z,TB!$J:$J,$C40)</f>
        <v>0.51788999999999996</v>
      </c>
      <c r="U40" s="2">
        <f>SUMIFS(TB!AA:AA,TB!$J:$J,$C40)</f>
        <v>0.51788999999999996</v>
      </c>
      <c r="V40" s="2">
        <f>SUMIFS(TB!AB:AB,TB!$J:$J,$C40)</f>
        <v>0.51573000000000002</v>
      </c>
      <c r="W40" s="2">
        <f>SUMIFS(TB!AC:AC,TB!$J:$J,$C40)</f>
        <v>0.51579000000000019</v>
      </c>
      <c r="X40" s="2">
        <f>SUMIFS(TB!AD:AD,TB!$J:$J,$C40)</f>
        <v>0.51875999999999978</v>
      </c>
      <c r="Y40" s="2">
        <f>SUMIFS(TB!AE:AE,TB!$J:$J,$C40)</f>
        <v>0.50280000000000014</v>
      </c>
      <c r="Z40" s="2">
        <f>SUMIFS(TB!AF:AF,TB!$J:$J,$C40)</f>
        <v>0.49125000000000002</v>
      </c>
      <c r="AA40" s="2">
        <f>SUMIFS(TB!AG:AG,TB!$J:$J,$C40)</f>
        <v>0.50602999999999976</v>
      </c>
      <c r="AB40" s="2">
        <f>SUMIFS(TB!AH:AH,TB!$J:$J,$C40)</f>
        <v>-4.0861399999999994</v>
      </c>
      <c r="AC40" s="2">
        <f>SUMIFS(TB!AI:AI,TB!$J:$J,$C40)</f>
        <v>0.4909</v>
      </c>
      <c r="AD40" s="2">
        <f>SUMIFS(TB!AJ:AJ,TB!$J:$J,$C40)</f>
        <v>0.4909</v>
      </c>
      <c r="AE40" s="2">
        <f>SUMIFS(TB!AK:AK,TB!$J:$J,$C40)</f>
        <v>0.48779999999999996</v>
      </c>
      <c r="AF40" s="2">
        <f>SUMIFS(TB!AL:AL,TB!$J:$J,$C40)</f>
        <v>0.48780000000000018</v>
      </c>
      <c r="AG40" s="2">
        <f>SUMIFS(TB!AM:AM,TB!$J:$J,$C40)</f>
        <v>0.48779999999999973</v>
      </c>
      <c r="AH40" s="2">
        <f>SUMIFS(TB!AN:AN,TB!$J:$J,$C40)</f>
        <v>0.48590000000000011</v>
      </c>
      <c r="AI40" s="2">
        <f>SUMIFS(TB!AO:AO,TB!$J:$J,$C40)</f>
        <v>0.48990000000000011</v>
      </c>
      <c r="AJ40" s="2"/>
      <c r="AK40" s="2">
        <f>SUM(E40:P40)</f>
        <v>0</v>
      </c>
      <c r="AL40" s="2">
        <f>SUM(Q40:AB40)</f>
        <v>0</v>
      </c>
      <c r="AM40" s="2">
        <f>SUM(X40:AI40)</f>
        <v>1.3537000000000003</v>
      </c>
      <c r="AN40" s="2"/>
      <c r="AO40" s="5">
        <f>IFERROR(AK40/AK$15%,0)</f>
        <v>0</v>
      </c>
      <c r="AP40" s="5">
        <f>IFERROR(AL40/AL$15%,0)</f>
        <v>0</v>
      </c>
      <c r="AQ40" s="5">
        <f>IFERROR(AM40/AM$15%,0)</f>
        <v>1.8434204473165596E-2</v>
      </c>
    </row>
    <row r="41" spans="3:43" ht="11.25" hidden="1" customHeight="1" outlineLevel="2" x14ac:dyDescent="0.2">
      <c r="C41" t="s">
        <v>306</v>
      </c>
      <c r="D41" s="4"/>
      <c r="E41" s="2">
        <f>SUMIFS(TB!K:K,TB!$J:$J,$C41)</f>
        <v>0</v>
      </c>
      <c r="F41" s="2">
        <f>SUMIFS(TB!L:L,TB!$J:$J,$C41)</f>
        <v>0</v>
      </c>
      <c r="G41" s="2">
        <f>SUMIFS(TB!M:M,TB!$J:$J,$C41)</f>
        <v>0</v>
      </c>
      <c r="H41" s="2">
        <f>SUMIFS(TB!N:N,TB!$J:$J,$C41)</f>
        <v>0</v>
      </c>
      <c r="I41" s="2">
        <f>SUMIFS(TB!O:O,TB!$J:$J,$C41)</f>
        <v>0</v>
      </c>
      <c r="J41" s="2">
        <f>SUMIFS(TB!P:P,TB!$J:$J,$C41)</f>
        <v>0</v>
      </c>
      <c r="K41" s="2">
        <f>SUMIFS(TB!Q:Q,TB!$J:$J,$C41)</f>
        <v>0</v>
      </c>
      <c r="L41" s="2">
        <f>SUMIFS(TB!R:R,TB!$J:$J,$C41)</f>
        <v>0</v>
      </c>
      <c r="M41" s="2">
        <f>SUMIFS(TB!S:S,TB!$J:$J,$C41)</f>
        <v>0</v>
      </c>
      <c r="N41" s="2">
        <f>SUMIFS(TB!T:T,TB!$J:$J,$C41)</f>
        <v>0</v>
      </c>
      <c r="O41" s="2">
        <f>SUMIFS(TB!U:U,TB!$J:$J,$C41)</f>
        <v>0</v>
      </c>
      <c r="P41" s="2">
        <f>SUMIFS(TB!V:V,TB!$J:$J,$C41)</f>
        <v>0</v>
      </c>
      <c r="Q41" s="2">
        <f>SUMIFS(TB!W:W,TB!$J:$J,$C41)</f>
        <v>0</v>
      </c>
      <c r="R41" s="2">
        <f>SUMIFS(TB!X:X,TB!$J:$J,$C41)</f>
        <v>0</v>
      </c>
      <c r="S41" s="2">
        <f>SUMIFS(TB!Y:Y,TB!$J:$J,$C41)</f>
        <v>0</v>
      </c>
      <c r="T41" s="2">
        <f>SUMIFS(TB!Z:Z,TB!$J:$J,$C41)</f>
        <v>0.68650999999999995</v>
      </c>
      <c r="U41" s="2">
        <f>SUMIFS(TB!AA:AA,TB!$J:$J,$C41)</f>
        <v>0.16826999999999998</v>
      </c>
      <c r="V41" s="2">
        <f>SUMIFS(TB!AB:AB,TB!$J:$J,$C41)</f>
        <v>0.16826999999999998</v>
      </c>
      <c r="W41" s="2">
        <f>SUMIFS(TB!AC:AC,TB!$J:$J,$C41)</f>
        <v>0.85477999999999998</v>
      </c>
      <c r="X41" s="2">
        <f>SUMIFS(TB!AD:AD,TB!$J:$J,$C41)</f>
        <v>0.16826999999999998</v>
      </c>
      <c r="Y41" s="2">
        <f>SUMIFS(TB!AE:AE,TB!$J:$J,$C41)</f>
        <v>0.66938000000000009</v>
      </c>
      <c r="Z41" s="2">
        <f>SUMIFS(TB!AF:AF,TB!$J:$J,$C41)</f>
        <v>0.72215000000000007</v>
      </c>
      <c r="AA41" s="2">
        <f>SUMIFS(TB!AG:AG,TB!$J:$J,$C41)</f>
        <v>0.46748000000000001</v>
      </c>
      <c r="AB41" s="2">
        <f>SUMIFS(TB!AH:AH,TB!$J:$J,$C41)</f>
        <v>-3.9051100000000001</v>
      </c>
      <c r="AC41" s="2">
        <f>SUMIFS(TB!AI:AI,TB!$J:$J,$C41)</f>
        <v>0.47892000000000001</v>
      </c>
      <c r="AD41" s="2">
        <f>SUMIFS(TB!AJ:AJ,TB!$J:$J,$C41)</f>
        <v>0.47892000000000001</v>
      </c>
      <c r="AE41" s="2">
        <f>SUMIFS(TB!AK:AK,TB!$J:$J,$C41)</f>
        <v>0.47891999999999996</v>
      </c>
      <c r="AF41" s="2">
        <f>SUMIFS(TB!AL:AL,TB!$J:$J,$C41)</f>
        <v>0.47892000000000007</v>
      </c>
      <c r="AG41" s="2">
        <f>SUMIFS(TB!AM:AM,TB!$J:$J,$C41)</f>
        <v>0.47891999999999985</v>
      </c>
      <c r="AH41" s="2">
        <f>SUMIFS(TB!AN:AN,TB!$J:$J,$C41)</f>
        <v>0.47892000000000007</v>
      </c>
      <c r="AI41" s="2">
        <f>SUMIFS(TB!AO:AO,TB!$J:$J,$C41)</f>
        <v>0</v>
      </c>
      <c r="AJ41" s="2"/>
      <c r="AK41" s="2">
        <f>SUM(E41:P41)</f>
        <v>0</v>
      </c>
      <c r="AL41" s="2">
        <f>SUM(Q41:AB41)</f>
        <v>0</v>
      </c>
      <c r="AM41" s="2">
        <f>SUM(X41:AI41)</f>
        <v>0.99568999999999996</v>
      </c>
      <c r="AN41" s="2"/>
      <c r="AO41" s="5">
        <f>IFERROR(AK41/AK$15%,0)</f>
        <v>0</v>
      </c>
      <c r="AP41" s="5">
        <f>IFERROR(AL41/AL$15%,0)</f>
        <v>0</v>
      </c>
      <c r="AQ41" s="5">
        <f>IFERROR(AM41/AM$15%,0)</f>
        <v>1.3558951800167134E-2</v>
      </c>
    </row>
    <row r="42" spans="3:43" ht="11.25" hidden="1" customHeight="1" outlineLevel="2" x14ac:dyDescent="0.2">
      <c r="C42" t="s">
        <v>305</v>
      </c>
      <c r="D42" s="4"/>
      <c r="E42" s="2">
        <f>SUMIFS(TB!K:K,TB!$J:$J,$C42)</f>
        <v>0</v>
      </c>
      <c r="F42" s="2">
        <f>SUMIFS(TB!L:L,TB!$J:$J,$C42)</f>
        <v>0</v>
      </c>
      <c r="G42" s="2">
        <f>SUMIFS(TB!M:M,TB!$J:$J,$C42)</f>
        <v>0</v>
      </c>
      <c r="H42" s="2">
        <f>SUMIFS(TB!N:N,TB!$J:$J,$C42)</f>
        <v>0</v>
      </c>
      <c r="I42" s="2">
        <f>SUMIFS(TB!O:O,TB!$J:$J,$C42)</f>
        <v>0</v>
      </c>
      <c r="J42" s="2">
        <f>SUMIFS(TB!P:P,TB!$J:$J,$C42)</f>
        <v>0</v>
      </c>
      <c r="K42" s="2">
        <f>SUMIFS(TB!Q:Q,TB!$J:$J,$C42)</f>
        <v>0</v>
      </c>
      <c r="L42" s="2">
        <f>SUMIFS(TB!R:R,TB!$J:$J,$C42)</f>
        <v>0</v>
      </c>
      <c r="M42" s="2">
        <f>SUMIFS(TB!S:S,TB!$J:$J,$C42)</f>
        <v>0</v>
      </c>
      <c r="N42" s="2">
        <f>SUMIFS(TB!T:T,TB!$J:$J,$C42)</f>
        <v>0</v>
      </c>
      <c r="O42" s="2">
        <f>SUMIFS(TB!U:U,TB!$J:$J,$C42)</f>
        <v>0</v>
      </c>
      <c r="P42" s="2">
        <f>SUMIFS(TB!V:V,TB!$J:$J,$C42)</f>
        <v>0</v>
      </c>
      <c r="Q42" s="2">
        <f>SUMIFS(TB!W:W,TB!$J:$J,$C42)</f>
        <v>0</v>
      </c>
      <c r="R42" s="2">
        <f>SUMIFS(TB!X:X,TB!$J:$J,$C42)</f>
        <v>0</v>
      </c>
      <c r="S42" s="2">
        <f>SUMIFS(TB!Y:Y,TB!$J:$J,$C42)</f>
        <v>0</v>
      </c>
      <c r="T42" s="2">
        <f>SUMIFS(TB!Z:Z,TB!$J:$J,$C42)</f>
        <v>0.02</v>
      </c>
      <c r="U42" s="2">
        <f>SUMIFS(TB!AA:AA,TB!$J:$J,$C42)</f>
        <v>0.02</v>
      </c>
      <c r="V42" s="2">
        <f>SUMIFS(TB!AB:AB,TB!$J:$J,$C42)</f>
        <v>0.02</v>
      </c>
      <c r="W42" s="2">
        <f>SUMIFS(TB!AC:AC,TB!$J:$J,$C42)</f>
        <v>0.02</v>
      </c>
      <c r="X42" s="2">
        <f>SUMIFS(TB!AD:AD,TB!$J:$J,$C42)</f>
        <v>0.03</v>
      </c>
      <c r="Y42" s="2">
        <f>SUMIFS(TB!AE:AE,TB!$J:$J,$C42)</f>
        <v>3.5000000000000003E-2</v>
      </c>
      <c r="Z42" s="2">
        <f>SUMIFS(TB!AF:AF,TB!$J:$J,$C42)</f>
        <v>0.03</v>
      </c>
      <c r="AA42" s="2">
        <f>SUMIFS(TB!AG:AG,TB!$J:$J,$C42)</f>
        <v>0.03</v>
      </c>
      <c r="AB42" s="2">
        <f>SUMIFS(TB!AH:AH,TB!$J:$J,$C42)</f>
        <v>-0.20499999999999999</v>
      </c>
      <c r="AC42" s="2">
        <f>SUMIFS(TB!AI:AI,TB!$J:$J,$C42)</f>
        <v>2.5000000000000001E-2</v>
      </c>
      <c r="AD42" s="2">
        <f>SUMIFS(TB!AJ:AJ,TB!$J:$J,$C42)</f>
        <v>2.5000000000000001E-2</v>
      </c>
      <c r="AE42" s="2">
        <f>SUMIFS(TB!AK:AK,TB!$J:$J,$C42)</f>
        <v>2.5000000000000001E-2</v>
      </c>
      <c r="AF42" s="2">
        <f>SUMIFS(TB!AL:AL,TB!$J:$J,$C42)</f>
        <v>2.5000000000000001E-2</v>
      </c>
      <c r="AG42" s="2">
        <f>SUMIFS(TB!AM:AM,TB!$J:$J,$C42)</f>
        <v>2.5000000000000001E-2</v>
      </c>
      <c r="AH42" s="2">
        <f>SUMIFS(TB!AN:AN,TB!$J:$J,$C42)</f>
        <v>2.5000000000000001E-2</v>
      </c>
      <c r="AI42" s="2">
        <f>SUMIFS(TB!AO:AO,TB!$J:$J,$C42)</f>
        <v>0.03</v>
      </c>
      <c r="AJ42" s="2"/>
      <c r="AK42" s="2">
        <f>SUM(E42:P42)</f>
        <v>0</v>
      </c>
      <c r="AL42" s="2">
        <f>SUM(Q42:AB42)</f>
        <v>0</v>
      </c>
      <c r="AM42" s="2">
        <f>SUM(X42:AI42)</f>
        <v>0.10000000000000002</v>
      </c>
      <c r="AN42" s="2"/>
      <c r="AO42" s="5">
        <f>IFERROR(AK42/AK$15%,0)</f>
        <v>0</v>
      </c>
      <c r="AP42" s="5">
        <f>IFERROR(AL42/AL$15%,0)</f>
        <v>0</v>
      </c>
      <c r="AQ42" s="5">
        <f>IFERROR(AM42/AM$15%,0)</f>
        <v>1.3617643845139687E-3</v>
      </c>
    </row>
    <row r="43" spans="3:43" ht="11.25" hidden="1" customHeight="1" outlineLevel="2" x14ac:dyDescent="0.2">
      <c r="C43" s="17" t="s">
        <v>304</v>
      </c>
      <c r="D43" s="15"/>
      <c r="E43" s="14">
        <f>SUMIFS(TB!K:K,TB!$J:$J,$C43)</f>
        <v>0</v>
      </c>
      <c r="F43" s="14">
        <f>SUMIFS(TB!L:L,TB!$J:$J,$C43)</f>
        <v>0</v>
      </c>
      <c r="G43" s="14">
        <f>SUMIFS(TB!M:M,TB!$J:$J,$C43)</f>
        <v>0</v>
      </c>
      <c r="H43" s="14">
        <f>SUMIFS(TB!N:N,TB!$J:$J,$C43)</f>
        <v>0</v>
      </c>
      <c r="I43" s="14">
        <f>SUMIFS(TB!O:O,TB!$J:$J,$C43)</f>
        <v>0</v>
      </c>
      <c r="J43" s="14">
        <f>SUMIFS(TB!P:P,TB!$J:$J,$C43)</f>
        <v>0</v>
      </c>
      <c r="K43" s="14">
        <f>SUMIFS(TB!Q:Q,TB!$J:$J,$C43)</f>
        <v>0</v>
      </c>
      <c r="L43" s="14">
        <f>SUMIFS(TB!R:R,TB!$J:$J,$C43)</f>
        <v>0</v>
      </c>
      <c r="M43" s="14">
        <f>SUMIFS(TB!S:S,TB!$J:$J,$C43)</f>
        <v>0</v>
      </c>
      <c r="N43" s="14">
        <f>SUMIFS(TB!T:T,TB!$J:$J,$C43)</f>
        <v>0</v>
      </c>
      <c r="O43" s="14">
        <f>SUMIFS(TB!U:U,TB!$J:$J,$C43)</f>
        <v>0</v>
      </c>
      <c r="P43" s="14">
        <f>SUMIFS(TB!V:V,TB!$J:$J,$C43)</f>
        <v>0</v>
      </c>
      <c r="Q43" s="14">
        <f>SUMIFS(TB!W:W,TB!$J:$J,$C43)</f>
        <v>0</v>
      </c>
      <c r="R43" s="14">
        <f>SUMIFS(TB!X:X,TB!$J:$J,$C43)</f>
        <v>0</v>
      </c>
      <c r="S43" s="14">
        <f>SUMIFS(TB!Y:Y,TB!$J:$J,$C43)</f>
        <v>0</v>
      </c>
      <c r="T43" s="14">
        <f>SUMIFS(TB!Z:Z,TB!$J:$J,$C43)</f>
        <v>5.0000000000000001E-3</v>
      </c>
      <c r="U43" s="14">
        <f>SUMIFS(TB!AA:AA,TB!$J:$J,$C43)</f>
        <v>5.0000000000000001E-3</v>
      </c>
      <c r="V43" s="14">
        <f>SUMIFS(TB!AB:AB,TB!$J:$J,$C43)</f>
        <v>5.0000000000000001E-3</v>
      </c>
      <c r="W43" s="14">
        <f>SUMIFS(TB!AC:AC,TB!$J:$J,$C43)</f>
        <v>5.0000000000000001E-3</v>
      </c>
      <c r="X43" s="14">
        <f>SUMIFS(TB!AD:AD,TB!$J:$J,$C43)</f>
        <v>5.0000000000000001E-3</v>
      </c>
      <c r="Y43" s="14">
        <f>SUMIFS(TB!AE:AE,TB!$J:$J,$C43)</f>
        <v>5.0000000000000001E-3</v>
      </c>
      <c r="Z43" s="14">
        <f>SUMIFS(TB!AF:AF,TB!$J:$J,$C43)</f>
        <v>0.01</v>
      </c>
      <c r="AA43" s="14">
        <f>SUMIFS(TB!AG:AG,TB!$J:$J,$C43)</f>
        <v>0.01</v>
      </c>
      <c r="AB43" s="14">
        <f>SUMIFS(TB!AH:AH,TB!$J:$J,$C43)</f>
        <v>-0.05</v>
      </c>
      <c r="AC43" s="14">
        <f>SUMIFS(TB!AI:AI,TB!$J:$J,$C43)</f>
        <v>0.01</v>
      </c>
      <c r="AD43" s="14">
        <f>SUMIFS(TB!AJ:AJ,TB!$J:$J,$C43)</f>
        <v>0.01</v>
      </c>
      <c r="AE43" s="14">
        <f>SUMIFS(TB!AK:AK,TB!$J:$J,$C43)</f>
        <v>0.01</v>
      </c>
      <c r="AF43" s="14">
        <f>SUMIFS(TB!AL:AL,TB!$J:$J,$C43)</f>
        <v>0.01</v>
      </c>
      <c r="AG43" s="14">
        <f>SUMIFS(TB!AM:AM,TB!$J:$J,$C43)</f>
        <v>0.01</v>
      </c>
      <c r="AH43" s="14">
        <f>SUMIFS(TB!AN:AN,TB!$J:$J,$C43)</f>
        <v>0.01</v>
      </c>
      <c r="AI43" s="14">
        <f>SUMIFS(TB!AO:AO,TB!$J:$J,$C43)</f>
        <v>0.01</v>
      </c>
      <c r="AJ43" s="14"/>
      <c r="AK43" s="14">
        <f>SUM(E43:P43)</f>
        <v>0</v>
      </c>
      <c r="AL43" s="14">
        <f>SUM(Q43:AB43)</f>
        <v>0</v>
      </c>
      <c r="AM43" s="14">
        <f>SUM(X43:AI43)</f>
        <v>0.05</v>
      </c>
      <c r="AN43" s="14"/>
      <c r="AO43" s="13">
        <f>IFERROR(AK43/AK$15%,0)</f>
        <v>0</v>
      </c>
      <c r="AP43" s="13">
        <f>IFERROR(AL43/AL$15%,0)</f>
        <v>0</v>
      </c>
      <c r="AQ43" s="13">
        <f>IFERROR(AM43/AM$15%,0)</f>
        <v>6.8088219225698426E-4</v>
      </c>
    </row>
    <row r="44" spans="3:43" ht="11.25" hidden="1" customHeight="1" outlineLevel="1" collapsed="1" x14ac:dyDescent="0.2">
      <c r="C44" s="17" t="s">
        <v>303</v>
      </c>
      <c r="D44" s="15"/>
      <c r="E44" s="14">
        <f>SUM(E36:E43)</f>
        <v>0</v>
      </c>
      <c r="F44" s="14">
        <f>SUM(F36:F43)</f>
        <v>0</v>
      </c>
      <c r="G44" s="14">
        <f>SUM(G36:G43)</f>
        <v>0</v>
      </c>
      <c r="H44" s="14">
        <f>SUM(H36:H43)</f>
        <v>0</v>
      </c>
      <c r="I44" s="14">
        <f>SUM(I36:I43)</f>
        <v>0</v>
      </c>
      <c r="J44" s="14">
        <f>SUM(J36:J43)</f>
        <v>0.19538</v>
      </c>
      <c r="K44" s="14">
        <f>SUM(K36:K43)</f>
        <v>0</v>
      </c>
      <c r="L44" s="14">
        <f>SUM(L36:L43)</f>
        <v>0</v>
      </c>
      <c r="M44" s="14">
        <f>SUM(M36:M43)</f>
        <v>0</v>
      </c>
      <c r="N44" s="14">
        <f>SUM(N36:N43)</f>
        <v>0</v>
      </c>
      <c r="O44" s="14">
        <f>SUM(O36:O43)</f>
        <v>0</v>
      </c>
      <c r="P44" s="14">
        <f>SUM(P36:P43)</f>
        <v>91.939139999999995</v>
      </c>
      <c r="Q44" s="14">
        <f>SUM(Q36:Q43)</f>
        <v>0</v>
      </c>
      <c r="R44" s="14">
        <f>SUM(R36:R43)</f>
        <v>0</v>
      </c>
      <c r="S44" s="14">
        <f>SUM(S36:S43)</f>
        <v>22.98142</v>
      </c>
      <c r="T44" s="14">
        <f>SUM(T36:T43)</f>
        <v>24.562890000000003</v>
      </c>
      <c r="U44" s="14">
        <f>SUM(U36:U43)</f>
        <v>24.562889999999999</v>
      </c>
      <c r="V44" s="14">
        <f>SUM(V36:V43)</f>
        <v>23.82189</v>
      </c>
      <c r="W44" s="14">
        <f>SUM(W36:W43)</f>
        <v>23.212300000000003</v>
      </c>
      <c r="X44" s="14">
        <f>SUM(X36:X43)</f>
        <v>25.892599999999991</v>
      </c>
      <c r="Y44" s="14">
        <f>SUM(Y36:Y43)</f>
        <v>22.589799999999993</v>
      </c>
      <c r="Z44" s="14">
        <f>SUM(Z36:Z43)</f>
        <v>20.070800000000027</v>
      </c>
      <c r="AA44" s="14">
        <f>SUM(AA36:AA43)</f>
        <v>29.517669999999992</v>
      </c>
      <c r="AB44" s="14">
        <f>SUM(AB36:AB43)</f>
        <v>-129.88637000000003</v>
      </c>
      <c r="AC44" s="14">
        <f>SUM(AC36:AC43)</f>
        <v>23.465579999999999</v>
      </c>
      <c r="AD44" s="14">
        <f>SUM(AD36:AD43)</f>
        <v>23.495419999999999</v>
      </c>
      <c r="AE44" s="14">
        <f>SUM(AE36:AE43)</f>
        <v>23.477399999999999</v>
      </c>
      <c r="AF44" s="14">
        <f>SUM(AF36:AF43)</f>
        <v>23.477399999999999</v>
      </c>
      <c r="AG44" s="14">
        <f>SUM(AG36:AG43)</f>
        <v>23.477400000000003</v>
      </c>
      <c r="AH44" s="14">
        <f>SUM(AH36:AH43)</f>
        <v>22.76774</v>
      </c>
      <c r="AI44" s="14">
        <f>SUM(AI36:AI43)</f>
        <v>30.850409999999997</v>
      </c>
      <c r="AJ44" s="14"/>
      <c r="AK44" s="14">
        <f>SUM(AK36:AK43)</f>
        <v>92.134519999999995</v>
      </c>
      <c r="AL44" s="14">
        <f>SUM(AL36:AL43)</f>
        <v>87.325890000000001</v>
      </c>
      <c r="AM44" s="14">
        <f>SUM(AM36:AM43)</f>
        <v>139.19584999999998</v>
      </c>
      <c r="AN44" s="14"/>
      <c r="AO44" s="13">
        <f>IFERROR(AK44/AK$15%,0)</f>
        <v>1.2047788760593507</v>
      </c>
      <c r="AP44" s="13">
        <f>IFERROR(AL44/AL$15%,0)</f>
        <v>1.2882297629582851</v>
      </c>
      <c r="AQ44" s="13">
        <f>IFERROR(AM44/AM$15%,0)</f>
        <v>1.8955195100214866</v>
      </c>
    </row>
    <row r="45" spans="3:43" ht="11.25" customHeight="1" collapsed="1" x14ac:dyDescent="0.2">
      <c r="C45" t="s">
        <v>24</v>
      </c>
      <c r="D45" s="4"/>
      <c r="E45" s="2">
        <f>SUM(E44,E34,E28)</f>
        <v>298.69045999999997</v>
      </c>
      <c r="F45" s="2">
        <f>SUM(F44,F34,F28)</f>
        <v>298.48343999999997</v>
      </c>
      <c r="G45" s="2">
        <f>SUM(G44,G34,G28)</f>
        <v>284.31466999999998</v>
      </c>
      <c r="H45" s="2">
        <f>SUM(H44,H34,H28)</f>
        <v>276.68905999999998</v>
      </c>
      <c r="I45" s="2">
        <f>SUM(I44,I34,I28)</f>
        <v>268.97222999999997</v>
      </c>
      <c r="J45" s="2">
        <f>SUM(J44,J34,J28)</f>
        <v>266.65804000000009</v>
      </c>
      <c r="K45" s="2">
        <f>SUM(K44,K34,K28)</f>
        <v>268.30101000000002</v>
      </c>
      <c r="L45" s="2">
        <f>SUM(L44,L34,L28)</f>
        <v>266.7358799999999</v>
      </c>
      <c r="M45" s="2">
        <f>SUM(M44,M34,M28)</f>
        <v>265.08172000000002</v>
      </c>
      <c r="N45" s="2">
        <f>SUM(N44,N34,N28)</f>
        <v>281.37695000000002</v>
      </c>
      <c r="O45" s="2">
        <f>SUM(O44,O34,O28)</f>
        <v>275.32041000000009</v>
      </c>
      <c r="P45" s="2">
        <f>SUM(P44,P34,P28)</f>
        <v>375.49239</v>
      </c>
      <c r="Q45" s="2">
        <f>SUM(Q44,Q34,Q28)</f>
        <v>271.91109</v>
      </c>
      <c r="R45" s="2">
        <f>SUM(R44,R34,R28)</f>
        <v>271.61953</v>
      </c>
      <c r="S45" s="2">
        <f>SUM(S44,S34,S28)</f>
        <v>293.90775000000008</v>
      </c>
      <c r="T45" s="2">
        <f>SUM(T44,T34,T28)</f>
        <v>301.94596999999999</v>
      </c>
      <c r="U45" s="2">
        <f>SUM(U44,U34,U28)</f>
        <v>296.50784999999996</v>
      </c>
      <c r="V45" s="2">
        <f>SUM(V44,V34,V28)</f>
        <v>292.17041</v>
      </c>
      <c r="W45" s="2">
        <f>SUM(W44,W34,W28)</f>
        <v>290.47589999999997</v>
      </c>
      <c r="X45" s="2">
        <f>SUM(X44,X34,X28)</f>
        <v>291.34559999999993</v>
      </c>
      <c r="Y45" s="2">
        <f>SUM(Y44,Y34,Y28)</f>
        <v>287.43832999999995</v>
      </c>
      <c r="Z45" s="2">
        <f>SUM(Z44,Z34,Z28)</f>
        <v>-219.37219999999979</v>
      </c>
      <c r="AA45" s="2">
        <f>SUM(AA44,AA34,AA28)</f>
        <v>244.7762199999998</v>
      </c>
      <c r="AB45" s="2">
        <f>SUM(AB44,AB34,AB28)</f>
        <v>152.51136000000005</v>
      </c>
      <c r="AC45" s="2">
        <f>SUM(AC44,AC34,AC28)</f>
        <v>232.13679999999999</v>
      </c>
      <c r="AD45" s="2">
        <f>SUM(AD44,AD34,AD28)</f>
        <v>333.07218999999998</v>
      </c>
      <c r="AE45" s="2">
        <f>SUM(AE44,AE34,AE28)</f>
        <v>281.43373000000003</v>
      </c>
      <c r="AF45" s="2">
        <f>SUM(AF44,AF34,AF28)</f>
        <v>281.47454999999997</v>
      </c>
      <c r="AG45" s="2">
        <f>SUM(AG44,AG34,AG28)</f>
        <v>281.31165999999996</v>
      </c>
      <c r="AH45" s="2">
        <f>SUM(AH44,AH34,AH28)</f>
        <v>280.26423000000011</v>
      </c>
      <c r="AI45" s="2">
        <f>SUM(AI44,AI34,AI28)</f>
        <v>287.17412999999988</v>
      </c>
      <c r="AJ45" s="2"/>
      <c r="AK45" s="2">
        <f>SUM(AK44,AK34,AK28)</f>
        <v>3426.1162600000002</v>
      </c>
      <c r="AL45" s="2">
        <f>SUM(AL44,AL34,AL28)</f>
        <v>2775.2378100000005</v>
      </c>
      <c r="AM45" s="2">
        <f>SUM(AM44,AM34,AM28)</f>
        <v>2733.5665999999997</v>
      </c>
      <c r="AN45" s="2"/>
      <c r="AO45" s="5">
        <f>IFERROR(AK45/AK$15%,0)</f>
        <v>44.800933428333558</v>
      </c>
      <c r="AP45" s="5">
        <f>IFERROR(AL45/AL$15%,0)</f>
        <v>40.940252038990621</v>
      </c>
      <c r="AQ45" s="5">
        <f>IFERROR(AM45/AM$15%,0)</f>
        <v>37.224736385769411</v>
      </c>
    </row>
    <row r="46" spans="3:43" ht="6" hidden="1" customHeight="1" outlineLevel="1" x14ac:dyDescent="0.2">
      <c r="D46" s="4"/>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5"/>
      <c r="AP46" s="5"/>
      <c r="AQ46" s="5"/>
    </row>
    <row r="47" spans="3:43" ht="11.25" hidden="1" customHeight="1" outlineLevel="1" x14ac:dyDescent="0.2">
      <c r="C47" t="s">
        <v>302</v>
      </c>
      <c r="D47" s="4"/>
      <c r="E47" s="2">
        <f>SUMIFS(TB!K:K,TB!$J:$J,$C47)</f>
        <v>34.185000000000002</v>
      </c>
      <c r="F47" s="2">
        <f>SUMIFS(TB!L:L,TB!$J:$J,$C47)</f>
        <v>42.600999999999999</v>
      </c>
      <c r="G47" s="2">
        <f>SUMIFS(TB!M:M,TB!$J:$J,$C47)</f>
        <v>19.39</v>
      </c>
      <c r="H47" s="2">
        <f>SUMIFS(TB!N:N,TB!$J:$J,$C47)</f>
        <v>24.254429999999992</v>
      </c>
      <c r="I47" s="2">
        <f>SUMIFS(TB!O:O,TB!$J:$J,$C47)</f>
        <v>42.405000000000001</v>
      </c>
      <c r="J47" s="2">
        <f>SUMIFS(TB!P:P,TB!$J:$J,$C47)</f>
        <v>34.173000000000002</v>
      </c>
      <c r="K47" s="2">
        <f>SUMIFS(TB!Q:Q,TB!$J:$J,$C47)</f>
        <v>49.366200000000013</v>
      </c>
      <c r="L47" s="2">
        <f>SUMIFS(TB!R:R,TB!$J:$J,$C47)</f>
        <v>127.21340999999997</v>
      </c>
      <c r="M47" s="2">
        <f>SUMIFS(TB!S:S,TB!$J:$J,$C47)</f>
        <v>41.419050000000048</v>
      </c>
      <c r="N47" s="2">
        <f>SUMIFS(TB!T:T,TB!$J:$J,$C47)</f>
        <v>50.183199999999957</v>
      </c>
      <c r="O47" s="2">
        <f>SUMIFS(TB!U:U,TB!$J:$J,$C47)</f>
        <v>57.970460000000024</v>
      </c>
      <c r="P47" s="2">
        <f>SUMIFS(TB!V:V,TB!$J:$J,$C47)</f>
        <v>54.219400000000022</v>
      </c>
      <c r="Q47" s="2">
        <f>SUMIFS(TB!W:W,TB!$J:$J,$C47)</f>
        <v>27.887</v>
      </c>
      <c r="R47" s="2">
        <f>SUMIFS(TB!X:X,TB!$J:$J,$C47)</f>
        <v>22.911999999999999</v>
      </c>
      <c r="S47" s="2">
        <f>SUMIFS(TB!Y:Y,TB!$J:$J,$C47)</f>
        <v>42.32</v>
      </c>
      <c r="T47" s="2">
        <f>SUMIFS(TB!Z:Z,TB!$J:$J,$C47)</f>
        <v>34.277880000000003</v>
      </c>
      <c r="U47" s="2">
        <f>SUMIFS(TB!AA:AA,TB!$J:$J,$C47)</f>
        <v>47.258780000000002</v>
      </c>
      <c r="V47" s="2">
        <f>SUMIFS(TB!AB:AB,TB!$J:$J,$C47)</f>
        <v>34.441000000000003</v>
      </c>
      <c r="W47" s="2">
        <f>SUMIFS(TB!AC:AC,TB!$J:$J,$C47)</f>
        <v>57.393300000000018</v>
      </c>
      <c r="X47" s="2">
        <f>SUMIFS(TB!AD:AD,TB!$J:$J,$C47)</f>
        <v>49.662529999999968</v>
      </c>
      <c r="Y47" s="2">
        <f>SUMIFS(TB!AE:AE,TB!$J:$J,$C47)</f>
        <v>58.386580000000016</v>
      </c>
      <c r="Z47" s="2">
        <f>SUMIFS(TB!AF:AF,TB!$J:$J,$C47)</f>
        <v>62.072520000000019</v>
      </c>
      <c r="AA47" s="2">
        <f>SUMIFS(TB!AG:AG,TB!$J:$J,$C47)</f>
        <v>15.228299999999988</v>
      </c>
      <c r="AB47" s="2">
        <f>SUMIFS(TB!AH:AH,TB!$J:$J,$C47)</f>
        <v>47.566749999999999</v>
      </c>
      <c r="AC47" s="2">
        <f>SUMIFS(TB!AI:AI,TB!$J:$J,$C47)</f>
        <v>50.168300000000002</v>
      </c>
      <c r="AD47" s="2">
        <f>SUMIFS(TB!AJ:AJ,TB!$J:$J,$C47)</f>
        <v>94.009999999999991</v>
      </c>
      <c r="AE47" s="2">
        <f>SUMIFS(TB!AK:AK,TB!$J:$J,$C47)</f>
        <v>43.817250000000001</v>
      </c>
      <c r="AF47" s="2">
        <f>SUMIFS(TB!AL:AL,TB!$J:$J,$C47)</f>
        <v>17.355</v>
      </c>
      <c r="AG47" s="2">
        <f>SUMIFS(TB!AM:AM,TB!$J:$J,$C47)</f>
        <v>71.904309999999995</v>
      </c>
      <c r="AH47" s="2">
        <f>SUMIFS(TB!AN:AN,TB!$J:$J,$C47)</f>
        <v>29.737450000000013</v>
      </c>
      <c r="AI47" s="2">
        <f>SUMIFS(TB!AO:AO,TB!$J:$J,$C47)</f>
        <v>57.709799999999987</v>
      </c>
      <c r="AJ47" s="2"/>
      <c r="AK47" s="2">
        <f>SUM(E47:P47)</f>
        <v>577.38015000000007</v>
      </c>
      <c r="AL47" s="2">
        <f>SUM(Q47:AB47)</f>
        <v>499.40664000000004</v>
      </c>
      <c r="AM47" s="2">
        <f>SUM(X47:AI47)</f>
        <v>597.61878999999999</v>
      </c>
      <c r="AN47" s="2"/>
      <c r="AO47" s="5">
        <f>IFERROR(AK47/AK$15%,0)</f>
        <v>7.549997635804468</v>
      </c>
      <c r="AP47" s="5">
        <f>IFERROR(AL47/AL$15%,0)</f>
        <v>7.3672366518909067</v>
      </c>
      <c r="AQ47" s="5">
        <f>IFERROR(AM47/AM$15%,0)</f>
        <v>8.1381598373833253</v>
      </c>
    </row>
    <row r="48" spans="3:43" ht="11.25" hidden="1" customHeight="1" outlineLevel="1" x14ac:dyDescent="0.2">
      <c r="C48" t="s">
        <v>301</v>
      </c>
      <c r="D48" s="4"/>
      <c r="E48" s="2">
        <f>SUMIFS(TB!K:K,TB!$J:$J,$C48)</f>
        <v>10.488</v>
      </c>
      <c r="F48" s="2">
        <f>SUMIFS(TB!L:L,TB!$J:$J,$C48)</f>
        <v>45.953600000000002</v>
      </c>
      <c r="G48" s="2">
        <f>SUMIFS(TB!M:M,TB!$J:$J,$C48)</f>
        <v>63.245000000000005</v>
      </c>
      <c r="H48" s="2">
        <f>SUMIFS(TB!N:N,TB!$J:$J,$C48)</f>
        <v>45.722000000000001</v>
      </c>
      <c r="I48" s="2">
        <f>SUMIFS(TB!O:O,TB!$J:$J,$C48)</f>
        <v>4.4470000000000001</v>
      </c>
      <c r="J48" s="2">
        <f>SUMIFS(TB!P:P,TB!$J:$J,$C48)</f>
        <v>52.613</v>
      </c>
      <c r="K48" s="2">
        <f>SUMIFS(TB!Q:Q,TB!$J:$J,$C48)</f>
        <v>111.92399999999996</v>
      </c>
      <c r="L48" s="2">
        <f>SUMIFS(TB!R:R,TB!$J:$J,$C48)</f>
        <v>56.072100000000034</v>
      </c>
      <c r="M48" s="2">
        <f>SUMIFS(TB!S:S,TB!$J:$J,$C48)</f>
        <v>6.7610000000000001</v>
      </c>
      <c r="N48" s="2">
        <f>SUMIFS(TB!T:T,TB!$J:$J,$C48)</f>
        <v>24.05</v>
      </c>
      <c r="O48" s="2">
        <f>SUMIFS(TB!U:U,TB!$J:$J,$C48)</f>
        <v>112.36489999999996</v>
      </c>
      <c r="P48" s="2">
        <f>SUMIFS(TB!V:V,TB!$J:$J,$C48)</f>
        <v>130.01219000000006</v>
      </c>
      <c r="Q48" s="2">
        <f>SUMIFS(TB!W:W,TB!$J:$J,$C48)</f>
        <v>24.436859999999999</v>
      </c>
      <c r="R48" s="2">
        <f>SUMIFS(TB!X:X,TB!$J:$J,$C48)</f>
        <v>19.755749999999999</v>
      </c>
      <c r="S48" s="2">
        <f>SUMIFS(TB!Y:Y,TB!$J:$J,$C48)</f>
        <v>53.227229999999999</v>
      </c>
      <c r="T48" s="2">
        <f>SUMIFS(TB!Z:Z,TB!$J:$J,$C48)</f>
        <v>0</v>
      </c>
      <c r="U48" s="2">
        <f>SUMIFS(TB!AA:AA,TB!$J:$J,$C48)</f>
        <v>18.969000000000001</v>
      </c>
      <c r="V48" s="2">
        <f>SUMIFS(TB!AB:AB,TB!$J:$J,$C48)</f>
        <v>15.831</v>
      </c>
      <c r="W48" s="2">
        <f>SUMIFS(TB!AC:AC,TB!$J:$J,$C48)</f>
        <v>23.693999999999999</v>
      </c>
      <c r="X48" s="2">
        <f>SUMIFS(TB!AD:AD,TB!$J:$J,$C48)</f>
        <v>24.085999999999999</v>
      </c>
      <c r="Y48" s="2">
        <f>SUMIFS(TB!AE:AE,TB!$J:$J,$C48)</f>
        <v>52.422470000000004</v>
      </c>
      <c r="Z48" s="2">
        <f>SUMIFS(TB!AF:AF,TB!$J:$J,$C48)</f>
        <v>127.50004999999999</v>
      </c>
      <c r="AA48" s="2">
        <f>SUMIFS(TB!AG:AG,TB!$J:$J,$C48)</f>
        <v>15.417999999999999</v>
      </c>
      <c r="AB48" s="2">
        <f>SUMIFS(TB!AH:AH,TB!$J:$J,$C48)</f>
        <v>85.437450000000013</v>
      </c>
      <c r="AC48" s="2">
        <f>SUMIFS(TB!AI:AI,TB!$J:$J,$C48)</f>
        <v>46.46725</v>
      </c>
      <c r="AD48" s="2">
        <f>SUMIFS(TB!AJ:AJ,TB!$J:$J,$C48)</f>
        <v>12.35</v>
      </c>
      <c r="AE48" s="2">
        <f>SUMIFS(TB!AK:AK,TB!$J:$J,$C48)</f>
        <v>83.787000000000006</v>
      </c>
      <c r="AF48" s="2">
        <f>SUMIFS(TB!AL:AL,TB!$J:$J,$C48)</f>
        <v>36.8125</v>
      </c>
      <c r="AG48" s="2">
        <f>SUMIFS(TB!AM:AM,TB!$J:$J,$C48)</f>
        <v>31.8995</v>
      </c>
      <c r="AH48" s="2">
        <f>SUMIFS(TB!AN:AN,TB!$J:$J,$C48)</f>
        <v>11.847</v>
      </c>
      <c r="AI48" s="2">
        <f>SUMIFS(TB!AO:AO,TB!$J:$J,$C48)</f>
        <v>50.287500000000001</v>
      </c>
      <c r="AJ48" s="2"/>
      <c r="AK48" s="2">
        <f>SUM(E48:P48)</f>
        <v>663.65278999999998</v>
      </c>
      <c r="AL48" s="2">
        <f>SUM(Q48:AB48)</f>
        <v>460.77780999999993</v>
      </c>
      <c r="AM48" s="2">
        <f>SUM(X48:AI48)</f>
        <v>578.31471999999997</v>
      </c>
      <c r="AN48" s="2"/>
      <c r="AO48" s="5">
        <f>IFERROR(AK48/AK$15%,0)</f>
        <v>8.6781247943751403</v>
      </c>
      <c r="AP48" s="5">
        <f>IFERROR(AL48/AL$15%,0)</f>
        <v>6.7973849330678178</v>
      </c>
      <c r="AQ48" s="5">
        <f>IFERROR(AM48/AM$15%,0)</f>
        <v>7.8752838873616797</v>
      </c>
    </row>
    <row r="49" spans="3:43" ht="11.25" hidden="1" customHeight="1" outlineLevel="1" x14ac:dyDescent="0.2">
      <c r="C49" t="s">
        <v>300</v>
      </c>
      <c r="D49" s="4"/>
      <c r="E49" s="2">
        <f>SUMIFS(TB!K:K,TB!$J:$J,$C49)</f>
        <v>21.65</v>
      </c>
      <c r="F49" s="2">
        <f>SUMIFS(TB!L:L,TB!$J:$J,$C49)</f>
        <v>42.54515</v>
      </c>
      <c r="G49" s="2">
        <f>SUMIFS(TB!M:M,TB!$J:$J,$C49)</f>
        <v>47.564779999999992</v>
      </c>
      <c r="H49" s="2">
        <f>SUMIFS(TB!N:N,TB!$J:$J,$C49)</f>
        <v>30.204999999999998</v>
      </c>
      <c r="I49" s="2">
        <f>SUMIFS(TB!O:O,TB!$J:$J,$C49)</f>
        <v>31.050550000000019</v>
      </c>
      <c r="J49" s="2">
        <f>SUMIFS(TB!P:P,TB!$J:$J,$C49)</f>
        <v>21.376699999999982</v>
      </c>
      <c r="K49" s="2">
        <f>SUMIFS(TB!Q:Q,TB!$J:$J,$C49)</f>
        <v>56.2</v>
      </c>
      <c r="L49" s="2">
        <f>SUMIFS(TB!R:R,TB!$J:$J,$C49)</f>
        <v>28.847479999999983</v>
      </c>
      <c r="M49" s="2">
        <f>SUMIFS(TB!S:S,TB!$J:$J,$C49)</f>
        <v>38.825000000000003</v>
      </c>
      <c r="N49" s="2">
        <f>SUMIFS(TB!T:T,TB!$J:$J,$C49)</f>
        <v>21.97</v>
      </c>
      <c r="O49" s="2">
        <f>SUMIFS(TB!U:U,TB!$J:$J,$C49)</f>
        <v>41.19</v>
      </c>
      <c r="P49" s="2">
        <f>SUMIFS(TB!V:V,TB!$J:$J,$C49)</f>
        <v>67.209999999999994</v>
      </c>
      <c r="Q49" s="2">
        <f>SUMIFS(TB!W:W,TB!$J:$J,$C49)</f>
        <v>40.021709999999999</v>
      </c>
      <c r="R49" s="2">
        <f>SUMIFS(TB!X:X,TB!$J:$J,$C49)</f>
        <v>25.575000000000006</v>
      </c>
      <c r="S49" s="2">
        <f>SUMIFS(TB!Y:Y,TB!$J:$J,$C49)</f>
        <v>35.469000000000001</v>
      </c>
      <c r="T49" s="2">
        <f>SUMIFS(TB!Z:Z,TB!$J:$J,$C49)</f>
        <v>50.280749999999983</v>
      </c>
      <c r="U49" s="2">
        <f>SUMIFS(TB!AA:AA,TB!$J:$J,$C49)</f>
        <v>50.794499999999999</v>
      </c>
      <c r="V49" s="2">
        <f>SUMIFS(TB!AB:AB,TB!$J:$J,$C49)</f>
        <v>38.765020000000021</v>
      </c>
      <c r="W49" s="2">
        <f>SUMIFS(TB!AC:AC,TB!$J:$J,$C49)</f>
        <v>48.920629999999974</v>
      </c>
      <c r="X49" s="2">
        <f>SUMIFS(TB!AD:AD,TB!$J:$J,$C49)</f>
        <v>60.012250000000002</v>
      </c>
      <c r="Y49" s="2">
        <f>SUMIFS(TB!AE:AE,TB!$J:$J,$C49)</f>
        <v>16.399989999999992</v>
      </c>
      <c r="Z49" s="2">
        <f>SUMIFS(TB!AF:AF,TB!$J:$J,$C49)</f>
        <v>14.663740000000049</v>
      </c>
      <c r="AA49" s="2">
        <f>SUMIFS(TB!AG:AG,TB!$J:$J,$C49)</f>
        <v>27.397709999999964</v>
      </c>
      <c r="AB49" s="2">
        <f>SUMIFS(TB!AH:AH,TB!$J:$J,$C49)</f>
        <v>23.577970000000029</v>
      </c>
      <c r="AC49" s="2">
        <f>SUMIFS(TB!AI:AI,TB!$J:$J,$C49)</f>
        <v>57.35</v>
      </c>
      <c r="AD49" s="2">
        <f>SUMIFS(TB!AJ:AJ,TB!$J:$J,$C49)</f>
        <v>14.318910000000004</v>
      </c>
      <c r="AE49" s="2">
        <f>SUMIFS(TB!AK:AK,TB!$J:$J,$C49)</f>
        <v>32.396619999999999</v>
      </c>
      <c r="AF49" s="2">
        <f>SUMIFS(TB!AL:AL,TB!$J:$J,$C49)</f>
        <v>31.1</v>
      </c>
      <c r="AG49" s="2">
        <f>SUMIFS(TB!AM:AM,TB!$J:$J,$C49)</f>
        <v>53.11</v>
      </c>
      <c r="AH49" s="2">
        <f>SUMIFS(TB!AN:AN,TB!$J:$J,$C49)</f>
        <v>72.95</v>
      </c>
      <c r="AI49" s="2">
        <f>SUMIFS(TB!AO:AO,TB!$J:$J,$C49)</f>
        <v>21.867750000000029</v>
      </c>
      <c r="AJ49" s="2"/>
      <c r="AK49" s="2">
        <f>SUM(E49:P49)</f>
        <v>448.63465999999994</v>
      </c>
      <c r="AL49" s="2">
        <f>SUM(Q49:AB49)</f>
        <v>431.87827000000004</v>
      </c>
      <c r="AM49" s="2">
        <f>SUM(X49:AI49)</f>
        <v>425.14494000000013</v>
      </c>
      <c r="AN49" s="2"/>
      <c r="AO49" s="5">
        <f>IFERROR(AK49/AK$15%,0)</f>
        <v>5.866482632525452</v>
      </c>
      <c r="AP49" s="5">
        <f>IFERROR(AL49/AL$15%,0)</f>
        <v>6.3710595035325062</v>
      </c>
      <c r="AQ49" s="5">
        <f>IFERROR(AM49/AM$15%,0)</f>
        <v>5.7894723754832826</v>
      </c>
    </row>
    <row r="50" spans="3:43" ht="11.25" hidden="1" customHeight="1" outlineLevel="1" x14ac:dyDescent="0.2">
      <c r="C50" t="s">
        <v>299</v>
      </c>
      <c r="D50" s="4"/>
      <c r="E50" s="2">
        <f>SUMIFS(TB!K:K,TB!$J:$J,$C50)</f>
        <v>18.323</v>
      </c>
      <c r="F50" s="2">
        <f>SUMIFS(TB!L:L,TB!$J:$J,$C50)</f>
        <v>7.819</v>
      </c>
      <c r="G50" s="2">
        <f>SUMIFS(TB!M:M,TB!$J:$J,$C50)</f>
        <v>7.1239999999999997</v>
      </c>
      <c r="H50" s="2">
        <f>SUMIFS(TB!N:N,TB!$J:$J,$C50)</f>
        <v>2.234</v>
      </c>
      <c r="I50" s="2">
        <f>SUMIFS(TB!O:O,TB!$J:$J,$C50)</f>
        <v>13.465999999999999</v>
      </c>
      <c r="J50" s="2">
        <f>SUMIFS(TB!P:P,TB!$J:$J,$C50)</f>
        <v>19.632999999999999</v>
      </c>
      <c r="K50" s="2">
        <f>SUMIFS(TB!Q:Q,TB!$J:$J,$C50)</f>
        <v>6.5549999999999997</v>
      </c>
      <c r="L50" s="2">
        <f>SUMIFS(TB!R:R,TB!$J:$J,$C50)</f>
        <v>15.492000000000001</v>
      </c>
      <c r="M50" s="2">
        <f>SUMIFS(TB!S:S,TB!$J:$J,$C50)</f>
        <v>8.8569999999999993</v>
      </c>
      <c r="N50" s="2">
        <f>SUMIFS(TB!T:T,TB!$J:$J,$C50)</f>
        <v>5.663979999999996</v>
      </c>
      <c r="O50" s="2">
        <f>SUMIFS(TB!U:U,TB!$J:$J,$C50)</f>
        <v>11.28</v>
      </c>
      <c r="P50" s="2">
        <f>SUMIFS(TB!V:V,TB!$J:$J,$C50)</f>
        <v>17.613190000000017</v>
      </c>
      <c r="Q50" s="2">
        <f>SUMIFS(TB!W:W,TB!$J:$J,$C50)</f>
        <v>13.135590000000001</v>
      </c>
      <c r="R50" s="2">
        <f>SUMIFS(TB!X:X,TB!$J:$J,$C50)</f>
        <v>6.7880000000000003</v>
      </c>
      <c r="S50" s="2">
        <f>SUMIFS(TB!Y:Y,TB!$J:$J,$C50)</f>
        <v>5.8669900000000013</v>
      </c>
      <c r="T50" s="2">
        <f>SUMIFS(TB!Z:Z,TB!$J:$J,$C50)</f>
        <v>16.138000000000002</v>
      </c>
      <c r="U50" s="2">
        <f>SUMIFS(TB!AA:AA,TB!$J:$J,$C50)</f>
        <v>21.352</v>
      </c>
      <c r="V50" s="2">
        <f>SUMIFS(TB!AB:AB,TB!$J:$J,$C50)</f>
        <v>6.6319999999999997</v>
      </c>
      <c r="W50" s="2">
        <f>SUMIFS(TB!AC:AC,TB!$J:$J,$C50)</f>
        <v>20.298940000000002</v>
      </c>
      <c r="X50" s="2">
        <f>SUMIFS(TB!AD:AD,TB!$J:$J,$C50)</f>
        <v>23.945649999999993</v>
      </c>
      <c r="Y50" s="2">
        <f>SUMIFS(TB!AE:AE,TB!$J:$J,$C50)</f>
        <v>6.5119999999999996</v>
      </c>
      <c r="Z50" s="2">
        <f>SUMIFS(TB!AF:AF,TB!$J:$J,$C50)</f>
        <v>7.7279999999999998</v>
      </c>
      <c r="AA50" s="2">
        <f>SUMIFS(TB!AG:AG,TB!$J:$J,$C50)</f>
        <v>8.7352800000000137</v>
      </c>
      <c r="AB50" s="2">
        <f>SUMIFS(TB!AH:AH,TB!$J:$J,$C50)</f>
        <v>10.495069999999977</v>
      </c>
      <c r="AC50" s="2">
        <f>SUMIFS(TB!AI:AI,TB!$J:$J,$C50)</f>
        <v>11.786340000000001</v>
      </c>
      <c r="AD50" s="2">
        <f>SUMIFS(TB!AJ:AJ,TB!$J:$J,$C50)</f>
        <v>14.51066</v>
      </c>
      <c r="AE50" s="2">
        <f>SUMIFS(TB!AK:AK,TB!$J:$J,$C50)</f>
        <v>28.675230000000003</v>
      </c>
      <c r="AF50" s="2">
        <f>SUMIFS(TB!AL:AL,TB!$J:$J,$C50)</f>
        <v>2.19</v>
      </c>
      <c r="AG50" s="2">
        <f>SUMIFS(TB!AM:AM,TB!$J:$J,$C50)</f>
        <v>7.7569199999999983</v>
      </c>
      <c r="AH50" s="2">
        <f>SUMIFS(TB!AN:AN,TB!$J:$J,$C50)</f>
        <v>6.3589999999999929</v>
      </c>
      <c r="AI50" s="2">
        <f>SUMIFS(TB!AO:AO,TB!$J:$J,$C50)</f>
        <v>10.452080000000002</v>
      </c>
      <c r="AJ50" s="2"/>
      <c r="AK50" s="2">
        <f>SUM(E50:P50)</f>
        <v>134.06017000000003</v>
      </c>
      <c r="AL50" s="2">
        <f>SUM(Q50:AB50)</f>
        <v>147.62752</v>
      </c>
      <c r="AM50" s="2">
        <f>SUM(X50:AI50)</f>
        <v>139.14622999999997</v>
      </c>
      <c r="AN50" s="2"/>
      <c r="AO50" s="5">
        <f>IFERROR(AK50/AK$15%,0)</f>
        <v>1.7530113679099379</v>
      </c>
      <c r="AP50" s="5">
        <f>IFERROR(AL50/AL$15%,0)</f>
        <v>2.1777981890103781</v>
      </c>
      <c r="AQ50" s="5">
        <f>IFERROR(AM50/AM$15%,0)</f>
        <v>1.8948438025338907</v>
      </c>
    </row>
    <row r="51" spans="3:43" ht="11.25" hidden="1" customHeight="1" outlineLevel="1" x14ac:dyDescent="0.2">
      <c r="C51" t="s">
        <v>298</v>
      </c>
      <c r="D51" s="4"/>
      <c r="E51" s="2">
        <f>SUMIFS(TB!K:K,TB!$J:$J,$C51)</f>
        <v>5.8713199999999999</v>
      </c>
      <c r="F51" s="2">
        <f>SUMIFS(TB!L:L,TB!$J:$J,$C51)</f>
        <v>8.9455599999999986</v>
      </c>
      <c r="G51" s="2">
        <f>SUMIFS(TB!M:M,TB!$J:$J,$C51)</f>
        <v>5.213020000000002</v>
      </c>
      <c r="H51" s="2">
        <f>SUMIFS(TB!N:N,TB!$J:$J,$C51)</f>
        <v>5.1876800000000003</v>
      </c>
      <c r="I51" s="2">
        <f>SUMIFS(TB!O:O,TB!$J:$J,$C51)</f>
        <v>5.3244299999999969</v>
      </c>
      <c r="J51" s="2">
        <f>SUMIFS(TB!P:P,TB!$J:$J,$C51)</f>
        <v>9.7238800000000012</v>
      </c>
      <c r="K51" s="2">
        <f>SUMIFS(TB!Q:Q,TB!$J:$J,$C51)</f>
        <v>8.3244899999999973</v>
      </c>
      <c r="L51" s="2">
        <f>SUMIFS(TB!R:R,TB!$J:$J,$C51)</f>
        <v>5.3256500000000013</v>
      </c>
      <c r="M51" s="2">
        <f>SUMIFS(TB!S:S,TB!$J:$J,$C51)</f>
        <v>5.3252499999999996</v>
      </c>
      <c r="N51" s="2">
        <f>SUMIFS(TB!T:T,TB!$J:$J,$C51)</f>
        <v>23.267619999999994</v>
      </c>
      <c r="O51" s="2">
        <f>SUMIFS(TB!U:U,TB!$J:$J,$C51)</f>
        <v>75.512420000000006</v>
      </c>
      <c r="P51" s="2">
        <f>SUMIFS(TB!V:V,TB!$J:$J,$C51)</f>
        <v>5.3563299999999874</v>
      </c>
      <c r="Q51" s="2">
        <f>SUMIFS(TB!W:W,TB!$J:$J,$C51)</f>
        <v>7.0417200000000006</v>
      </c>
      <c r="R51" s="2">
        <f>SUMIFS(TB!X:X,TB!$J:$J,$C51)</f>
        <v>7.0623299999999993</v>
      </c>
      <c r="S51" s="2">
        <f>SUMIFS(TB!Y:Y,TB!$J:$J,$C51)</f>
        <v>6.9188600000000005</v>
      </c>
      <c r="T51" s="2">
        <f>SUMIFS(TB!Z:Z,TB!$J:$J,$C51)</f>
        <v>7.4842000000000004</v>
      </c>
      <c r="U51" s="2">
        <f>SUMIFS(TB!AA:AA,TB!$J:$J,$C51)</f>
        <v>6.6311100000000005</v>
      </c>
      <c r="V51" s="2">
        <f>SUMIFS(TB!AB:AB,TB!$J:$J,$C51)</f>
        <v>7.0305100000000023</v>
      </c>
      <c r="W51" s="2">
        <f>SUMIFS(TB!AC:AC,TB!$J:$J,$C51)</f>
        <v>7.7555499999999959</v>
      </c>
      <c r="X51" s="2">
        <f>SUMIFS(TB!AD:AD,TB!$J:$J,$C51)</f>
        <v>6.6315100000000022</v>
      </c>
      <c r="Y51" s="2">
        <f>SUMIFS(TB!AE:AE,TB!$J:$J,$C51)</f>
        <v>6.6315</v>
      </c>
      <c r="Z51" s="2">
        <f>SUMIFS(TB!AF:AF,TB!$J:$J,$C51)</f>
        <v>12.562109999999993</v>
      </c>
      <c r="AA51" s="2">
        <f>SUMIFS(TB!AG:AG,TB!$J:$J,$C51)</f>
        <v>16.938410000000005</v>
      </c>
      <c r="AB51" s="2">
        <f>SUMIFS(TB!AH:AH,TB!$J:$J,$C51)</f>
        <v>9.2336000000000062</v>
      </c>
      <c r="AC51" s="2">
        <f>SUMIFS(TB!AI:AI,TB!$J:$J,$C51)</f>
        <v>7.2104499999999998</v>
      </c>
      <c r="AD51" s="2">
        <f>SUMIFS(TB!AJ:AJ,TB!$J:$J,$C51)</f>
        <v>7.0891999999999999</v>
      </c>
      <c r="AE51" s="2">
        <f>SUMIFS(TB!AK:AK,TB!$J:$J,$C51)</f>
        <v>24.589199999999998</v>
      </c>
      <c r="AF51" s="2">
        <f>SUMIFS(TB!AL:AL,TB!$J:$J,$C51)</f>
        <v>8.0892000000000035</v>
      </c>
      <c r="AG51" s="2">
        <f>SUMIFS(TB!AM:AM,TB!$J:$J,$C51)</f>
        <v>8.0891999999999964</v>
      </c>
      <c r="AH51" s="2">
        <f>SUMIFS(TB!AN:AN,TB!$J:$J,$C51)</f>
        <v>8.4941999999999975</v>
      </c>
      <c r="AI51" s="2">
        <f>SUMIFS(TB!AO:AO,TB!$J:$J,$C51)</f>
        <v>8.8851999999999975</v>
      </c>
      <c r="AJ51" s="2"/>
      <c r="AK51" s="2">
        <f>SUM(E51:P51)</f>
        <v>163.37764999999999</v>
      </c>
      <c r="AL51" s="2">
        <f>SUM(Q51:AB51)</f>
        <v>101.92141000000001</v>
      </c>
      <c r="AM51" s="2">
        <f>SUM(X51:AI51)</f>
        <v>124.44378</v>
      </c>
      <c r="AN51" s="2"/>
      <c r="AO51" s="5">
        <f>IFERROR(AK51/AK$15%,0)</f>
        <v>2.1363756118794344</v>
      </c>
      <c r="AP51" s="5">
        <f>IFERROR(AL51/AL$15%,0)</f>
        <v>1.5035425787778882</v>
      </c>
      <c r="AQ51" s="5">
        <f>IFERROR(AM51/AM$15%,0)</f>
        <v>1.6946310747829172</v>
      </c>
    </row>
    <row r="52" spans="3:43" ht="11.25" hidden="1" customHeight="1" outlineLevel="1" x14ac:dyDescent="0.2">
      <c r="C52" t="s">
        <v>297</v>
      </c>
      <c r="D52" s="4"/>
      <c r="E52" s="2">
        <f>SUMIFS(TB!K:K,TB!$J:$J,$C52)</f>
        <v>2.4</v>
      </c>
      <c r="F52" s="2">
        <f>SUMIFS(TB!L:L,TB!$J:$J,$C52)</f>
        <v>12.058999999999999</v>
      </c>
      <c r="G52" s="2">
        <f>SUMIFS(TB!M:M,TB!$J:$J,$C52)</f>
        <v>11.569849999999999</v>
      </c>
      <c r="H52" s="2">
        <f>SUMIFS(TB!N:N,TB!$J:$J,$C52)</f>
        <v>2.25</v>
      </c>
      <c r="I52" s="2">
        <f>SUMIFS(TB!O:O,TB!$J:$J,$C52)</f>
        <v>1.25</v>
      </c>
      <c r="J52" s="2">
        <f>SUMIFS(TB!P:P,TB!$J:$J,$C52)</f>
        <v>5.9749999999999996</v>
      </c>
      <c r="K52" s="2">
        <f>SUMIFS(TB!Q:Q,TB!$J:$J,$C52)</f>
        <v>10.74</v>
      </c>
      <c r="L52" s="2">
        <f>SUMIFS(TB!R:R,TB!$J:$J,$C52)</f>
        <v>10.883599999999998</v>
      </c>
      <c r="M52" s="2">
        <f>SUMIFS(TB!S:S,TB!$J:$J,$C52)</f>
        <v>14.035</v>
      </c>
      <c r="N52" s="2">
        <f>SUMIFS(TB!T:T,TB!$J:$J,$C52)</f>
        <v>1.8114400000000024</v>
      </c>
      <c r="O52" s="2">
        <f>SUMIFS(TB!U:U,TB!$J:$J,$C52)</f>
        <v>10.318869999999995</v>
      </c>
      <c r="P52" s="2">
        <f>SUMIFS(TB!V:V,TB!$J:$J,$C52)</f>
        <v>13.614000000000001</v>
      </c>
      <c r="Q52" s="2">
        <f>SUMIFS(TB!W:W,TB!$J:$J,$C52)</f>
        <v>4.4450000000000003</v>
      </c>
      <c r="R52" s="2">
        <f>SUMIFS(TB!X:X,TB!$J:$J,$C52)</f>
        <v>9.9824999999999999</v>
      </c>
      <c r="S52" s="2">
        <f>SUMIFS(TB!Y:Y,TB!$J:$J,$C52)</f>
        <v>4.8955000000000002</v>
      </c>
      <c r="T52" s="2">
        <f>SUMIFS(TB!Z:Z,TB!$J:$J,$C52)</f>
        <v>0</v>
      </c>
      <c r="U52" s="2">
        <f>SUMIFS(TB!AA:AA,TB!$J:$J,$C52)</f>
        <v>0</v>
      </c>
      <c r="V52" s="2">
        <f>SUMIFS(TB!AB:AB,TB!$J:$J,$C52)</f>
        <v>8.5737500000000004</v>
      </c>
      <c r="W52" s="2">
        <f>SUMIFS(TB!AC:AC,TB!$J:$J,$C52)</f>
        <v>13.987</v>
      </c>
      <c r="X52" s="2">
        <f>SUMIFS(TB!AD:AD,TB!$J:$J,$C52)</f>
        <v>23.3705</v>
      </c>
      <c r="Y52" s="2">
        <f>SUMIFS(TB!AE:AE,TB!$J:$J,$C52)</f>
        <v>2.8519999999999999</v>
      </c>
      <c r="Z52" s="2">
        <f>SUMIFS(TB!AF:AF,TB!$J:$J,$C52)</f>
        <v>19.114999999999998</v>
      </c>
      <c r="AA52" s="2">
        <f>SUMIFS(TB!AG:AG,TB!$J:$J,$C52)</f>
        <v>14.835850000000006</v>
      </c>
      <c r="AB52" s="2">
        <f>SUMIFS(TB!AH:AH,TB!$J:$J,$C52)</f>
        <v>8.3836799999999929</v>
      </c>
      <c r="AC52" s="2">
        <f>SUMIFS(TB!AI:AI,TB!$J:$J,$C52)</f>
        <v>2.4</v>
      </c>
      <c r="AD52" s="2">
        <f>SUMIFS(TB!AJ:AJ,TB!$J:$J,$C52)</f>
        <v>1.9</v>
      </c>
      <c r="AE52" s="2">
        <f>SUMIFS(TB!AK:AK,TB!$J:$J,$C52)</f>
        <v>6.375</v>
      </c>
      <c r="AF52" s="2">
        <f>SUMIFS(TB!AL:AL,TB!$J:$J,$C52)</f>
        <v>2.2475000000000001</v>
      </c>
      <c r="AG52" s="2">
        <f>SUMIFS(TB!AM:AM,TB!$J:$J,$C52)</f>
        <v>0</v>
      </c>
      <c r="AH52" s="2">
        <f>SUMIFS(TB!AN:AN,TB!$J:$J,$C52)</f>
        <v>15.004</v>
      </c>
      <c r="AI52" s="2">
        <f>SUMIFS(TB!AO:AO,TB!$J:$J,$C52)</f>
        <v>9.64</v>
      </c>
      <c r="AJ52" s="2"/>
      <c r="AK52" s="2">
        <f>SUM(E52:P52)</f>
        <v>96.906759999999991</v>
      </c>
      <c r="AL52" s="2">
        <f>SUM(Q52:AB52)</f>
        <v>110.44078</v>
      </c>
      <c r="AM52" s="2">
        <f>SUM(X52:AI52)</f>
        <v>106.12353000000002</v>
      </c>
      <c r="AN52" s="2"/>
      <c r="AO52" s="5">
        <f>IFERROR(AK52/AK$15%,0)</f>
        <v>1.26718213103355</v>
      </c>
      <c r="AP52" s="5">
        <f>IFERROR(AL52/AL$15%,0)</f>
        <v>1.6292201526984507</v>
      </c>
      <c r="AQ52" s="5">
        <f>IFERROR(AM52/AM$15%,0)</f>
        <v>1.445152435128997</v>
      </c>
    </row>
    <row r="53" spans="3:43" ht="11.25" hidden="1" customHeight="1" outlineLevel="1" x14ac:dyDescent="0.2">
      <c r="C53" t="s">
        <v>296</v>
      </c>
      <c r="D53" s="4"/>
      <c r="E53" s="2">
        <f>SUMIFS(TB!K:K,TB!$J:$J,$C53)</f>
        <v>5.15</v>
      </c>
      <c r="F53" s="2">
        <f>SUMIFS(TB!L:L,TB!$J:$J,$C53)</f>
        <v>0</v>
      </c>
      <c r="G53" s="2">
        <f>SUMIFS(TB!M:M,TB!$J:$J,$C53)</f>
        <v>16.774999999999999</v>
      </c>
      <c r="H53" s="2">
        <f>SUMIFS(TB!N:N,TB!$J:$J,$C53)</f>
        <v>4.25</v>
      </c>
      <c r="I53" s="2">
        <f>SUMIFS(TB!O:O,TB!$J:$J,$C53)</f>
        <v>5.25</v>
      </c>
      <c r="J53" s="2">
        <f>SUMIFS(TB!P:P,TB!$J:$J,$C53)</f>
        <v>6.0750000000000002</v>
      </c>
      <c r="K53" s="2">
        <f>SUMIFS(TB!Q:Q,TB!$J:$J,$C53)</f>
        <v>8.3000000000000007</v>
      </c>
      <c r="L53" s="2">
        <f>SUMIFS(TB!R:R,TB!$J:$J,$C53)</f>
        <v>13.425000000000001</v>
      </c>
      <c r="M53" s="2">
        <f>SUMIFS(TB!S:S,TB!$J:$J,$C53)</f>
        <v>2.4</v>
      </c>
      <c r="N53" s="2">
        <f>SUMIFS(TB!T:T,TB!$J:$J,$C53)</f>
        <v>2.6749999999999998</v>
      </c>
      <c r="O53" s="2">
        <f>SUMIFS(TB!U:U,TB!$J:$J,$C53)</f>
        <v>8.625</v>
      </c>
      <c r="P53" s="2">
        <f>SUMIFS(TB!V:V,TB!$J:$J,$C53)</f>
        <v>11.875</v>
      </c>
      <c r="Q53" s="2">
        <f>SUMIFS(TB!W:W,TB!$J:$J,$C53)</f>
        <v>4.375</v>
      </c>
      <c r="R53" s="2">
        <f>SUMIFS(TB!X:X,TB!$J:$J,$C53)</f>
        <v>10.44</v>
      </c>
      <c r="S53" s="2">
        <f>SUMIFS(TB!Y:Y,TB!$J:$J,$C53)</f>
        <v>5.375</v>
      </c>
      <c r="T53" s="2">
        <f>SUMIFS(TB!Z:Z,TB!$J:$J,$C53)</f>
        <v>8.5250000000000004</v>
      </c>
      <c r="U53" s="2">
        <f>SUMIFS(TB!AA:AA,TB!$J:$J,$C53)</f>
        <v>6.625</v>
      </c>
      <c r="V53" s="2">
        <f>SUMIFS(TB!AB:AB,TB!$J:$J,$C53)</f>
        <v>2.65</v>
      </c>
      <c r="W53" s="2">
        <f>SUMIFS(TB!AC:AC,TB!$J:$J,$C53)</f>
        <v>7.4749999999999996</v>
      </c>
      <c r="X53" s="2">
        <f>SUMIFS(TB!AD:AD,TB!$J:$J,$C53)</f>
        <v>14.08</v>
      </c>
      <c r="Y53" s="2">
        <f>SUMIFS(TB!AE:AE,TB!$J:$J,$C53)</f>
        <v>2.9249999999999998</v>
      </c>
      <c r="Z53" s="2">
        <f>SUMIFS(TB!AF:AF,TB!$J:$J,$C53)</f>
        <v>10.935</v>
      </c>
      <c r="AA53" s="2">
        <f>SUMIFS(TB!AG:AG,TB!$J:$J,$C53)</f>
        <v>5.5750000000000002</v>
      </c>
      <c r="AB53" s="2">
        <f>SUMIFS(TB!AH:AH,TB!$J:$J,$C53)</f>
        <v>-4.2249999999999996</v>
      </c>
      <c r="AC53" s="2">
        <f>SUMIFS(TB!AI:AI,TB!$J:$J,$C53)</f>
        <v>12.25</v>
      </c>
      <c r="AD53" s="2">
        <f>SUMIFS(TB!AJ:AJ,TB!$J:$J,$C53)</f>
        <v>15.72</v>
      </c>
      <c r="AE53" s="2">
        <f>SUMIFS(TB!AK:AK,TB!$J:$J,$C53)</f>
        <v>6.875</v>
      </c>
      <c r="AF53" s="2">
        <f>SUMIFS(TB!AL:AL,TB!$J:$J,$C53)</f>
        <v>3.9</v>
      </c>
      <c r="AG53" s="2">
        <f>SUMIFS(TB!AM:AM,TB!$J:$J,$C53)</f>
        <v>3.0249999999999999</v>
      </c>
      <c r="AH53" s="2">
        <f>SUMIFS(TB!AN:AN,TB!$J:$J,$C53)</f>
        <v>11.3</v>
      </c>
      <c r="AI53" s="2">
        <f>SUMIFS(TB!AO:AO,TB!$J:$J,$C53)</f>
        <v>7.665</v>
      </c>
      <c r="AJ53" s="2"/>
      <c r="AK53" s="2">
        <f>SUM(E53:P53)</f>
        <v>84.8</v>
      </c>
      <c r="AL53" s="2">
        <f>SUM(Q53:AB53)</f>
        <v>74.754999999999995</v>
      </c>
      <c r="AM53" s="2">
        <f>SUM(X53:AI53)</f>
        <v>90.025000000000006</v>
      </c>
      <c r="AN53" s="2"/>
      <c r="AO53" s="5">
        <f>IFERROR(AK53/AK$15%,0)</f>
        <v>1.1088704721078804</v>
      </c>
      <c r="AP53" s="5">
        <f>IFERROR(AL53/AL$15%,0)</f>
        <v>1.102784247946933</v>
      </c>
      <c r="AQ53" s="5">
        <f>IFERROR(AM53/AM$15%,0)</f>
        <v>1.2259283871587003</v>
      </c>
    </row>
    <row r="54" spans="3:43" ht="11.25" hidden="1" customHeight="1" outlineLevel="1" x14ac:dyDescent="0.2">
      <c r="C54" t="s">
        <v>295</v>
      </c>
      <c r="D54" s="4"/>
      <c r="E54" s="2">
        <f>SUMIFS(TB!K:K,TB!$J:$J,$C54)</f>
        <v>11.52298</v>
      </c>
      <c r="F54" s="2">
        <f>SUMIFS(TB!L:L,TB!$J:$J,$C54)</f>
        <v>4.6512800000000007</v>
      </c>
      <c r="G54" s="2">
        <f>SUMIFS(TB!M:M,TB!$J:$J,$C54)</f>
        <v>8.9269999999999978</v>
      </c>
      <c r="H54" s="2">
        <f>SUMIFS(TB!N:N,TB!$J:$J,$C54)</f>
        <v>1.1313800000000009</v>
      </c>
      <c r="I54" s="2">
        <f>SUMIFS(TB!O:O,TB!$J:$J,$C54)</f>
        <v>8.4974499999999971</v>
      </c>
      <c r="J54" s="2">
        <f>SUMIFS(TB!P:P,TB!$J:$J,$C54)</f>
        <v>16.102190000000004</v>
      </c>
      <c r="K54" s="2">
        <f>SUMIFS(TB!Q:Q,TB!$J:$J,$C54)</f>
        <v>5.1395800000000014</v>
      </c>
      <c r="L54" s="2">
        <f>SUMIFS(TB!R:R,TB!$J:$J,$C54)</f>
        <v>11.313130000000005</v>
      </c>
      <c r="M54" s="2">
        <f>SUMIFS(TB!S:S,TB!$J:$J,$C54)</f>
        <v>9.603049999999989</v>
      </c>
      <c r="N54" s="2">
        <f>SUMIFS(TB!T:T,TB!$J:$J,$C54)</f>
        <v>7.6894900000000055</v>
      </c>
      <c r="O54" s="2">
        <f>SUMIFS(TB!U:U,TB!$J:$J,$C54)</f>
        <v>8.7281199999999952</v>
      </c>
      <c r="P54" s="2">
        <f>SUMIFS(TB!V:V,TB!$J:$J,$C54)</f>
        <v>15.815170000000013</v>
      </c>
      <c r="Q54" s="2">
        <f>SUMIFS(TB!W:W,TB!$J:$J,$C54)</f>
        <v>11.16189</v>
      </c>
      <c r="R54" s="2">
        <f>SUMIFS(TB!X:X,TB!$J:$J,$C54)</f>
        <v>4.4097499999999998</v>
      </c>
      <c r="S54" s="2">
        <f>SUMIFS(TB!Y:Y,TB!$J:$J,$C54)</f>
        <v>7.8734900000000012</v>
      </c>
      <c r="T54" s="2">
        <f>SUMIFS(TB!Z:Z,TB!$J:$J,$C54)</f>
        <v>3.942539999999997</v>
      </c>
      <c r="U54" s="2">
        <f>SUMIFS(TB!AA:AA,TB!$J:$J,$C54)</f>
        <v>10.167380000000005</v>
      </c>
      <c r="V54" s="2">
        <f>SUMIFS(TB!AB:AB,TB!$J:$J,$C54)</f>
        <v>10.02764</v>
      </c>
      <c r="W54" s="2">
        <f>SUMIFS(TB!AC:AC,TB!$J:$J,$C54)</f>
        <v>7.330269999999997</v>
      </c>
      <c r="X54" s="2">
        <f>SUMIFS(TB!AD:AD,TB!$J:$J,$C54)</f>
        <v>6.5431900000000027</v>
      </c>
      <c r="Y54" s="2">
        <f>SUMIFS(TB!AE:AE,TB!$J:$J,$C54)</f>
        <v>9.6053599999999939</v>
      </c>
      <c r="Z54" s="2">
        <f>SUMIFS(TB!AF:AF,TB!$J:$J,$C54)</f>
        <v>4.9277400000000053</v>
      </c>
      <c r="AA54" s="2">
        <f>SUMIFS(TB!AG:AG,TB!$J:$J,$C54)</f>
        <v>3.4478600000000004</v>
      </c>
      <c r="AB54" s="2">
        <f>SUMIFS(TB!AH:AH,TB!$J:$J,$C54)</f>
        <v>10.22786</v>
      </c>
      <c r="AC54" s="2">
        <f>SUMIFS(TB!AI:AI,TB!$J:$J,$C54)</f>
        <v>1.66943</v>
      </c>
      <c r="AD54" s="2">
        <f>SUMIFS(TB!AJ:AJ,TB!$J:$J,$C54)</f>
        <v>4.7273699999999996</v>
      </c>
      <c r="AE54" s="2">
        <f>SUMIFS(TB!AK:AK,TB!$J:$J,$C54)</f>
        <v>18.261440000000004</v>
      </c>
      <c r="AF54" s="2">
        <f>SUMIFS(TB!AL:AL,TB!$J:$J,$C54)</f>
        <v>2.3788699999999992</v>
      </c>
      <c r="AG54" s="2">
        <f>SUMIFS(TB!AM:AM,TB!$J:$J,$C54)</f>
        <v>2.4814799999999995</v>
      </c>
      <c r="AH54" s="2">
        <f>SUMIFS(TB!AN:AN,TB!$J:$J,$C54)</f>
        <v>2.3140299999999989</v>
      </c>
      <c r="AI54" s="2">
        <f>SUMIFS(TB!AO:AO,TB!$J:$J,$C54)</f>
        <v>3.219890000000003</v>
      </c>
      <c r="AJ54" s="2"/>
      <c r="AK54" s="2">
        <f>SUM(E54:P54)</f>
        <v>109.12081999999999</v>
      </c>
      <c r="AL54" s="2">
        <f>SUM(Q54:AB54)</f>
        <v>89.664970000000011</v>
      </c>
      <c r="AM54" s="2">
        <f>SUM(X54:AI54)</f>
        <v>69.804520000000011</v>
      </c>
      <c r="AN54" s="2"/>
      <c r="AO54" s="5">
        <f>IFERROR(AK54/AK$15%,0)</f>
        <v>1.4268968772429131</v>
      </c>
      <c r="AP54" s="5">
        <f>IFERROR(AL54/AL$15%,0)</f>
        <v>1.3227358238062246</v>
      </c>
      <c r="AQ54" s="5">
        <f>IFERROR(AM54/AM$15%,0)</f>
        <v>0.95057309214093022</v>
      </c>
    </row>
    <row r="55" spans="3:43" ht="11.25" hidden="1" customHeight="1" outlineLevel="1" x14ac:dyDescent="0.2">
      <c r="C55" t="s">
        <v>294</v>
      </c>
      <c r="D55" s="4"/>
      <c r="E55" s="2">
        <f>SUMIFS(TB!K:K,TB!$J:$J,$C55)</f>
        <v>1.7101</v>
      </c>
      <c r="F55" s="2">
        <f>SUMIFS(TB!L:L,TB!$J:$J,$C55)</f>
        <v>2.04636</v>
      </c>
      <c r="G55" s="2">
        <f>SUMIFS(TB!M:M,TB!$J:$J,$C55)</f>
        <v>1.8585900000000002</v>
      </c>
      <c r="H55" s="2">
        <f>SUMIFS(TB!N:N,TB!$J:$J,$C55)</f>
        <v>2.9149499999999997</v>
      </c>
      <c r="I55" s="2">
        <f>SUMIFS(TB!O:O,TB!$J:$J,$C55)</f>
        <v>6.3921100000000006</v>
      </c>
      <c r="J55" s="2">
        <f>SUMIFS(TB!P:P,TB!$J:$J,$C55)</f>
        <v>0.90779999999999927</v>
      </c>
      <c r="K55" s="2">
        <f>SUMIFS(TB!Q:Q,TB!$J:$J,$C55)</f>
        <v>1.8747400000000016</v>
      </c>
      <c r="L55" s="2">
        <f>SUMIFS(TB!R:R,TB!$J:$J,$C55)</f>
        <v>0.83209000000000011</v>
      </c>
      <c r="M55" s="2">
        <f>SUMIFS(TB!S:S,TB!$J:$J,$C55)</f>
        <v>14.130329999999999</v>
      </c>
      <c r="N55" s="2">
        <f>SUMIFS(TB!T:T,TB!$J:$J,$C55)</f>
        <v>1.4267300000000032</v>
      </c>
      <c r="O55" s="2">
        <f>SUMIFS(TB!U:U,TB!$J:$J,$C55)</f>
        <v>1.4158099999999976</v>
      </c>
      <c r="P55" s="2">
        <f>SUMIFS(TB!V:V,TB!$J:$J,$C55)</f>
        <v>0.89269000000000231</v>
      </c>
      <c r="Q55" s="2">
        <f>SUMIFS(TB!W:W,TB!$J:$J,$C55)</f>
        <v>3.5966799999999997</v>
      </c>
      <c r="R55" s="2">
        <f>SUMIFS(TB!X:X,TB!$J:$J,$C55)</f>
        <v>2.6936700000000005</v>
      </c>
      <c r="S55" s="2">
        <f>SUMIFS(TB!Y:Y,TB!$J:$J,$C55)</f>
        <v>0.80380999999999947</v>
      </c>
      <c r="T55" s="2">
        <f>SUMIFS(TB!Z:Z,TB!$J:$J,$C55)</f>
        <v>2.4447000000000005</v>
      </c>
      <c r="U55" s="2">
        <f>SUMIFS(TB!AA:AA,TB!$J:$J,$C55)</f>
        <v>1.1107600000000002</v>
      </c>
      <c r="V55" s="2">
        <f>SUMIFS(TB!AB:AB,TB!$J:$J,$C55)</f>
        <v>25.214110000000002</v>
      </c>
      <c r="W55" s="2">
        <f>SUMIFS(TB!AC:AC,TB!$J:$J,$C55)</f>
        <v>1.7842499999999999</v>
      </c>
      <c r="X55" s="2">
        <f>SUMIFS(TB!AD:AD,TB!$J:$J,$C55)</f>
        <v>0.8118099999999977</v>
      </c>
      <c r="Y55" s="2">
        <f>SUMIFS(TB!AE:AE,TB!$J:$J,$C55)</f>
        <v>11.40875</v>
      </c>
      <c r="Z55" s="2">
        <f>SUMIFS(TB!AF:AF,TB!$J:$J,$C55)</f>
        <v>-2.6941200000000025</v>
      </c>
      <c r="AA55" s="2">
        <f>SUMIFS(TB!AG:AG,TB!$J:$J,$C55)</f>
        <v>1.1659400000000024</v>
      </c>
      <c r="AB55" s="2">
        <f>SUMIFS(TB!AH:AH,TB!$J:$J,$C55)</f>
        <v>1.1856699999999982</v>
      </c>
      <c r="AC55" s="2">
        <f>SUMIFS(TB!AI:AI,TB!$J:$J,$C55)</f>
        <v>1.2295399999999999</v>
      </c>
      <c r="AD55" s="2">
        <f>SUMIFS(TB!AJ:AJ,TB!$J:$J,$C55)</f>
        <v>4.1979199999999999</v>
      </c>
      <c r="AE55" s="2">
        <f>SUMIFS(TB!AK:AK,TB!$J:$J,$C55)</f>
        <v>1.1941899999999996</v>
      </c>
      <c r="AF55" s="2">
        <f>SUMIFS(TB!AL:AL,TB!$J:$J,$C55)</f>
        <v>3.0818099999999995</v>
      </c>
      <c r="AG55" s="2">
        <f>SUMIFS(TB!AM:AM,TB!$J:$J,$C55)</f>
        <v>21.430790000000002</v>
      </c>
      <c r="AH55" s="2">
        <f>SUMIFS(TB!AN:AN,TB!$J:$J,$C55)</f>
        <v>2.5407500000000001</v>
      </c>
      <c r="AI55" s="2">
        <f>SUMIFS(TB!AO:AO,TB!$J:$J,$C55)</f>
        <v>3.0334100000000035</v>
      </c>
      <c r="AJ55" s="2"/>
      <c r="AK55" s="2">
        <f>SUM(E55:P55)</f>
        <v>36.402300000000011</v>
      </c>
      <c r="AL55" s="2">
        <f>SUM(Q55:AB55)</f>
        <v>49.526029999999992</v>
      </c>
      <c r="AM55" s="2">
        <f>SUM(X55:AI55)</f>
        <v>48.586460000000002</v>
      </c>
      <c r="AN55" s="2"/>
      <c r="AO55" s="5">
        <f>IFERROR(AK55/AK$15%,0)</f>
        <v>0.47600749512750834</v>
      </c>
      <c r="AP55" s="5">
        <f>IFERROR(AL55/AL$15%,0)</f>
        <v>0.73060699280780195</v>
      </c>
      <c r="AQ55" s="5">
        <f>IFERROR(AM55/AM$15%,0)</f>
        <v>0.66163310797612551</v>
      </c>
    </row>
    <row r="56" spans="3:43" ht="11.25" hidden="1" customHeight="1" outlineLevel="1" x14ac:dyDescent="0.2">
      <c r="C56" t="s">
        <v>293</v>
      </c>
      <c r="D56" s="4"/>
      <c r="E56" s="2">
        <f>SUMIFS(TB!K:K,TB!$J:$J,$C56)</f>
        <v>0</v>
      </c>
      <c r="F56" s="2">
        <f>SUMIFS(TB!L:L,TB!$J:$J,$C56)</f>
        <v>0</v>
      </c>
      <c r="G56" s="2">
        <f>SUMIFS(TB!M:M,TB!$J:$J,$C56)</f>
        <v>0</v>
      </c>
      <c r="H56" s="2">
        <f>SUMIFS(TB!N:N,TB!$J:$J,$C56)</f>
        <v>0</v>
      </c>
      <c r="I56" s="2">
        <f>SUMIFS(TB!O:O,TB!$J:$J,$C56)</f>
        <v>6.6319999999999997</v>
      </c>
      <c r="J56" s="2">
        <f>SUMIFS(TB!P:P,TB!$J:$J,$C56)</f>
        <v>0</v>
      </c>
      <c r="K56" s="2">
        <f>SUMIFS(TB!Q:Q,TB!$J:$J,$C56)</f>
        <v>0</v>
      </c>
      <c r="L56" s="2">
        <f>SUMIFS(TB!R:R,TB!$J:$J,$C56)</f>
        <v>0</v>
      </c>
      <c r="M56" s="2">
        <f>SUMIFS(TB!S:S,TB!$J:$J,$C56)</f>
        <v>0</v>
      </c>
      <c r="N56" s="2">
        <f>SUMIFS(TB!T:T,TB!$J:$J,$C56)</f>
        <v>0</v>
      </c>
      <c r="O56" s="2">
        <f>SUMIFS(TB!U:U,TB!$J:$J,$C56)</f>
        <v>0.5</v>
      </c>
      <c r="P56" s="2">
        <f>SUMIFS(TB!V:V,TB!$J:$J,$C56)</f>
        <v>1.1543400000000001</v>
      </c>
      <c r="Q56" s="2">
        <f>SUMIFS(TB!W:W,TB!$J:$J,$C56)</f>
        <v>0</v>
      </c>
      <c r="R56" s="2">
        <f>SUMIFS(TB!X:X,TB!$J:$J,$C56)</f>
        <v>0</v>
      </c>
      <c r="S56" s="2">
        <f>SUMIFS(TB!Y:Y,TB!$J:$J,$C56)</f>
        <v>1.1000000000000001</v>
      </c>
      <c r="T56" s="2">
        <f>SUMIFS(TB!Z:Z,TB!$J:$J,$C56)</f>
        <v>1.9017500000000001</v>
      </c>
      <c r="U56" s="2">
        <f>SUMIFS(TB!AA:AA,TB!$J:$J,$C56)</f>
        <v>6.6563299999999996</v>
      </c>
      <c r="V56" s="2">
        <f>SUMIFS(TB!AB:AB,TB!$J:$J,$C56)</f>
        <v>0</v>
      </c>
      <c r="W56" s="2">
        <f>SUMIFS(TB!AC:AC,TB!$J:$J,$C56)</f>
        <v>2.601</v>
      </c>
      <c r="X56" s="2">
        <f>SUMIFS(TB!AD:AD,TB!$J:$J,$C56)</f>
        <v>0</v>
      </c>
      <c r="Y56" s="2">
        <f>SUMIFS(TB!AE:AE,TB!$J:$J,$C56)</f>
        <v>0</v>
      </c>
      <c r="Z56" s="2">
        <f>SUMIFS(TB!AF:AF,TB!$J:$J,$C56)</f>
        <v>0</v>
      </c>
      <c r="AA56" s="2">
        <f>SUMIFS(TB!AG:AG,TB!$J:$J,$C56)</f>
        <v>0</v>
      </c>
      <c r="AB56" s="2">
        <f>SUMIFS(TB!AH:AH,TB!$J:$J,$C56)</f>
        <v>-0.125</v>
      </c>
      <c r="AC56" s="2">
        <f>SUMIFS(TB!AI:AI,TB!$J:$J,$C56)</f>
        <v>3.6549999999999998</v>
      </c>
      <c r="AD56" s="2">
        <f>SUMIFS(TB!AJ:AJ,TB!$J:$J,$C56)</f>
        <v>3.29792</v>
      </c>
      <c r="AE56" s="2">
        <f>SUMIFS(TB!AK:AK,TB!$J:$J,$C56)</f>
        <v>1.5774999999999999</v>
      </c>
      <c r="AF56" s="2">
        <f>SUMIFS(TB!AL:AL,TB!$J:$J,$C56)</f>
        <v>3.6183600000000005</v>
      </c>
      <c r="AG56" s="2">
        <f>SUMIFS(TB!AM:AM,TB!$J:$J,$C56)</f>
        <v>0</v>
      </c>
      <c r="AH56" s="2">
        <f>SUMIFS(TB!AN:AN,TB!$J:$J,$C56)</f>
        <v>23.896039999999999</v>
      </c>
      <c r="AI56" s="2">
        <f>SUMIFS(TB!AO:AO,TB!$J:$J,$C56)</f>
        <v>0</v>
      </c>
      <c r="AJ56" s="2"/>
      <c r="AK56" s="2">
        <f>SUM(E56:P56)</f>
        <v>8.2863399999999992</v>
      </c>
      <c r="AL56" s="2">
        <f>SUM(Q56:AB56)</f>
        <v>12.134080000000001</v>
      </c>
      <c r="AM56" s="2">
        <f>SUM(X56:AI56)</f>
        <v>35.919820000000001</v>
      </c>
      <c r="AN56" s="2"/>
      <c r="AO56" s="5">
        <f>IFERROR(AK56/AK$15%,0)</f>
        <v>0.10835469042271713</v>
      </c>
      <c r="AP56" s="5">
        <f>IFERROR(AL56/AL$15%,0)</f>
        <v>0.17900170272661256</v>
      </c>
      <c r="AQ56" s="5">
        <f>IFERROR(AM56/AM$15%,0)</f>
        <v>0.48914331574152542</v>
      </c>
    </row>
    <row r="57" spans="3:43" ht="11.25" hidden="1" customHeight="1" outlineLevel="1" x14ac:dyDescent="0.2">
      <c r="C57" t="s">
        <v>292</v>
      </c>
      <c r="D57" s="4"/>
      <c r="E57" s="2">
        <f>SUMIFS(TB!K:K,TB!$J:$J,$C57)</f>
        <v>0</v>
      </c>
      <c r="F57" s="2">
        <f>SUMIFS(TB!L:L,TB!$J:$J,$C57)</f>
        <v>0</v>
      </c>
      <c r="G57" s="2">
        <f>SUMIFS(TB!M:M,TB!$J:$J,$C57)</f>
        <v>0</v>
      </c>
      <c r="H57" s="2">
        <f>SUMIFS(TB!N:N,TB!$J:$J,$C57)</f>
        <v>2.6</v>
      </c>
      <c r="I57" s="2">
        <f>SUMIFS(TB!O:O,TB!$J:$J,$C57)</f>
        <v>0</v>
      </c>
      <c r="J57" s="2">
        <f>SUMIFS(TB!P:P,TB!$J:$J,$C57)</f>
        <v>6.3</v>
      </c>
      <c r="K57" s="2">
        <f>SUMIFS(TB!Q:Q,TB!$J:$J,$C57)</f>
        <v>0</v>
      </c>
      <c r="L57" s="2">
        <f>SUMIFS(TB!R:R,TB!$J:$J,$C57)</f>
        <v>0</v>
      </c>
      <c r="M57" s="2">
        <f>SUMIFS(TB!S:S,TB!$J:$J,$C57)</f>
        <v>0</v>
      </c>
      <c r="N57" s="2">
        <f>SUMIFS(TB!T:T,TB!$J:$J,$C57)</f>
        <v>0</v>
      </c>
      <c r="O57" s="2">
        <f>SUMIFS(TB!U:U,TB!$J:$J,$C57)</f>
        <v>0</v>
      </c>
      <c r="P57" s="2">
        <f>SUMIFS(TB!V:V,TB!$J:$J,$C57)</f>
        <v>0</v>
      </c>
      <c r="Q57" s="2">
        <f>SUMIFS(TB!W:W,TB!$J:$J,$C57)</f>
        <v>0</v>
      </c>
      <c r="R57" s="2">
        <f>SUMIFS(TB!X:X,TB!$J:$J,$C57)</f>
        <v>0</v>
      </c>
      <c r="S57" s="2">
        <f>SUMIFS(TB!Y:Y,TB!$J:$J,$C57)</f>
        <v>0</v>
      </c>
      <c r="T57" s="2">
        <f>SUMIFS(TB!Z:Z,TB!$J:$J,$C57)</f>
        <v>0</v>
      </c>
      <c r="U57" s="2">
        <f>SUMIFS(TB!AA:AA,TB!$J:$J,$C57)</f>
        <v>4.4000000000000004</v>
      </c>
      <c r="V57" s="2">
        <f>SUMIFS(TB!AB:AB,TB!$J:$J,$C57)</f>
        <v>0</v>
      </c>
      <c r="W57" s="2">
        <f>SUMIFS(TB!AC:AC,TB!$J:$J,$C57)</f>
        <v>2.2000000000000002</v>
      </c>
      <c r="X57" s="2">
        <f>SUMIFS(TB!AD:AD,TB!$J:$J,$C57)</f>
        <v>0</v>
      </c>
      <c r="Y57" s="2">
        <f>SUMIFS(TB!AE:AE,TB!$J:$J,$C57)</f>
        <v>0</v>
      </c>
      <c r="Z57" s="2">
        <f>SUMIFS(TB!AF:AF,TB!$J:$J,$C57)</f>
        <v>9.3694799999999994</v>
      </c>
      <c r="AA57" s="2">
        <f>SUMIFS(TB!AG:AG,TB!$J:$J,$C57)</f>
        <v>0</v>
      </c>
      <c r="AB57" s="2">
        <f>SUMIFS(TB!AH:AH,TB!$J:$J,$C57)</f>
        <v>1.75</v>
      </c>
      <c r="AC57" s="2">
        <f>SUMIFS(TB!AI:AI,TB!$J:$J,$C57)</f>
        <v>0</v>
      </c>
      <c r="AD57" s="2">
        <f>SUMIFS(TB!AJ:AJ,TB!$J:$J,$C57)</f>
        <v>0</v>
      </c>
      <c r="AE57" s="2">
        <f>SUMIFS(TB!AK:AK,TB!$J:$J,$C57)</f>
        <v>7.15</v>
      </c>
      <c r="AF57" s="2">
        <f>SUMIFS(TB!AL:AL,TB!$J:$J,$C57)</f>
        <v>2.6496800000000005</v>
      </c>
      <c r="AG57" s="2">
        <f>SUMIFS(TB!AM:AM,TB!$J:$J,$C57)</f>
        <v>6.15</v>
      </c>
      <c r="AH57" s="2">
        <f>SUMIFS(TB!AN:AN,TB!$J:$J,$C57)</f>
        <v>0</v>
      </c>
      <c r="AI57" s="2">
        <f>SUMIFS(TB!AO:AO,TB!$J:$J,$C57)</f>
        <v>0</v>
      </c>
      <c r="AJ57" s="2"/>
      <c r="AK57" s="2">
        <f>SUM(E57:P57)</f>
        <v>8.9</v>
      </c>
      <c r="AL57" s="2">
        <f>SUM(Q57:AB57)</f>
        <v>17.719480000000001</v>
      </c>
      <c r="AM57" s="2">
        <f>SUM(X57:AI57)</f>
        <v>27.069160000000004</v>
      </c>
      <c r="AN57" s="2"/>
      <c r="AO57" s="5">
        <f>IFERROR(AK57/AK$15%,0)</f>
        <v>0.11637909436037895</v>
      </c>
      <c r="AP57" s="5">
        <f>IFERROR(AL57/AL$15%,0)</f>
        <v>0.26139741055194599</v>
      </c>
      <c r="AQ57" s="5">
        <f>IFERROR(AM57/AM$15%,0)</f>
        <v>0.3686181800671014</v>
      </c>
    </row>
    <row r="58" spans="3:43" ht="11.25" hidden="1" customHeight="1" outlineLevel="1" x14ac:dyDescent="0.2">
      <c r="C58" t="s">
        <v>291</v>
      </c>
      <c r="D58" s="4"/>
      <c r="E58" s="2">
        <f>SUMIFS(TB!K:K,TB!$J:$J,$C58)</f>
        <v>2.4500000000000002</v>
      </c>
      <c r="F58" s="2">
        <f>SUMIFS(TB!L:L,TB!$J:$J,$C58)</f>
        <v>0</v>
      </c>
      <c r="G58" s="2">
        <f>SUMIFS(TB!M:M,TB!$J:$J,$C58)</f>
        <v>0</v>
      </c>
      <c r="H58" s="2">
        <f>SUMIFS(TB!N:N,TB!$J:$J,$C58)</f>
        <v>0</v>
      </c>
      <c r="I58" s="2">
        <f>SUMIFS(TB!O:O,TB!$J:$J,$C58)</f>
        <v>2.5</v>
      </c>
      <c r="J58" s="2">
        <f>SUMIFS(TB!P:P,TB!$J:$J,$C58)</f>
        <v>0</v>
      </c>
      <c r="K58" s="2">
        <f>SUMIFS(TB!Q:Q,TB!$J:$J,$C58)</f>
        <v>3.9</v>
      </c>
      <c r="L58" s="2">
        <f>SUMIFS(TB!R:R,TB!$J:$J,$C58)</f>
        <v>2.0474999999999999</v>
      </c>
      <c r="M58" s="2">
        <f>SUMIFS(TB!S:S,TB!$J:$J,$C58)</f>
        <v>3.5</v>
      </c>
      <c r="N58" s="2">
        <f>SUMIFS(TB!T:T,TB!$J:$J,$C58)</f>
        <v>6.1</v>
      </c>
      <c r="O58" s="2">
        <f>SUMIFS(TB!U:U,TB!$J:$J,$C58)</f>
        <v>7</v>
      </c>
      <c r="P58" s="2">
        <f>SUMIFS(TB!V:V,TB!$J:$J,$C58)</f>
        <v>0</v>
      </c>
      <c r="Q58" s="2">
        <f>SUMIFS(TB!W:W,TB!$J:$J,$C58)</f>
        <v>4.55</v>
      </c>
      <c r="R58" s="2">
        <f>SUMIFS(TB!X:X,TB!$J:$J,$C58)</f>
        <v>5.95</v>
      </c>
      <c r="S58" s="2">
        <f>SUMIFS(TB!Y:Y,TB!$J:$J,$C58)</f>
        <v>5.9</v>
      </c>
      <c r="T58" s="2">
        <f>SUMIFS(TB!Z:Z,TB!$J:$J,$C58)</f>
        <v>3</v>
      </c>
      <c r="U58" s="2">
        <f>SUMIFS(TB!AA:AA,TB!$J:$J,$C58)</f>
        <v>0</v>
      </c>
      <c r="V58" s="2">
        <f>SUMIFS(TB!AB:AB,TB!$J:$J,$C58)</f>
        <v>3.5</v>
      </c>
      <c r="W58" s="2">
        <f>SUMIFS(TB!AC:AC,TB!$J:$J,$C58)</f>
        <v>0</v>
      </c>
      <c r="X58" s="2">
        <f>SUMIFS(TB!AD:AD,TB!$J:$J,$C58)</f>
        <v>0</v>
      </c>
      <c r="Y58" s="2">
        <f>SUMIFS(TB!AE:AE,TB!$J:$J,$C58)</f>
        <v>5.7050000000000001</v>
      </c>
      <c r="Z58" s="2">
        <f>SUMIFS(TB!AF:AF,TB!$J:$J,$C58)</f>
        <v>4.55</v>
      </c>
      <c r="AA58" s="2">
        <f>SUMIFS(TB!AG:AG,TB!$J:$J,$C58)</f>
        <v>4.875</v>
      </c>
      <c r="AB58" s="2">
        <f>SUMIFS(TB!AH:AH,TB!$J:$J,$C58)</f>
        <v>0</v>
      </c>
      <c r="AC58" s="2">
        <f>SUMIFS(TB!AI:AI,TB!$J:$J,$C58)</f>
        <v>0</v>
      </c>
      <c r="AD58" s="2">
        <f>SUMIFS(TB!AJ:AJ,TB!$J:$J,$C58)</f>
        <v>0</v>
      </c>
      <c r="AE58" s="2">
        <f>SUMIFS(TB!AK:AK,TB!$J:$J,$C58)</f>
        <v>6.25</v>
      </c>
      <c r="AF58" s="2">
        <f>SUMIFS(TB!AL:AL,TB!$J:$J,$C58)</f>
        <v>0</v>
      </c>
      <c r="AG58" s="2">
        <f>SUMIFS(TB!AM:AM,TB!$J:$J,$C58)</f>
        <v>0</v>
      </c>
      <c r="AH58" s="2">
        <f>SUMIFS(TB!AN:AN,TB!$J:$J,$C58)</f>
        <v>0.28499999999999998</v>
      </c>
      <c r="AI58" s="2">
        <f>SUMIFS(TB!AO:AO,TB!$J:$J,$C58)</f>
        <v>0.38</v>
      </c>
      <c r="AJ58" s="2"/>
      <c r="AK58" s="2">
        <f>SUM(E58:P58)</f>
        <v>27.497499999999999</v>
      </c>
      <c r="AL58" s="2">
        <f>SUM(Q58:AB58)</f>
        <v>38.029999999999994</v>
      </c>
      <c r="AM58" s="2">
        <f>SUM(X58:AI58)</f>
        <v>22.044999999999998</v>
      </c>
      <c r="AN58" s="2"/>
      <c r="AO58" s="5">
        <f>IFERROR(AK58/AK$15%,0)</f>
        <v>0.35956563451399104</v>
      </c>
      <c r="AP58" s="5">
        <f>IFERROR(AL58/AL$15%,0)</f>
        <v>0.5610177907754913</v>
      </c>
      <c r="AQ58" s="5">
        <f>IFERROR(AM58/AM$15%,0)</f>
        <v>0.30020095856610435</v>
      </c>
    </row>
    <row r="59" spans="3:43" ht="11.25" hidden="1" customHeight="1" outlineLevel="1" x14ac:dyDescent="0.2">
      <c r="C59" t="s">
        <v>290</v>
      </c>
      <c r="D59" s="4"/>
      <c r="E59" s="2">
        <f>SUMIFS(TB!K:K,TB!$J:$J,$C59)</f>
        <v>0.5</v>
      </c>
      <c r="F59" s="2">
        <f>SUMIFS(TB!L:L,TB!$J:$J,$C59)</f>
        <v>2.6532</v>
      </c>
      <c r="G59" s="2">
        <f>SUMIFS(TB!M:M,TB!$J:$J,$C59)</f>
        <v>4.75</v>
      </c>
      <c r="H59" s="2">
        <f>SUMIFS(TB!N:N,TB!$J:$J,$C59)</f>
        <v>2.9500000000000011</v>
      </c>
      <c r="I59" s="2">
        <f>SUMIFS(TB!O:O,TB!$J:$J,$C59)</f>
        <v>0</v>
      </c>
      <c r="J59" s="2">
        <f>SUMIFS(TB!P:P,TB!$J:$J,$C59)</f>
        <v>3.305369999999999</v>
      </c>
      <c r="K59" s="2">
        <f>SUMIFS(TB!Q:Q,TB!$J:$J,$C59)</f>
        <v>5.1167299999999996</v>
      </c>
      <c r="L59" s="2">
        <f>SUMIFS(TB!R:R,TB!$J:$J,$C59)</f>
        <v>4.5</v>
      </c>
      <c r="M59" s="2">
        <f>SUMIFS(TB!S:S,TB!$J:$J,$C59)</f>
        <v>0</v>
      </c>
      <c r="N59" s="2">
        <f>SUMIFS(TB!T:T,TB!$J:$J,$C59)</f>
        <v>0.81186000000000058</v>
      </c>
      <c r="O59" s="2">
        <f>SUMIFS(TB!U:U,TB!$J:$J,$C59)</f>
        <v>0.5</v>
      </c>
      <c r="P59" s="2">
        <f>SUMIFS(TB!V:V,TB!$J:$J,$C59)</f>
        <v>0.9</v>
      </c>
      <c r="Q59" s="2">
        <f>SUMIFS(TB!W:W,TB!$J:$J,$C59)</f>
        <v>4.8493000000000004</v>
      </c>
      <c r="R59" s="2">
        <f>SUMIFS(TB!X:X,TB!$J:$J,$C59)</f>
        <v>3.1015000000000001</v>
      </c>
      <c r="S59" s="2">
        <f>SUMIFS(TB!Y:Y,TB!$J:$J,$C59)</f>
        <v>2.2999999999999989</v>
      </c>
      <c r="T59" s="2">
        <f>SUMIFS(TB!Z:Z,TB!$J:$J,$C59)</f>
        <v>4.9770000000000003</v>
      </c>
      <c r="U59" s="2">
        <f>SUMIFS(TB!AA:AA,TB!$J:$J,$C59)</f>
        <v>0.5</v>
      </c>
      <c r="V59" s="2">
        <f>SUMIFS(TB!AB:AB,TB!$J:$J,$C59)</f>
        <v>2.9398500000000021</v>
      </c>
      <c r="W59" s="2">
        <f>SUMIFS(TB!AC:AC,TB!$J:$J,$C59)</f>
        <v>6</v>
      </c>
      <c r="X59" s="2">
        <f>SUMIFS(TB!AD:AD,TB!$J:$J,$C59)</f>
        <v>0</v>
      </c>
      <c r="Y59" s="2">
        <f>SUMIFS(TB!AE:AE,TB!$J:$J,$C59)</f>
        <v>0</v>
      </c>
      <c r="Z59" s="2">
        <f>SUMIFS(TB!AF:AF,TB!$J:$J,$C59)</f>
        <v>2.1749999999999998</v>
      </c>
      <c r="AA59" s="2">
        <f>SUMIFS(TB!AG:AG,TB!$J:$J,$C59)</f>
        <v>0.501</v>
      </c>
      <c r="AB59" s="2">
        <f>SUMIFS(TB!AH:AH,TB!$J:$J,$C59)</f>
        <v>1</v>
      </c>
      <c r="AC59" s="2">
        <f>SUMIFS(TB!AI:AI,TB!$J:$J,$C59)</f>
        <v>2.5740799999999999</v>
      </c>
      <c r="AD59" s="2">
        <f>SUMIFS(TB!AJ:AJ,TB!$J:$J,$C59)</f>
        <v>2.4</v>
      </c>
      <c r="AE59" s="2">
        <f>SUMIFS(TB!AK:AK,TB!$J:$J,$C59)</f>
        <v>1.9192499999999999</v>
      </c>
      <c r="AF59" s="2">
        <f>SUMIFS(TB!AL:AL,TB!$J:$J,$C59)</f>
        <v>5.298999999999978E-2</v>
      </c>
      <c r="AG59" s="2">
        <f>SUMIFS(TB!AM:AM,TB!$J:$J,$C59)</f>
        <v>0</v>
      </c>
      <c r="AH59" s="2">
        <f>SUMIFS(TB!AN:AN,TB!$J:$J,$C59)</f>
        <v>0</v>
      </c>
      <c r="AI59" s="2">
        <f>SUMIFS(TB!AO:AO,TB!$J:$J,$C59)</f>
        <v>9.75</v>
      </c>
      <c r="AJ59" s="2"/>
      <c r="AK59" s="2">
        <f>SUM(E59:P59)</f>
        <v>25.987159999999999</v>
      </c>
      <c r="AL59" s="2">
        <f>SUM(Q59:AB59)</f>
        <v>28.343650000000004</v>
      </c>
      <c r="AM59" s="2">
        <f>SUM(X59:AI59)</f>
        <v>20.372319999999998</v>
      </c>
      <c r="AN59" s="2"/>
      <c r="AO59" s="5">
        <f>IFERROR(AK59/AK$15%,0)</f>
        <v>0.33981597143800735</v>
      </c>
      <c r="AP59" s="5">
        <f>IFERROR(AL59/AL$15%,0)</f>
        <v>0.41812495149917855</v>
      </c>
      <c r="AQ59" s="5">
        <f>IFERROR(AM59/AM$15%,0)</f>
        <v>0.27742299805921611</v>
      </c>
    </row>
    <row r="60" spans="3:43" ht="11.25" hidden="1" customHeight="1" outlineLevel="1" x14ac:dyDescent="0.2">
      <c r="C60" t="s">
        <v>289</v>
      </c>
      <c r="D60" s="4"/>
      <c r="E60" s="2">
        <f>SUMIFS(TB!K:K,TB!$J:$J,$C60)</f>
        <v>0</v>
      </c>
      <c r="F60" s="2">
        <f>SUMIFS(TB!L:L,TB!$J:$J,$C60)</f>
        <v>0</v>
      </c>
      <c r="G60" s="2">
        <f>SUMIFS(TB!M:M,TB!$J:$J,$C60)</f>
        <v>5.85</v>
      </c>
      <c r="H60" s="2">
        <f>SUMIFS(TB!N:N,TB!$J:$J,$C60)</f>
        <v>0</v>
      </c>
      <c r="I60" s="2">
        <f>SUMIFS(TB!O:O,TB!$J:$J,$C60)</f>
        <v>4.7123999999999997</v>
      </c>
      <c r="J60" s="2">
        <f>SUMIFS(TB!P:P,TB!$J:$J,$C60)</f>
        <v>0.51260000000000039</v>
      </c>
      <c r="K60" s="2">
        <f>SUMIFS(TB!Q:Q,TB!$J:$J,$C60)</f>
        <v>0</v>
      </c>
      <c r="L60" s="2">
        <f>SUMIFS(TB!R:R,TB!$J:$J,$C60)</f>
        <v>9.9</v>
      </c>
      <c r="M60" s="2">
        <f>SUMIFS(TB!S:S,TB!$J:$J,$C60)</f>
        <v>2.2000000000000002</v>
      </c>
      <c r="N60" s="2">
        <f>SUMIFS(TB!T:T,TB!$J:$J,$C60)</f>
        <v>1.1374000000000015</v>
      </c>
      <c r="O60" s="2">
        <f>SUMIFS(TB!U:U,TB!$J:$J,$C60)</f>
        <v>0</v>
      </c>
      <c r="P60" s="2">
        <f>SUMIFS(TB!V:V,TB!$J:$J,$C60)</f>
        <v>0</v>
      </c>
      <c r="Q60" s="2">
        <f>SUMIFS(TB!W:W,TB!$J:$J,$C60)</f>
        <v>2.5299999999999998</v>
      </c>
      <c r="R60" s="2">
        <f>SUMIFS(TB!X:X,TB!$J:$J,$C60)</f>
        <v>0.88</v>
      </c>
      <c r="S60" s="2">
        <f>SUMIFS(TB!Y:Y,TB!$J:$J,$C60)</f>
        <v>0</v>
      </c>
      <c r="T60" s="2">
        <f>SUMIFS(TB!Z:Z,TB!$J:$J,$C60)</f>
        <v>0</v>
      </c>
      <c r="U60" s="2">
        <f>SUMIFS(TB!AA:AA,TB!$J:$J,$C60)</f>
        <v>0</v>
      </c>
      <c r="V60" s="2">
        <f>SUMIFS(TB!AB:AB,TB!$J:$J,$C60)</f>
        <v>0</v>
      </c>
      <c r="W60" s="2">
        <f>SUMIFS(TB!AC:AC,TB!$J:$J,$C60)</f>
        <v>2.75</v>
      </c>
      <c r="X60" s="2">
        <f>SUMIFS(TB!AD:AD,TB!$J:$J,$C60)</f>
        <v>3.74</v>
      </c>
      <c r="Y60" s="2">
        <f>SUMIFS(TB!AE:AE,TB!$J:$J,$C60)</f>
        <v>4.95</v>
      </c>
      <c r="Z60" s="2">
        <f>SUMIFS(TB!AF:AF,TB!$J:$J,$C60)</f>
        <v>0</v>
      </c>
      <c r="AA60" s="2">
        <f>SUMIFS(TB!AG:AG,TB!$J:$J,$C60)</f>
        <v>0</v>
      </c>
      <c r="AB60" s="2">
        <f>SUMIFS(TB!AH:AH,TB!$J:$J,$C60)</f>
        <v>0</v>
      </c>
      <c r="AC60" s="2">
        <f>SUMIFS(TB!AI:AI,TB!$J:$J,$C60)</f>
        <v>0.88</v>
      </c>
      <c r="AD60" s="2">
        <f>SUMIFS(TB!AJ:AJ,TB!$J:$J,$C60)</f>
        <v>1.6654</v>
      </c>
      <c r="AE60" s="2">
        <f>SUMIFS(TB!AK:AK,TB!$J:$J,$C60)</f>
        <v>2.0899999999999994</v>
      </c>
      <c r="AF60" s="2">
        <f>SUMIFS(TB!AL:AL,TB!$J:$J,$C60)</f>
        <v>0</v>
      </c>
      <c r="AG60" s="2">
        <f>SUMIFS(TB!AM:AM,TB!$J:$J,$C60)</f>
        <v>0</v>
      </c>
      <c r="AH60" s="2">
        <f>SUMIFS(TB!AN:AN,TB!$J:$J,$C60)</f>
        <v>0</v>
      </c>
      <c r="AI60" s="2">
        <f>SUMIFS(TB!AO:AO,TB!$J:$J,$C60)</f>
        <v>4.62</v>
      </c>
      <c r="AJ60" s="2"/>
      <c r="AK60" s="2">
        <f>SUM(E60:P60)</f>
        <v>24.312400000000004</v>
      </c>
      <c r="AL60" s="2">
        <f>SUM(Q60:AB60)</f>
        <v>14.850000000000001</v>
      </c>
      <c r="AM60" s="2">
        <f>SUM(X60:AI60)</f>
        <v>17.945400000000003</v>
      </c>
      <c r="AN60" s="2"/>
      <c r="AO60" s="5">
        <f>IFERROR(AK60/AK$15%,0)</f>
        <v>0.31791630266598625</v>
      </c>
      <c r="AP60" s="5">
        <f>IFERROR(AL60/AL$15%,0)</f>
        <v>0.21906689963229159</v>
      </c>
      <c r="AQ60" s="5">
        <f>IFERROR(AM60/AM$15%,0)</f>
        <v>0.24437406585856974</v>
      </c>
    </row>
    <row r="61" spans="3:43" ht="11.25" hidden="1" customHeight="1" outlineLevel="1" x14ac:dyDescent="0.2">
      <c r="C61" t="s">
        <v>288</v>
      </c>
      <c r="D61" s="4"/>
      <c r="E61" s="2">
        <f>SUMIFS(TB!K:K,TB!$J:$J,$C61)</f>
        <v>0</v>
      </c>
      <c r="F61" s="2">
        <f>SUMIFS(TB!L:L,TB!$J:$J,$C61)</f>
        <v>0</v>
      </c>
      <c r="G61" s="2">
        <f>SUMIFS(TB!M:M,TB!$J:$J,$C61)</f>
        <v>0</v>
      </c>
      <c r="H61" s="2">
        <f>SUMIFS(TB!N:N,TB!$J:$J,$C61)</f>
        <v>0</v>
      </c>
      <c r="I61" s="2">
        <f>SUMIFS(TB!O:O,TB!$J:$J,$C61)</f>
        <v>0</v>
      </c>
      <c r="J61" s="2">
        <f>SUMIFS(TB!P:P,TB!$J:$J,$C61)</f>
        <v>0</v>
      </c>
      <c r="K61" s="2">
        <f>SUMIFS(TB!Q:Q,TB!$J:$J,$C61)</f>
        <v>0</v>
      </c>
      <c r="L61" s="2">
        <f>SUMIFS(TB!R:R,TB!$J:$J,$C61)</f>
        <v>0</v>
      </c>
      <c r="M61" s="2">
        <f>SUMIFS(TB!S:S,TB!$J:$J,$C61)</f>
        <v>0</v>
      </c>
      <c r="N61" s="2">
        <f>SUMIFS(TB!T:T,TB!$J:$J,$C61)</f>
        <v>16.5</v>
      </c>
      <c r="O61" s="2">
        <f>SUMIFS(TB!U:U,TB!$J:$J,$C61)</f>
        <v>0</v>
      </c>
      <c r="P61" s="2">
        <f>SUMIFS(TB!V:V,TB!$J:$J,$C61)</f>
        <v>0</v>
      </c>
      <c r="Q61" s="2">
        <f>SUMIFS(TB!W:W,TB!$J:$J,$C61)</f>
        <v>6.5</v>
      </c>
      <c r="R61" s="2">
        <f>SUMIFS(TB!X:X,TB!$J:$J,$C61)</f>
        <v>0</v>
      </c>
      <c r="S61" s="2">
        <f>SUMIFS(TB!Y:Y,TB!$J:$J,$C61)</f>
        <v>0</v>
      </c>
      <c r="T61" s="2">
        <f>SUMIFS(TB!Z:Z,TB!$J:$J,$C61)</f>
        <v>0</v>
      </c>
      <c r="U61" s="2">
        <f>SUMIFS(TB!AA:AA,TB!$J:$J,$C61)</f>
        <v>0</v>
      </c>
      <c r="V61" s="2">
        <f>SUMIFS(TB!AB:AB,TB!$J:$J,$C61)</f>
        <v>0</v>
      </c>
      <c r="W61" s="2">
        <f>SUMIFS(TB!AC:AC,TB!$J:$J,$C61)</f>
        <v>0</v>
      </c>
      <c r="X61" s="2">
        <f>SUMIFS(TB!AD:AD,TB!$J:$J,$C61)</f>
        <v>0</v>
      </c>
      <c r="Y61" s="2">
        <f>SUMIFS(TB!AE:AE,TB!$J:$J,$C61)</f>
        <v>17.324999999999999</v>
      </c>
      <c r="Z61" s="2">
        <f>SUMIFS(TB!AF:AF,TB!$J:$J,$C61)</f>
        <v>0</v>
      </c>
      <c r="AA61" s="2">
        <f>SUMIFS(TB!AG:AG,TB!$J:$J,$C61)</f>
        <v>0</v>
      </c>
      <c r="AB61" s="2">
        <f>SUMIFS(TB!AH:AH,TB!$J:$J,$C61)</f>
        <v>0</v>
      </c>
      <c r="AC61" s="2">
        <f>SUMIFS(TB!AI:AI,TB!$J:$J,$C61)</f>
        <v>0</v>
      </c>
      <c r="AD61" s="2">
        <f>SUMIFS(TB!AJ:AJ,TB!$J:$J,$C61)</f>
        <v>0</v>
      </c>
      <c r="AE61" s="2">
        <f>SUMIFS(TB!AK:AK,TB!$J:$J,$C61)</f>
        <v>0</v>
      </c>
      <c r="AF61" s="2">
        <f>SUMIFS(TB!AL:AL,TB!$J:$J,$C61)</f>
        <v>0</v>
      </c>
      <c r="AG61" s="2">
        <f>SUMIFS(TB!AM:AM,TB!$J:$J,$C61)</f>
        <v>0</v>
      </c>
      <c r="AH61" s="2">
        <f>SUMIFS(TB!AN:AN,TB!$J:$J,$C61)</f>
        <v>0</v>
      </c>
      <c r="AI61" s="2">
        <f>SUMIFS(TB!AO:AO,TB!$J:$J,$C61)</f>
        <v>0</v>
      </c>
      <c r="AJ61" s="2"/>
      <c r="AK61" s="2">
        <f>SUM(E61:P61)</f>
        <v>16.5</v>
      </c>
      <c r="AL61" s="2">
        <f>SUM(Q61:AB61)</f>
        <v>23.824999999999999</v>
      </c>
      <c r="AM61" s="2">
        <f>SUM(X61:AI61)</f>
        <v>17.324999999999999</v>
      </c>
      <c r="AN61" s="2"/>
      <c r="AO61" s="5">
        <f>IFERROR(AK61/AK$15%,0)</f>
        <v>0.2157589951625003</v>
      </c>
      <c r="AP61" s="5">
        <f>IFERROR(AL61/AL$15%,0)</f>
        <v>0.35146591809692568</v>
      </c>
      <c r="AQ61" s="5">
        <f>IFERROR(AM61/AM$15%,0)</f>
        <v>0.23592567961704505</v>
      </c>
    </row>
    <row r="62" spans="3:43" ht="11.25" hidden="1" customHeight="1" outlineLevel="1" x14ac:dyDescent="0.2">
      <c r="C62" t="s">
        <v>287</v>
      </c>
      <c r="D62" s="4"/>
      <c r="E62" s="2">
        <f>SUMIFS(TB!K:K,TB!$J:$J,$C62)</f>
        <v>22.58324</v>
      </c>
      <c r="F62" s="2">
        <f>SUMIFS(TB!L:L,TB!$J:$J,$C62)</f>
        <v>22.871259999999999</v>
      </c>
      <c r="G62" s="2">
        <f>SUMIFS(TB!M:M,TB!$J:$J,$C62)</f>
        <v>32.30489</v>
      </c>
      <c r="H62" s="2">
        <f>SUMIFS(TB!N:N,TB!$J:$J,$C62)</f>
        <v>0.35</v>
      </c>
      <c r="I62" s="2">
        <f>SUMIFS(TB!O:O,TB!$J:$J,$C62)</f>
        <v>39.000180000000007</v>
      </c>
      <c r="J62" s="2">
        <f>SUMIFS(TB!P:P,TB!$J:$J,$C62)</f>
        <v>1.3706699999999983</v>
      </c>
      <c r="K62" s="2">
        <f>SUMIFS(TB!Q:Q,TB!$J:$J,$C62)</f>
        <v>1.3274899999999907</v>
      </c>
      <c r="L62" s="2">
        <f>SUMIFS(TB!R:R,TB!$J:$J,$C62)</f>
        <v>0</v>
      </c>
      <c r="M62" s="2">
        <f>SUMIFS(TB!S:S,TB!$J:$J,$C62)</f>
        <v>0.36</v>
      </c>
      <c r="N62" s="2">
        <f>SUMIFS(TB!T:T,TB!$J:$J,$C62)</f>
        <v>0.21</v>
      </c>
      <c r="O62" s="2">
        <f>SUMIFS(TB!U:U,TB!$J:$J,$C62)</f>
        <v>0</v>
      </c>
      <c r="P62" s="2">
        <f>SUMIFS(TB!V:V,TB!$J:$J,$C62)</f>
        <v>0.3</v>
      </c>
      <c r="Q62" s="2">
        <f>SUMIFS(TB!W:W,TB!$J:$J,$C62)</f>
        <v>0</v>
      </c>
      <c r="R62" s="2">
        <f>SUMIFS(TB!X:X,TB!$J:$J,$C62)</f>
        <v>0</v>
      </c>
      <c r="S62" s="2">
        <f>SUMIFS(TB!Y:Y,TB!$J:$J,$C62)</f>
        <v>0</v>
      </c>
      <c r="T62" s="2">
        <f>SUMIFS(TB!Z:Z,TB!$J:$J,$C62)</f>
        <v>1.89</v>
      </c>
      <c r="U62" s="2">
        <f>SUMIFS(TB!AA:AA,TB!$J:$J,$C62)</f>
        <v>0</v>
      </c>
      <c r="V62" s="2">
        <f>SUMIFS(TB!AB:AB,TB!$J:$J,$C62)</f>
        <v>0</v>
      </c>
      <c r="W62" s="2">
        <f>SUMIFS(TB!AC:AC,TB!$J:$J,$C62)</f>
        <v>0.6</v>
      </c>
      <c r="X62" s="2">
        <f>SUMIFS(TB!AD:AD,TB!$J:$J,$C62)</f>
        <v>7.5210000000000041E-2</v>
      </c>
      <c r="Y62" s="2">
        <f>SUMIFS(TB!AE:AE,TB!$J:$J,$C62)</f>
        <v>6.9213399999999989</v>
      </c>
      <c r="Z62" s="2">
        <f>SUMIFS(TB!AF:AF,TB!$J:$J,$C62)</f>
        <v>0</v>
      </c>
      <c r="AA62" s="2">
        <f>SUMIFS(TB!AG:AG,TB!$J:$J,$C62)</f>
        <v>0</v>
      </c>
      <c r="AB62" s="2">
        <f>SUMIFS(TB!AH:AH,TB!$J:$J,$C62)</f>
        <v>0.75</v>
      </c>
      <c r="AC62" s="2">
        <f>SUMIFS(TB!AI:AI,TB!$J:$J,$C62)</f>
        <v>0.16240000000000002</v>
      </c>
      <c r="AD62" s="2">
        <f>SUMIFS(TB!AJ:AJ,TB!$J:$J,$C62)</f>
        <v>0.45124999999999998</v>
      </c>
      <c r="AE62" s="2">
        <f>SUMIFS(TB!AK:AK,TB!$J:$J,$C62)</f>
        <v>0.47500000000000009</v>
      </c>
      <c r="AF62" s="2">
        <f>SUMIFS(TB!AL:AL,TB!$J:$J,$C62)</f>
        <v>1.1636900000000001</v>
      </c>
      <c r="AG62" s="2">
        <f>SUMIFS(TB!AM:AM,TB!$J:$J,$C62)</f>
        <v>0.36</v>
      </c>
      <c r="AH62" s="2">
        <f>SUMIFS(TB!AN:AN,TB!$J:$J,$C62)</f>
        <v>0</v>
      </c>
      <c r="AI62" s="2">
        <f>SUMIFS(TB!AO:AO,TB!$J:$J,$C62)</f>
        <v>0</v>
      </c>
      <c r="AJ62" s="2"/>
      <c r="AK62" s="2">
        <f>SUM(E62:P62)</f>
        <v>120.67772999999998</v>
      </c>
      <c r="AL62" s="2">
        <f>SUM(Q62:AB62)</f>
        <v>10.236549999999999</v>
      </c>
      <c r="AM62" s="2">
        <f>SUM(X62:AI62)</f>
        <v>10.358889999999999</v>
      </c>
      <c r="AN62" s="2"/>
      <c r="AO62" s="5">
        <f>IFERROR(AK62/AK$15%,0)</f>
        <v>1.5780185311085766</v>
      </c>
      <c r="AP62" s="5">
        <f>IFERROR(AL62/AL$15%,0)</f>
        <v>0.15100937854753765</v>
      </c>
      <c r="AQ62" s="5">
        <f>IFERROR(AM62/AM$15%,0)</f>
        <v>0.14106367465097902</v>
      </c>
    </row>
    <row r="63" spans="3:43" ht="11.25" hidden="1" customHeight="1" outlineLevel="1" x14ac:dyDescent="0.2">
      <c r="C63" t="s">
        <v>286</v>
      </c>
      <c r="D63" s="4"/>
      <c r="E63" s="2">
        <f>SUMIFS(TB!K:K,TB!$J:$J,$C63)</f>
        <v>0</v>
      </c>
      <c r="F63" s="2">
        <f>SUMIFS(TB!L:L,TB!$J:$J,$C63)</f>
        <v>1.4025000000000001</v>
      </c>
      <c r="G63" s="2">
        <f>SUMIFS(TB!M:M,TB!$J:$J,$C63)</f>
        <v>0</v>
      </c>
      <c r="H63" s="2">
        <f>SUMIFS(TB!N:N,TB!$J:$J,$C63)</f>
        <v>0.61875000000000002</v>
      </c>
      <c r="I63" s="2">
        <f>SUMIFS(TB!O:O,TB!$J:$J,$C63)</f>
        <v>5.2275</v>
      </c>
      <c r="J63" s="2">
        <f>SUMIFS(TB!P:P,TB!$J:$J,$C63)</f>
        <v>0.57750000000000001</v>
      </c>
      <c r="K63" s="2">
        <f>SUMIFS(TB!Q:Q,TB!$J:$J,$C63)</f>
        <v>0.61875000000000002</v>
      </c>
      <c r="L63" s="2">
        <f>SUMIFS(TB!R:R,TB!$J:$J,$C63)</f>
        <v>1.2787500000000001</v>
      </c>
      <c r="M63" s="2">
        <f>SUMIFS(TB!S:S,TB!$J:$J,$C63)</f>
        <v>0.57750000000000001</v>
      </c>
      <c r="N63" s="2">
        <f>SUMIFS(TB!T:T,TB!$J:$J,$C63)</f>
        <v>1.6912499999999999</v>
      </c>
      <c r="O63" s="2">
        <f>SUMIFS(TB!U:U,TB!$J:$J,$C63)</f>
        <v>1.3652500000000001</v>
      </c>
      <c r="P63" s="2">
        <f>SUMIFS(TB!V:V,TB!$J:$J,$C63)</f>
        <v>0.70125000000000004</v>
      </c>
      <c r="Q63" s="2">
        <f>SUMIFS(TB!W:W,TB!$J:$J,$C63)</f>
        <v>0.16500000000000001</v>
      </c>
      <c r="R63" s="2">
        <f>SUMIFS(TB!X:X,TB!$J:$J,$C63)</f>
        <v>0.495</v>
      </c>
      <c r="S63" s="2">
        <f>SUMIFS(TB!Y:Y,TB!$J:$J,$C63)</f>
        <v>0.66</v>
      </c>
      <c r="T63" s="2">
        <f>SUMIFS(TB!Z:Z,TB!$J:$J,$C63)</f>
        <v>1.11375</v>
      </c>
      <c r="U63" s="2">
        <f>SUMIFS(TB!AA:AA,TB!$J:$J,$C63)</f>
        <v>5.1112500000000001</v>
      </c>
      <c r="V63" s="2">
        <f>SUMIFS(TB!AB:AB,TB!$J:$J,$C63)</f>
        <v>-3.585</v>
      </c>
      <c r="W63" s="2">
        <f>SUMIFS(TB!AC:AC,TB!$J:$J,$C63)</f>
        <v>0.94874999999999998</v>
      </c>
      <c r="X63" s="2">
        <f>SUMIFS(TB!AD:AD,TB!$J:$J,$C63)</f>
        <v>0</v>
      </c>
      <c r="Y63" s="2">
        <f>SUMIFS(TB!AE:AE,TB!$J:$J,$C63)</f>
        <v>0.66</v>
      </c>
      <c r="Z63" s="2">
        <f>SUMIFS(TB!AF:AF,TB!$J:$J,$C63)</f>
        <v>0.16500000000000001</v>
      </c>
      <c r="AA63" s="2">
        <f>SUMIFS(TB!AG:AG,TB!$J:$J,$C63)</f>
        <v>0.33</v>
      </c>
      <c r="AB63" s="2">
        <f>SUMIFS(TB!AH:AH,TB!$J:$J,$C63)</f>
        <v>0.16500000000000001</v>
      </c>
      <c r="AC63" s="2">
        <f>SUMIFS(TB!AI:AI,TB!$J:$J,$C63)</f>
        <v>2.0625</v>
      </c>
      <c r="AD63" s="2">
        <f>SUMIFS(TB!AJ:AJ,TB!$J:$J,$C63)</f>
        <v>0.16500000000000001</v>
      </c>
      <c r="AE63" s="2">
        <f>SUMIFS(TB!AK:AK,TB!$J:$J,$C63)</f>
        <v>0.70125000000000004</v>
      </c>
      <c r="AF63" s="2">
        <f>SUMIFS(TB!AL:AL,TB!$J:$J,$C63)</f>
        <v>0.495</v>
      </c>
      <c r="AG63" s="2">
        <f>SUMIFS(TB!AM:AM,TB!$J:$J,$C63)</f>
        <v>0.70125000000000004</v>
      </c>
      <c r="AH63" s="2">
        <f>SUMIFS(TB!AN:AN,TB!$J:$J,$C63)</f>
        <v>0</v>
      </c>
      <c r="AI63" s="2">
        <f>SUMIFS(TB!AO:AO,TB!$J:$J,$C63)</f>
        <v>4.2450000000000001</v>
      </c>
      <c r="AJ63" s="2"/>
      <c r="AK63" s="2">
        <f>SUM(E63:P63)</f>
        <v>14.059000000000001</v>
      </c>
      <c r="AL63" s="2">
        <f>SUM(Q63:AB63)</f>
        <v>6.2287499999999998</v>
      </c>
      <c r="AM63" s="2">
        <f>SUM(X63:AI63)</f>
        <v>9.6900000000000013</v>
      </c>
      <c r="AN63" s="2"/>
      <c r="AO63" s="5">
        <f>IFERROR(AK63/AK$15%,0)</f>
        <v>0.1838397401811874</v>
      </c>
      <c r="AP63" s="5">
        <f>IFERROR(AL63/AL$15%,0)</f>
        <v>9.1886394012433398E-2</v>
      </c>
      <c r="AQ63" s="5">
        <f>IFERROR(AM63/AM$15%,0)</f>
        <v>0.13195496885940358</v>
      </c>
    </row>
    <row r="64" spans="3:43" ht="11.25" hidden="1" customHeight="1" outlineLevel="1" x14ac:dyDescent="0.2">
      <c r="C64" t="s">
        <v>285</v>
      </c>
      <c r="D64" s="4"/>
      <c r="E64" s="2">
        <f>SUMIFS(TB!K:K,TB!$J:$J,$C64)</f>
        <v>0</v>
      </c>
      <c r="F64" s="2">
        <f>SUMIFS(TB!L:L,TB!$J:$J,$C64)</f>
        <v>0</v>
      </c>
      <c r="G64" s="2">
        <f>SUMIFS(TB!M:M,TB!$J:$J,$C64)</f>
        <v>0</v>
      </c>
      <c r="H64" s="2">
        <f>SUMIFS(TB!N:N,TB!$J:$J,$C64)</f>
        <v>0</v>
      </c>
      <c r="I64" s="2">
        <f>SUMIFS(TB!O:O,TB!$J:$J,$C64)</f>
        <v>0</v>
      </c>
      <c r="J64" s="2">
        <f>SUMIFS(TB!P:P,TB!$J:$J,$C64)</f>
        <v>0</v>
      </c>
      <c r="K64" s="2">
        <f>SUMIFS(TB!Q:Q,TB!$J:$J,$C64)</f>
        <v>0</v>
      </c>
      <c r="L64" s="2">
        <f>SUMIFS(TB!R:R,TB!$J:$J,$C64)</f>
        <v>0</v>
      </c>
      <c r="M64" s="2">
        <f>SUMIFS(TB!S:S,TB!$J:$J,$C64)</f>
        <v>0</v>
      </c>
      <c r="N64" s="2">
        <f>SUMIFS(TB!T:T,TB!$J:$J,$C64)</f>
        <v>0</v>
      </c>
      <c r="O64" s="2">
        <f>SUMIFS(TB!U:U,TB!$J:$J,$C64)</f>
        <v>0</v>
      </c>
      <c r="P64" s="2">
        <f>SUMIFS(TB!V:V,TB!$J:$J,$C64)</f>
        <v>0</v>
      </c>
      <c r="Q64" s="2">
        <f>SUMIFS(TB!W:W,TB!$J:$J,$C64)</f>
        <v>14.131500000000001</v>
      </c>
      <c r="R64" s="2">
        <f>SUMIFS(TB!X:X,TB!$J:$J,$C64)</f>
        <v>0</v>
      </c>
      <c r="S64" s="2">
        <f>SUMIFS(TB!Y:Y,TB!$J:$J,$C64)</f>
        <v>0</v>
      </c>
      <c r="T64" s="2">
        <f>SUMIFS(TB!Z:Z,TB!$J:$J,$C64)</f>
        <v>12.480150000000002</v>
      </c>
      <c r="U64" s="2">
        <f>SUMIFS(TB!AA:AA,TB!$J:$J,$C64)</f>
        <v>0</v>
      </c>
      <c r="V64" s="2">
        <f>SUMIFS(TB!AB:AB,TB!$J:$J,$C64)</f>
        <v>0</v>
      </c>
      <c r="W64" s="2">
        <f>SUMIFS(TB!AC:AC,TB!$J:$J,$C64)</f>
        <v>20.25</v>
      </c>
      <c r="X64" s="2">
        <f>SUMIFS(TB!AD:AD,TB!$J:$J,$C64)</f>
        <v>0.12</v>
      </c>
      <c r="Y64" s="2">
        <f>SUMIFS(TB!AE:AE,TB!$J:$J,$C64)</f>
        <v>0</v>
      </c>
      <c r="Z64" s="2">
        <f>SUMIFS(TB!AF:AF,TB!$J:$J,$C64)</f>
        <v>5</v>
      </c>
      <c r="AA64" s="2">
        <f>SUMIFS(TB!AG:AG,TB!$J:$J,$C64)</f>
        <v>0</v>
      </c>
      <c r="AB64" s="2">
        <f>SUMIFS(TB!AH:AH,TB!$J:$J,$C64)</f>
        <v>0</v>
      </c>
      <c r="AC64" s="2">
        <f>SUMIFS(TB!AI:AI,TB!$J:$J,$C64)</f>
        <v>0</v>
      </c>
      <c r="AD64" s="2">
        <f>SUMIFS(TB!AJ:AJ,TB!$J:$J,$C64)</f>
        <v>1.9192499999999999</v>
      </c>
      <c r="AE64" s="2">
        <f>SUMIFS(TB!AK:AK,TB!$J:$J,$C64)</f>
        <v>0</v>
      </c>
      <c r="AF64" s="2">
        <f>SUMIFS(TB!AL:AL,TB!$J:$J,$C64)</f>
        <v>0</v>
      </c>
      <c r="AG64" s="2">
        <f>SUMIFS(TB!AM:AM,TB!$J:$J,$C64)</f>
        <v>0.53205999999999998</v>
      </c>
      <c r="AH64" s="2">
        <f>SUMIFS(TB!AN:AN,TB!$J:$J,$C64)</f>
        <v>0</v>
      </c>
      <c r="AI64" s="2">
        <f>SUMIFS(TB!AO:AO,TB!$J:$J,$C64)</f>
        <v>0</v>
      </c>
      <c r="AJ64" s="2"/>
      <c r="AK64" s="2">
        <f>SUM(E64:P64)</f>
        <v>0</v>
      </c>
      <c r="AL64" s="2">
        <f>SUM(Q64:AB64)</f>
        <v>51.981650000000002</v>
      </c>
      <c r="AM64" s="2">
        <f>SUM(X64:AI64)</f>
        <v>7.5713100000000004</v>
      </c>
      <c r="AN64" s="2"/>
      <c r="AO64" s="5">
        <f>IFERROR(AK64/AK$15%,0)</f>
        <v>0</v>
      </c>
      <c r="AP64" s="5">
        <f>IFERROR(AL64/AL$15%,0)</f>
        <v>0.76683224937851235</v>
      </c>
      <c r="AQ64" s="5">
        <f>IFERROR(AM64/AM$15%,0)</f>
        <v>0.10310340302114455</v>
      </c>
    </row>
    <row r="65" spans="3:43" ht="11.25" hidden="1" customHeight="1" outlineLevel="1" x14ac:dyDescent="0.2">
      <c r="C65" t="s">
        <v>284</v>
      </c>
      <c r="D65" s="4"/>
      <c r="E65" s="2">
        <f>SUMIFS(TB!K:K,TB!$J:$J,$C65)</f>
        <v>0.6</v>
      </c>
      <c r="F65" s="2">
        <f>SUMIFS(TB!L:L,TB!$J:$J,$C65)</f>
        <v>0</v>
      </c>
      <c r="G65" s="2">
        <f>SUMIFS(TB!M:M,TB!$J:$J,$C65)</f>
        <v>0.35</v>
      </c>
      <c r="H65" s="2">
        <f>SUMIFS(TB!N:N,TB!$J:$J,$C65)</f>
        <v>0.6</v>
      </c>
      <c r="I65" s="2">
        <f>SUMIFS(TB!O:O,TB!$J:$J,$C65)</f>
        <v>0.55000000000000004</v>
      </c>
      <c r="J65" s="2">
        <f>SUMIFS(TB!P:P,TB!$J:$J,$C65)</f>
        <v>0.15</v>
      </c>
      <c r="K65" s="2">
        <f>SUMIFS(TB!Q:Q,TB!$J:$J,$C65)</f>
        <v>0.8</v>
      </c>
      <c r="L65" s="2">
        <f>SUMIFS(TB!R:R,TB!$J:$J,$C65)</f>
        <v>0</v>
      </c>
      <c r="M65" s="2">
        <f>SUMIFS(TB!S:S,TB!$J:$J,$C65)</f>
        <v>0</v>
      </c>
      <c r="N65" s="2">
        <f>SUMIFS(TB!T:T,TB!$J:$J,$C65)</f>
        <v>0</v>
      </c>
      <c r="O65" s="2">
        <f>SUMIFS(TB!U:U,TB!$J:$J,$C65)</f>
        <v>0.67500000000000004</v>
      </c>
      <c r="P65" s="2">
        <f>SUMIFS(TB!V:V,TB!$J:$J,$C65)</f>
        <v>0</v>
      </c>
      <c r="Q65" s="2">
        <f>SUMIFS(TB!W:W,TB!$J:$J,$C65)</f>
        <v>0</v>
      </c>
      <c r="R65" s="2">
        <f>SUMIFS(TB!X:X,TB!$J:$J,$C65)</f>
        <v>0</v>
      </c>
      <c r="S65" s="2">
        <f>SUMIFS(TB!Y:Y,TB!$J:$J,$C65)</f>
        <v>0</v>
      </c>
      <c r="T65" s="2">
        <f>SUMIFS(TB!Z:Z,TB!$J:$J,$C65)</f>
        <v>0</v>
      </c>
      <c r="U65" s="2">
        <f>SUMIFS(TB!AA:AA,TB!$J:$J,$C65)</f>
        <v>0</v>
      </c>
      <c r="V65" s="2">
        <f>SUMIFS(TB!AB:AB,TB!$J:$J,$C65)</f>
        <v>0</v>
      </c>
      <c r="W65" s="2">
        <f>SUMIFS(TB!AC:AC,TB!$J:$J,$C65)</f>
        <v>0</v>
      </c>
      <c r="X65" s="2">
        <f>SUMIFS(TB!AD:AD,TB!$J:$J,$C65)</f>
        <v>0</v>
      </c>
      <c r="Y65" s="2">
        <f>SUMIFS(TB!AE:AE,TB!$J:$J,$C65)</f>
        <v>0</v>
      </c>
      <c r="Z65" s="2">
        <f>SUMIFS(TB!AF:AF,TB!$J:$J,$C65)</f>
        <v>0.55000000000000004</v>
      </c>
      <c r="AA65" s="2">
        <f>SUMIFS(TB!AG:AG,TB!$J:$J,$C65)</f>
        <v>0</v>
      </c>
      <c r="AB65" s="2">
        <f>SUMIFS(TB!AH:AH,TB!$J:$J,$C65)</f>
        <v>0</v>
      </c>
      <c r="AC65" s="2">
        <f>SUMIFS(TB!AI:AI,TB!$J:$J,$C65)</f>
        <v>0</v>
      </c>
      <c r="AD65" s="2">
        <f>SUMIFS(TB!AJ:AJ,TB!$J:$J,$C65)</f>
        <v>0</v>
      </c>
      <c r="AE65" s="2">
        <f>SUMIFS(TB!AK:AK,TB!$J:$J,$C65)</f>
        <v>0</v>
      </c>
      <c r="AF65" s="2">
        <f>SUMIFS(TB!AL:AL,TB!$J:$J,$C65)</f>
        <v>0</v>
      </c>
      <c r="AG65" s="2">
        <f>SUMIFS(TB!AM:AM,TB!$J:$J,$C65)</f>
        <v>0</v>
      </c>
      <c r="AH65" s="2">
        <f>SUMIFS(TB!AN:AN,TB!$J:$J,$C65)</f>
        <v>0</v>
      </c>
      <c r="AI65" s="2">
        <f>SUMIFS(TB!AO:AO,TB!$J:$J,$C65)</f>
        <v>0</v>
      </c>
      <c r="AJ65" s="2"/>
      <c r="AK65" s="2">
        <f>SUM(E65:P65)</f>
        <v>3.7249999999999996</v>
      </c>
      <c r="AL65" s="2">
        <f>SUM(Q65:AB65)</f>
        <v>0.55000000000000004</v>
      </c>
      <c r="AM65" s="2">
        <f>SUM(X65:AI65)</f>
        <v>0.55000000000000004</v>
      </c>
      <c r="AN65" s="2"/>
      <c r="AO65" s="5">
        <f>IFERROR(AK65/AK$15%,0)</f>
        <v>4.8709227695776576E-2</v>
      </c>
      <c r="AP65" s="5">
        <f>IFERROR(AL65/AL$15%,0)</f>
        <v>8.1135888752700575E-3</v>
      </c>
      <c r="AQ65" s="5">
        <f>IFERROR(AM65/AM$15%,0)</f>
        <v>7.4897041148268275E-3</v>
      </c>
    </row>
    <row r="66" spans="3:43" ht="11.25" hidden="1" customHeight="1" outlineLevel="1" x14ac:dyDescent="0.2">
      <c r="C66" s="17" t="s">
        <v>283</v>
      </c>
      <c r="D66" s="15"/>
      <c r="E66" s="14">
        <f>SUMIFS(TB!K:K,TB!$J:$J,$C66)</f>
        <v>0</v>
      </c>
      <c r="F66" s="14">
        <f>SUMIFS(TB!L:L,TB!$J:$J,$C66)</f>
        <v>0</v>
      </c>
      <c r="G66" s="14">
        <f>SUMIFS(TB!M:M,TB!$J:$J,$C66)</f>
        <v>0</v>
      </c>
      <c r="H66" s="14">
        <f>SUMIFS(TB!N:N,TB!$J:$J,$C66)</f>
        <v>0</v>
      </c>
      <c r="I66" s="14">
        <f>SUMIFS(TB!O:O,TB!$J:$J,$C66)</f>
        <v>0</v>
      </c>
      <c r="J66" s="14">
        <f>SUMIFS(TB!P:P,TB!$J:$J,$C66)</f>
        <v>0</v>
      </c>
      <c r="K66" s="14">
        <f>SUMIFS(TB!Q:Q,TB!$J:$J,$C66)</f>
        <v>0</v>
      </c>
      <c r="L66" s="14">
        <f>SUMIFS(TB!R:R,TB!$J:$J,$C66)</f>
        <v>0</v>
      </c>
      <c r="M66" s="14">
        <f>SUMIFS(TB!S:S,TB!$J:$J,$C66)</f>
        <v>0</v>
      </c>
      <c r="N66" s="14">
        <f>SUMIFS(TB!T:T,TB!$J:$J,$C66)</f>
        <v>0</v>
      </c>
      <c r="O66" s="14">
        <f>SUMIFS(TB!U:U,TB!$J:$J,$C66)</f>
        <v>0</v>
      </c>
      <c r="P66" s="14">
        <f>SUMIFS(TB!V:V,TB!$J:$J,$C66)</f>
        <v>0</v>
      </c>
      <c r="Q66" s="14">
        <f>SUMIFS(TB!W:W,TB!$J:$J,$C66)</f>
        <v>0</v>
      </c>
      <c r="R66" s="14">
        <f>SUMIFS(TB!X:X,TB!$J:$J,$C66)</f>
        <v>0</v>
      </c>
      <c r="S66" s="14">
        <f>SUMIFS(TB!Y:Y,TB!$J:$J,$C66)</f>
        <v>0</v>
      </c>
      <c r="T66" s="14">
        <f>SUMIFS(TB!Z:Z,TB!$J:$J,$C66)</f>
        <v>0</v>
      </c>
      <c r="U66" s="14">
        <f>SUMIFS(TB!AA:AA,TB!$J:$J,$C66)</f>
        <v>0</v>
      </c>
      <c r="V66" s="14">
        <f>SUMIFS(TB!AB:AB,TB!$J:$J,$C66)</f>
        <v>0</v>
      </c>
      <c r="W66" s="14">
        <f>SUMIFS(TB!AC:AC,TB!$J:$J,$C66)</f>
        <v>0</v>
      </c>
      <c r="X66" s="14">
        <f>SUMIFS(TB!AD:AD,TB!$J:$J,$C66)</f>
        <v>0</v>
      </c>
      <c r="Y66" s="14">
        <f>SUMIFS(TB!AE:AE,TB!$J:$J,$C66)</f>
        <v>0</v>
      </c>
      <c r="Z66" s="14">
        <f>SUMIFS(TB!AF:AF,TB!$J:$J,$C66)</f>
        <v>6.4660099999999998</v>
      </c>
      <c r="AA66" s="14">
        <f>SUMIFS(TB!AG:AG,TB!$J:$J,$C66)</f>
        <v>0</v>
      </c>
      <c r="AB66" s="14">
        <f>SUMIFS(TB!AH:AH,TB!$J:$J,$C66)</f>
        <v>-6.4660099999999998</v>
      </c>
      <c r="AC66" s="14">
        <f>SUMIFS(TB!AI:AI,TB!$J:$J,$C66)</f>
        <v>0</v>
      </c>
      <c r="AD66" s="14">
        <f>SUMIFS(TB!AJ:AJ,TB!$J:$J,$C66)</f>
        <v>0</v>
      </c>
      <c r="AE66" s="14">
        <f>SUMIFS(TB!AK:AK,TB!$J:$J,$C66)</f>
        <v>0</v>
      </c>
      <c r="AF66" s="14">
        <f>SUMIFS(TB!AL:AL,TB!$J:$J,$C66)</f>
        <v>0</v>
      </c>
      <c r="AG66" s="14">
        <f>SUMIFS(TB!AM:AM,TB!$J:$J,$C66)</f>
        <v>0</v>
      </c>
      <c r="AH66" s="14">
        <f>SUMIFS(TB!AN:AN,TB!$J:$J,$C66)</f>
        <v>0</v>
      </c>
      <c r="AI66" s="14">
        <f>SUMIFS(TB!AO:AO,TB!$J:$J,$C66)</f>
        <v>0</v>
      </c>
      <c r="AJ66" s="14"/>
      <c r="AK66" s="14">
        <f>SUM(E66:P66)</f>
        <v>0</v>
      </c>
      <c r="AL66" s="14">
        <f>SUM(Q66:AB66)</f>
        <v>0</v>
      </c>
      <c r="AM66" s="14">
        <f>SUM(X66:AI66)</f>
        <v>0</v>
      </c>
      <c r="AN66" s="14"/>
      <c r="AO66" s="13">
        <f>IFERROR(AK66/AK$15%,0)</f>
        <v>0</v>
      </c>
      <c r="AP66" s="13">
        <f>IFERROR(AL66/AL$15%,0)</f>
        <v>0</v>
      </c>
      <c r="AQ66" s="13">
        <f>IFERROR(AM66/AM$15%,0)</f>
        <v>0</v>
      </c>
    </row>
    <row r="67" spans="3:43" ht="11.25" customHeight="1" collapsed="1" x14ac:dyDescent="0.2">
      <c r="C67" t="s">
        <v>23</v>
      </c>
      <c r="D67" s="4"/>
      <c r="E67" s="2">
        <f>SUM(E47:E66)</f>
        <v>137.43364000000003</v>
      </c>
      <c r="F67" s="2">
        <f>SUM(F47:F66)</f>
        <v>193.54791</v>
      </c>
      <c r="G67" s="2">
        <f>SUM(G47:G66)</f>
        <v>224.92212999999998</v>
      </c>
      <c r="H67" s="2">
        <f>SUM(H47:H66)</f>
        <v>125.26818999999999</v>
      </c>
      <c r="I67" s="2">
        <f>SUM(I47:I66)</f>
        <v>176.70462000000001</v>
      </c>
      <c r="J67" s="2">
        <f>SUM(J47:J66)</f>
        <v>178.79570999999999</v>
      </c>
      <c r="K67" s="2">
        <f>SUM(K47:K66)</f>
        <v>270.18697999999995</v>
      </c>
      <c r="L67" s="2">
        <f>SUM(L47:L66)</f>
        <v>287.13070999999997</v>
      </c>
      <c r="M67" s="2">
        <f>SUM(M47:M66)</f>
        <v>147.99318000000002</v>
      </c>
      <c r="N67" s="2">
        <f>SUM(N47:N66)</f>
        <v>165.18796999999995</v>
      </c>
      <c r="O67" s="2">
        <f>SUM(O47:O66)</f>
        <v>337.44583</v>
      </c>
      <c r="P67" s="2">
        <f>SUM(P47:P66)</f>
        <v>319.66356000000013</v>
      </c>
      <c r="Q67" s="2">
        <f>SUM(Q47:Q66)</f>
        <v>168.82724999999996</v>
      </c>
      <c r="R67" s="2">
        <f>SUM(R47:R66)</f>
        <v>120.0455</v>
      </c>
      <c r="S67" s="2">
        <f>SUM(S47:S66)</f>
        <v>172.70988</v>
      </c>
      <c r="T67" s="2">
        <f>SUM(T47:T66)</f>
        <v>148.45572000000001</v>
      </c>
      <c r="U67" s="2">
        <f>SUM(U47:U66)</f>
        <v>179.57611000000003</v>
      </c>
      <c r="V67" s="2">
        <f>SUM(V47:V66)</f>
        <v>152.01988000000006</v>
      </c>
      <c r="W67" s="2">
        <f>SUM(W47:W66)</f>
        <v>223.98868999999993</v>
      </c>
      <c r="X67" s="2">
        <f>SUM(X47:X66)</f>
        <v>213.07864999999998</v>
      </c>
      <c r="Y67" s="2">
        <f>SUM(Y47:Y66)</f>
        <v>202.70498999999995</v>
      </c>
      <c r="Z67" s="2">
        <f>SUM(Z47:Z66)</f>
        <v>285.08553000000012</v>
      </c>
      <c r="AA67" s="2">
        <f>SUM(AA47:AA66)</f>
        <v>114.44835</v>
      </c>
      <c r="AB67" s="2">
        <f>SUM(AB47:AB66)</f>
        <v>188.95703999999998</v>
      </c>
      <c r="AC67" s="2">
        <f>SUM(AC47:AC66)</f>
        <v>199.86528999999999</v>
      </c>
      <c r="AD67" s="2">
        <f>SUM(AD47:AD66)</f>
        <v>178.72288</v>
      </c>
      <c r="AE67" s="2">
        <f>SUM(AE47:AE66)</f>
        <v>266.13393000000002</v>
      </c>
      <c r="AF67" s="2">
        <f>SUM(AF47:AF66)</f>
        <v>115.13460000000003</v>
      </c>
      <c r="AG67" s="2">
        <f>SUM(AG47:AG66)</f>
        <v>207.44051000000005</v>
      </c>
      <c r="AH67" s="2">
        <f>SUM(AH47:AH66)</f>
        <v>184.72747000000001</v>
      </c>
      <c r="AI67" s="2">
        <f>SUM(AI47:AI66)</f>
        <v>191.75563</v>
      </c>
      <c r="AJ67" s="2"/>
      <c r="AK67" s="2">
        <f>SUM(AK47:AK66)</f>
        <v>2564.2804300000003</v>
      </c>
      <c r="AL67" s="2">
        <f>SUM(AL47:AL66)</f>
        <v>2169.89759</v>
      </c>
      <c r="AM67" s="2">
        <f>SUM(AM47:AM66)</f>
        <v>2348.0548700000004</v>
      </c>
      <c r="AN67" s="2"/>
      <c r="AO67" s="5">
        <f>IFERROR(AK67/AK$15%,0)</f>
        <v>33.531307205555407</v>
      </c>
      <c r="AP67" s="5">
        <f>IFERROR(AL67/AL$15%,0)</f>
        <v>32.010285357635105</v>
      </c>
      <c r="AQ67" s="5">
        <f>IFERROR(AM67/AM$15%,0)</f>
        <v>31.974974948505771</v>
      </c>
    </row>
    <row r="68" spans="3:43" ht="6" hidden="1" customHeight="1" outlineLevel="1" x14ac:dyDescent="0.2">
      <c r="D68" s="4"/>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5"/>
      <c r="AP68" s="5"/>
      <c r="AQ68" s="5"/>
    </row>
    <row r="69" spans="3:43" ht="11.25" hidden="1" customHeight="1" outlineLevel="1" x14ac:dyDescent="0.2">
      <c r="C69" t="s">
        <v>282</v>
      </c>
      <c r="D69" s="4"/>
      <c r="E69" s="2">
        <f>SUMIFS(TB!K:K,TB!$J:$J,$C69)</f>
        <v>24.235130000000002</v>
      </c>
      <c r="F69" s="2">
        <f>SUMIFS(TB!L:L,TB!$J:$J,$C69)</f>
        <v>22.746649999999999</v>
      </c>
      <c r="G69" s="2">
        <f>SUMIFS(TB!M:M,TB!$J:$J,$C69)</f>
        <v>24.193180000000009</v>
      </c>
      <c r="H69" s="2">
        <f>SUMIFS(TB!N:N,TB!$J:$J,$C69)</f>
        <v>23.386019999999988</v>
      </c>
      <c r="I69" s="2">
        <f>SUMIFS(TB!O:O,TB!$J:$J,$C69)</f>
        <v>18.89828</v>
      </c>
      <c r="J69" s="2">
        <f>SUMIFS(TB!P:P,TB!$J:$J,$C69)</f>
        <v>18.907720000000015</v>
      </c>
      <c r="K69" s="2">
        <f>SUMIFS(TB!Q:Q,TB!$J:$J,$C69)</f>
        <v>16.857449999999982</v>
      </c>
      <c r="L69" s="2">
        <f>SUMIFS(TB!R:R,TB!$J:$J,$C69)</f>
        <v>18.292059999999999</v>
      </c>
      <c r="M69" s="2">
        <f>SUMIFS(TB!S:S,TB!$J:$J,$C69)</f>
        <v>18.201740000000019</v>
      </c>
      <c r="N69" s="2">
        <f>SUMIFS(TB!T:T,TB!$J:$J,$C69)</f>
        <v>15.274419999999983</v>
      </c>
      <c r="O69" s="2">
        <f>SUMIFS(TB!U:U,TB!$J:$J,$C69)</f>
        <v>18.553050000000017</v>
      </c>
      <c r="P69" s="2">
        <f>SUMIFS(TB!V:V,TB!$J:$J,$C69)</f>
        <v>-108.49333000000001</v>
      </c>
      <c r="Q69" s="2">
        <f>SUMIFS(TB!W:W,TB!$J:$J,$C69)</f>
        <v>21.298020000000001</v>
      </c>
      <c r="R69" s="2">
        <f>SUMIFS(TB!X:X,TB!$J:$J,$C69)</f>
        <v>21.298020000000001</v>
      </c>
      <c r="S69" s="2">
        <f>SUMIFS(TB!Y:Y,TB!$J:$J,$C69)</f>
        <v>21.298019999999998</v>
      </c>
      <c r="T69" s="2">
        <f>SUMIFS(TB!Z:Z,TB!$J:$J,$C69)</f>
        <v>0</v>
      </c>
      <c r="U69" s="2">
        <f>SUMIFS(TB!AA:AA,TB!$J:$J,$C69)</f>
        <v>0</v>
      </c>
      <c r="V69" s="2">
        <f>SUMIFS(TB!AB:AB,TB!$J:$J,$C69)</f>
        <v>0</v>
      </c>
      <c r="W69" s="2">
        <f>SUMIFS(TB!AC:AC,TB!$J:$J,$C69)</f>
        <v>0</v>
      </c>
      <c r="X69" s="2">
        <f>SUMIFS(TB!AD:AD,TB!$J:$J,$C69)</f>
        <v>0</v>
      </c>
      <c r="Y69" s="2">
        <f>SUMIFS(TB!AE:AE,TB!$J:$J,$C69)</f>
        <v>0</v>
      </c>
      <c r="Z69" s="2">
        <f>SUMIFS(TB!AF:AF,TB!$J:$J,$C69)</f>
        <v>0</v>
      </c>
      <c r="AA69" s="2">
        <f>SUMIFS(TB!AG:AG,TB!$J:$J,$C69)</f>
        <v>0</v>
      </c>
      <c r="AB69" s="2">
        <f>SUMIFS(TB!AH:AH,TB!$J:$J,$C69)</f>
        <v>111.42448999999999</v>
      </c>
      <c r="AC69" s="2">
        <f>SUMIFS(TB!AI:AI,TB!$J:$J,$C69)</f>
        <v>0</v>
      </c>
      <c r="AD69" s="2">
        <f>SUMIFS(TB!AJ:AJ,TB!$J:$J,$C69)</f>
        <v>0</v>
      </c>
      <c r="AE69" s="2">
        <f>SUMIFS(TB!AK:AK,TB!$J:$J,$C69)</f>
        <v>0</v>
      </c>
      <c r="AF69" s="2">
        <f>SUMIFS(TB!AL:AL,TB!$J:$J,$C69)</f>
        <v>0</v>
      </c>
      <c r="AG69" s="2">
        <f>SUMIFS(TB!AM:AM,TB!$J:$J,$C69)</f>
        <v>0</v>
      </c>
      <c r="AH69" s="2">
        <f>SUMIFS(TB!AN:AN,TB!$J:$J,$C69)</f>
        <v>0</v>
      </c>
      <c r="AI69" s="2">
        <f>SUMIFS(TB!AO:AO,TB!$J:$J,$C69)</f>
        <v>0</v>
      </c>
      <c r="AJ69" s="2"/>
      <c r="AK69" s="2">
        <f>SUM(E69:P69)</f>
        <v>111.05237</v>
      </c>
      <c r="AL69" s="2">
        <f>SUM(Q69:AB69)</f>
        <v>175.31854999999999</v>
      </c>
      <c r="AM69" s="2">
        <f>SUM(X69:AI69)</f>
        <v>111.42448999999999</v>
      </c>
      <c r="AN69" s="2"/>
      <c r="AO69" s="5">
        <f>IFERROR(AK69/AK$15%,0)</f>
        <v>1.4521544097947996</v>
      </c>
      <c r="AP69" s="5">
        <f>IFERROR(AL69/AL$15%,0)</f>
        <v>2.5862957034699585</v>
      </c>
      <c r="AQ69" s="5">
        <f>IFERROR(AM69/AM$15%,0)</f>
        <v>1.5173390204463284</v>
      </c>
    </row>
    <row r="70" spans="3:43" ht="11.25" hidden="1" customHeight="1" outlineLevel="1" x14ac:dyDescent="0.2">
      <c r="C70" t="s">
        <v>281</v>
      </c>
      <c r="D70" s="4"/>
      <c r="E70" s="2">
        <f>SUMIFS(TB!K:K,TB!$J:$J,$C70)</f>
        <v>6.0585200000000006</v>
      </c>
      <c r="F70" s="2">
        <f>SUMIFS(TB!L:L,TB!$J:$J,$C70)</f>
        <v>1.7000599999999995</v>
      </c>
      <c r="G70" s="2">
        <f>SUMIFS(TB!M:M,TB!$J:$J,$C70)</f>
        <v>6.6640800000000002</v>
      </c>
      <c r="H70" s="2">
        <f>SUMIFS(TB!N:N,TB!$J:$J,$C70)</f>
        <v>9.5877599999999976</v>
      </c>
      <c r="I70" s="2">
        <f>SUMIFS(TB!O:O,TB!$J:$J,$C70)</f>
        <v>4.2944200000000015</v>
      </c>
      <c r="J70" s="2">
        <f>SUMIFS(TB!P:P,TB!$J:$J,$C70)</f>
        <v>3.69916</v>
      </c>
      <c r="K70" s="2">
        <f>SUMIFS(TB!Q:Q,TB!$J:$J,$C70)</f>
        <v>4.0957900000000009</v>
      </c>
      <c r="L70" s="2">
        <f>SUMIFS(TB!R:R,TB!$J:$J,$C70)</f>
        <v>4.4924199999999983</v>
      </c>
      <c r="M70" s="2">
        <f>SUMIFS(TB!S:S,TB!$J:$J,$C70)</f>
        <v>7.6277700000000044</v>
      </c>
      <c r="N70" s="2">
        <f>SUMIFS(TB!T:T,TB!$J:$J,$C70)</f>
        <v>4.4100799999999944</v>
      </c>
      <c r="O70" s="2">
        <f>SUMIFS(TB!U:U,TB!$J:$J,$C70)</f>
        <v>7.2876200000000022</v>
      </c>
      <c r="P70" s="2">
        <f>SUMIFS(TB!V:V,TB!$J:$J,$C70)</f>
        <v>4.3360299999999992</v>
      </c>
      <c r="Q70" s="2">
        <f>SUMIFS(TB!W:W,TB!$J:$J,$C70)</f>
        <v>3.9203000000000001</v>
      </c>
      <c r="R70" s="2">
        <f>SUMIFS(TB!X:X,TB!$J:$J,$C70)</f>
        <v>3.9203000000000001</v>
      </c>
      <c r="S70" s="2">
        <f>SUMIFS(TB!Y:Y,TB!$J:$J,$C70)</f>
        <v>3.9202999999999992</v>
      </c>
      <c r="T70" s="2">
        <f>SUMIFS(TB!Z:Z,TB!$J:$J,$C70)</f>
        <v>0</v>
      </c>
      <c r="U70" s="2">
        <f>SUMIFS(TB!AA:AA,TB!$J:$J,$C70)</f>
        <v>0</v>
      </c>
      <c r="V70" s="2">
        <f>SUMIFS(TB!AB:AB,TB!$J:$J,$C70)</f>
        <v>0</v>
      </c>
      <c r="W70" s="2">
        <f>SUMIFS(TB!AC:AC,TB!$J:$J,$C70)</f>
        <v>0</v>
      </c>
      <c r="X70" s="2">
        <f>SUMIFS(TB!AD:AD,TB!$J:$J,$C70)</f>
        <v>0</v>
      </c>
      <c r="Y70" s="2">
        <f>SUMIFS(TB!AE:AE,TB!$J:$J,$C70)</f>
        <v>0</v>
      </c>
      <c r="Z70" s="2">
        <f>SUMIFS(TB!AF:AF,TB!$J:$J,$C70)</f>
        <v>0</v>
      </c>
      <c r="AA70" s="2">
        <f>SUMIFS(TB!AG:AG,TB!$J:$J,$C70)</f>
        <v>0</v>
      </c>
      <c r="AB70" s="2">
        <f>SUMIFS(TB!AH:AH,TB!$J:$J,$C70)</f>
        <v>43.623249999999999</v>
      </c>
      <c r="AC70" s="2">
        <f>SUMIFS(TB!AI:AI,TB!$J:$J,$C70)</f>
        <v>0</v>
      </c>
      <c r="AD70" s="2">
        <f>SUMIFS(TB!AJ:AJ,TB!$J:$J,$C70)</f>
        <v>0</v>
      </c>
      <c r="AE70" s="2">
        <f>SUMIFS(TB!AK:AK,TB!$J:$J,$C70)</f>
        <v>0</v>
      </c>
      <c r="AF70" s="2">
        <f>SUMIFS(TB!AL:AL,TB!$J:$J,$C70)</f>
        <v>0</v>
      </c>
      <c r="AG70" s="2">
        <f>SUMIFS(TB!AM:AM,TB!$J:$J,$C70)</f>
        <v>0</v>
      </c>
      <c r="AH70" s="2">
        <f>SUMIFS(TB!AN:AN,TB!$J:$J,$C70)</f>
        <v>0</v>
      </c>
      <c r="AI70" s="2">
        <f>SUMIFS(TB!AO:AO,TB!$J:$J,$C70)</f>
        <v>0</v>
      </c>
      <c r="AJ70" s="2"/>
      <c r="AK70" s="2">
        <f>SUM(E70:P70)</f>
        <v>64.253709999999998</v>
      </c>
      <c r="AL70" s="2">
        <f>SUM(Q70:AB70)</f>
        <v>55.384149999999998</v>
      </c>
      <c r="AM70" s="2">
        <f>SUM(X70:AI70)</f>
        <v>43.623249999999999</v>
      </c>
      <c r="AN70" s="2"/>
      <c r="AO70" s="5">
        <f>IFERROR(AK70/AK$15%,0)</f>
        <v>0.84020096394319377</v>
      </c>
      <c r="AP70" s="5">
        <f>IFERROR(AL70/AL$15%,0)</f>
        <v>0.81702586055688753</v>
      </c>
      <c r="AQ70" s="5">
        <f>IFERROR(AM70/AM$15%,0)</f>
        <v>0.59404588186748974</v>
      </c>
    </row>
    <row r="71" spans="3:43" ht="11.25" hidden="1" customHeight="1" outlineLevel="1" x14ac:dyDescent="0.2">
      <c r="C71" t="s">
        <v>280</v>
      </c>
      <c r="D71" s="4"/>
      <c r="E71" s="2">
        <f>SUMIFS(TB!K:K,TB!$J:$J,$C71)</f>
        <v>0</v>
      </c>
      <c r="F71" s="2">
        <f>SUMIFS(TB!L:L,TB!$J:$J,$C71)</f>
        <v>0</v>
      </c>
      <c r="G71" s="2">
        <f>SUMIFS(TB!M:M,TB!$J:$J,$C71)</f>
        <v>0</v>
      </c>
      <c r="H71" s="2">
        <f>SUMIFS(TB!N:N,TB!$J:$J,$C71)</f>
        <v>0</v>
      </c>
      <c r="I71" s="2">
        <f>SUMIFS(TB!O:O,TB!$J:$J,$C71)</f>
        <v>18.670150000000003</v>
      </c>
      <c r="J71" s="2">
        <f>SUMIFS(TB!P:P,TB!$J:$J,$C71)</f>
        <v>14.064849999999998</v>
      </c>
      <c r="K71" s="2">
        <f>SUMIFS(TB!Q:Q,TB!$J:$J,$C71)</f>
        <v>0</v>
      </c>
      <c r="L71" s="2">
        <f>SUMIFS(TB!R:R,TB!$J:$J,$C71)</f>
        <v>0</v>
      </c>
      <c r="M71" s="2">
        <f>SUMIFS(TB!S:S,TB!$J:$J,$C71)</f>
        <v>0</v>
      </c>
      <c r="N71" s="2">
        <f>SUMIFS(TB!T:T,TB!$J:$J,$C71)</f>
        <v>0</v>
      </c>
      <c r="O71" s="2">
        <f>SUMIFS(TB!U:U,TB!$J:$J,$C71)</f>
        <v>0</v>
      </c>
      <c r="P71" s="2">
        <f>SUMIFS(TB!V:V,TB!$J:$J,$C71)</f>
        <v>0</v>
      </c>
      <c r="Q71" s="2">
        <f>SUMIFS(TB!W:W,TB!$J:$J,$C71)</f>
        <v>0</v>
      </c>
      <c r="R71" s="2">
        <f>SUMIFS(TB!X:X,TB!$J:$J,$C71)</f>
        <v>0</v>
      </c>
      <c r="S71" s="2">
        <f>SUMIFS(TB!Y:Y,TB!$J:$J,$C71)</f>
        <v>0</v>
      </c>
      <c r="T71" s="2">
        <f>SUMIFS(TB!Z:Z,TB!$J:$J,$C71)</f>
        <v>0</v>
      </c>
      <c r="U71" s="2">
        <f>SUMIFS(TB!AA:AA,TB!$J:$J,$C71)</f>
        <v>34.348849999999999</v>
      </c>
      <c r="V71" s="2">
        <f>SUMIFS(TB!AB:AB,TB!$J:$J,$C71)</f>
        <v>0</v>
      </c>
      <c r="W71" s="2">
        <f>SUMIFS(TB!AC:AC,TB!$J:$J,$C71)</f>
        <v>0</v>
      </c>
      <c r="X71" s="2">
        <f>SUMIFS(TB!AD:AD,TB!$J:$J,$C71)</f>
        <v>0</v>
      </c>
      <c r="Y71" s="2">
        <f>SUMIFS(TB!AE:AE,TB!$J:$J,$C71)</f>
        <v>0</v>
      </c>
      <c r="Z71" s="2">
        <f>SUMIFS(TB!AF:AF,TB!$J:$J,$C71)</f>
        <v>0</v>
      </c>
      <c r="AA71" s="2">
        <f>SUMIFS(TB!AG:AG,TB!$J:$J,$C71)</f>
        <v>0</v>
      </c>
      <c r="AB71" s="2">
        <f>SUMIFS(TB!AH:AH,TB!$J:$J,$C71)</f>
        <v>0</v>
      </c>
      <c r="AC71" s="2">
        <f>SUMIFS(TB!AI:AI,TB!$J:$J,$C71)</f>
        <v>0</v>
      </c>
      <c r="AD71" s="2">
        <f>SUMIFS(TB!AJ:AJ,TB!$J:$J,$C71)</f>
        <v>0</v>
      </c>
      <c r="AE71" s="2">
        <f>SUMIFS(TB!AK:AK,TB!$J:$J,$C71)</f>
        <v>0</v>
      </c>
      <c r="AF71" s="2">
        <f>SUMIFS(TB!AL:AL,TB!$J:$J,$C71)</f>
        <v>0.95699999999999996</v>
      </c>
      <c r="AG71" s="2">
        <f>SUMIFS(TB!AM:AM,TB!$J:$J,$C71)</f>
        <v>0</v>
      </c>
      <c r="AH71" s="2">
        <f>SUMIFS(TB!AN:AN,TB!$J:$J,$C71)</f>
        <v>29.972249999999999</v>
      </c>
      <c r="AI71" s="2">
        <f>SUMIFS(TB!AO:AO,TB!$J:$J,$C71)</f>
        <v>0</v>
      </c>
      <c r="AJ71" s="2"/>
      <c r="AK71" s="2">
        <f>SUM(E71:P71)</f>
        <v>32.734999999999999</v>
      </c>
      <c r="AL71" s="2">
        <f>SUM(Q71:AB71)</f>
        <v>34.348849999999999</v>
      </c>
      <c r="AM71" s="2">
        <f>SUM(X71:AI71)</f>
        <v>30.92925</v>
      </c>
      <c r="AN71" s="2"/>
      <c r="AO71" s="5">
        <f>IFERROR(AK71/AK$15%,0)</f>
        <v>0.42805277009966347</v>
      </c>
      <c r="AP71" s="5">
        <f>IFERROR(AL71/AL$15%,0)</f>
        <v>0.50671354043330896</v>
      </c>
      <c r="AQ71" s="5">
        <f>IFERROR(AM71/AM$15%,0)</f>
        <v>0.42118351089728662</v>
      </c>
    </row>
    <row r="72" spans="3:43" ht="11.25" hidden="1" customHeight="1" outlineLevel="1" x14ac:dyDescent="0.2">
      <c r="C72" t="s">
        <v>279</v>
      </c>
      <c r="D72" s="4"/>
      <c r="E72" s="2">
        <f>SUMIFS(TB!K:K,TB!$J:$J,$C72)</f>
        <v>0</v>
      </c>
      <c r="F72" s="2">
        <f>SUMIFS(TB!L:L,TB!$J:$J,$C72)</f>
        <v>0</v>
      </c>
      <c r="G72" s="2">
        <f>SUMIFS(TB!M:M,TB!$J:$J,$C72)</f>
        <v>0</v>
      </c>
      <c r="H72" s="2">
        <f>SUMIFS(TB!N:N,TB!$J:$J,$C72)</f>
        <v>0</v>
      </c>
      <c r="I72" s="2">
        <f>SUMIFS(TB!O:O,TB!$J:$J,$C72)</f>
        <v>14.047000000000001</v>
      </c>
      <c r="J72" s="2">
        <f>SUMIFS(TB!P:P,TB!$J:$J,$C72)</f>
        <v>0</v>
      </c>
      <c r="K72" s="2">
        <f>SUMIFS(TB!Q:Q,TB!$J:$J,$C72)</f>
        <v>0</v>
      </c>
      <c r="L72" s="2">
        <f>SUMIFS(TB!R:R,TB!$J:$J,$C72)</f>
        <v>0</v>
      </c>
      <c r="M72" s="2">
        <f>SUMIFS(TB!S:S,TB!$J:$J,$C72)</f>
        <v>0</v>
      </c>
      <c r="N72" s="2">
        <f>SUMIFS(TB!T:T,TB!$J:$J,$C72)</f>
        <v>0</v>
      </c>
      <c r="O72" s="2">
        <f>SUMIFS(TB!U:U,TB!$J:$J,$C72)</f>
        <v>0</v>
      </c>
      <c r="P72" s="2">
        <f>SUMIFS(TB!V:V,TB!$J:$J,$C72)</f>
        <v>0</v>
      </c>
      <c r="Q72" s="2">
        <f>SUMIFS(TB!W:W,TB!$J:$J,$C72)</f>
        <v>0</v>
      </c>
      <c r="R72" s="2">
        <f>SUMIFS(TB!X:X,TB!$J:$J,$C72)</f>
        <v>0</v>
      </c>
      <c r="S72" s="2">
        <f>SUMIFS(TB!Y:Y,TB!$J:$J,$C72)</f>
        <v>0</v>
      </c>
      <c r="T72" s="2">
        <f>SUMIFS(TB!Z:Z,TB!$J:$J,$C72)</f>
        <v>14.097</v>
      </c>
      <c r="U72" s="2">
        <f>SUMIFS(TB!AA:AA,TB!$J:$J,$C72)</f>
        <v>0</v>
      </c>
      <c r="V72" s="2">
        <f>SUMIFS(TB!AB:AB,TB!$J:$J,$C72)</f>
        <v>0</v>
      </c>
      <c r="W72" s="2">
        <f>SUMIFS(TB!AC:AC,TB!$J:$J,$C72)</f>
        <v>0</v>
      </c>
      <c r="X72" s="2">
        <f>SUMIFS(TB!AD:AD,TB!$J:$J,$C72)</f>
        <v>0</v>
      </c>
      <c r="Y72" s="2">
        <f>SUMIFS(TB!AE:AE,TB!$J:$J,$C72)</f>
        <v>0</v>
      </c>
      <c r="Z72" s="2">
        <f>SUMIFS(TB!AF:AF,TB!$J:$J,$C72)</f>
        <v>0</v>
      </c>
      <c r="AA72" s="2">
        <f>SUMIFS(TB!AG:AG,TB!$J:$J,$C72)</f>
        <v>0</v>
      </c>
      <c r="AB72" s="2">
        <f>SUMIFS(TB!AH:AH,TB!$J:$J,$C72)</f>
        <v>0</v>
      </c>
      <c r="AC72" s="2">
        <f>SUMIFS(TB!AI:AI,TB!$J:$J,$C72)</f>
        <v>0</v>
      </c>
      <c r="AD72" s="2">
        <f>SUMIFS(TB!AJ:AJ,TB!$J:$J,$C72)</f>
        <v>0</v>
      </c>
      <c r="AE72" s="2">
        <f>SUMIFS(TB!AK:AK,TB!$J:$J,$C72)</f>
        <v>0</v>
      </c>
      <c r="AF72" s="2">
        <f>SUMIFS(TB!AL:AL,TB!$J:$J,$C72)</f>
        <v>13.14</v>
      </c>
      <c r="AG72" s="2">
        <f>SUMIFS(TB!AM:AM,TB!$J:$J,$C72)</f>
        <v>0</v>
      </c>
      <c r="AH72" s="2">
        <f>SUMIFS(TB!AN:AN,TB!$J:$J,$C72)</f>
        <v>0</v>
      </c>
      <c r="AI72" s="2">
        <f>SUMIFS(TB!AO:AO,TB!$J:$J,$C72)</f>
        <v>0</v>
      </c>
      <c r="AJ72" s="2"/>
      <c r="AK72" s="2">
        <f>SUM(E72:P72)</f>
        <v>14.047000000000001</v>
      </c>
      <c r="AL72" s="2">
        <f>SUM(Q72:AB72)</f>
        <v>14.097</v>
      </c>
      <c r="AM72" s="2">
        <f>SUM(X72:AI72)</f>
        <v>13.14</v>
      </c>
      <c r="AN72" s="2"/>
      <c r="AO72" s="5">
        <f>IFERROR(AK72/AK$15%,0)</f>
        <v>0.18368282454834192</v>
      </c>
      <c r="AP72" s="5">
        <f>IFERROR(AL72/AL$15%,0)</f>
        <v>0.20795865886305817</v>
      </c>
      <c r="AQ72" s="5">
        <f>IFERROR(AM72/AM$15%,0)</f>
        <v>0.17893584012513547</v>
      </c>
    </row>
    <row r="73" spans="3:43" ht="11.25" hidden="1" customHeight="1" outlineLevel="1" x14ac:dyDescent="0.2">
      <c r="C73" t="s">
        <v>278</v>
      </c>
      <c r="D73" s="4"/>
      <c r="E73" s="2">
        <f>SUMIFS(TB!K:K,TB!$J:$J,$C73)</f>
        <v>0</v>
      </c>
      <c r="F73" s="2">
        <f>SUMIFS(TB!L:L,TB!$J:$J,$C73)</f>
        <v>0</v>
      </c>
      <c r="G73" s="2">
        <f>SUMIFS(TB!M:M,TB!$J:$J,$C73)</f>
        <v>0.98060000000000003</v>
      </c>
      <c r="H73" s="2">
        <f>SUMIFS(TB!N:N,TB!$J:$J,$C73)</f>
        <v>2.1775000000000002</v>
      </c>
      <c r="I73" s="2">
        <f>SUMIFS(TB!O:O,TB!$J:$J,$C73)</f>
        <v>0</v>
      </c>
      <c r="J73" s="2">
        <f>SUMIFS(TB!P:P,TB!$J:$J,$C73)</f>
        <v>0.81697000000000031</v>
      </c>
      <c r="K73" s="2">
        <f>SUMIFS(TB!Q:Q,TB!$J:$J,$C73)</f>
        <v>0</v>
      </c>
      <c r="L73" s="2">
        <f>SUMIFS(TB!R:R,TB!$J:$J,$C73)</f>
        <v>0.81696999999999975</v>
      </c>
      <c r="M73" s="2">
        <f>SUMIFS(TB!S:S,TB!$J:$J,$C73)</f>
        <v>0.81697000000000031</v>
      </c>
      <c r="N73" s="2">
        <f>SUMIFS(TB!T:T,TB!$J:$J,$C73)</f>
        <v>0.93713999999999942</v>
      </c>
      <c r="O73" s="2">
        <f>SUMIFS(TB!U:U,TB!$J:$J,$C73)</f>
        <v>0.73282000000000058</v>
      </c>
      <c r="P73" s="2">
        <f>SUMIFS(TB!V:V,TB!$J:$J,$C73)</f>
        <v>0.81696999999999931</v>
      </c>
      <c r="Q73" s="2">
        <f>SUMIFS(TB!W:W,TB!$J:$J,$C73)</f>
        <v>0.73282000000000003</v>
      </c>
      <c r="R73" s="2">
        <f>SUMIFS(TB!X:X,TB!$J:$J,$C73)</f>
        <v>0.73282000000000003</v>
      </c>
      <c r="S73" s="2">
        <f>SUMIFS(TB!Y:Y,TB!$J:$J,$C73)</f>
        <v>0.64866999999999986</v>
      </c>
      <c r="T73" s="2">
        <f>SUMIFS(TB!Z:Z,TB!$J:$J,$C73)</f>
        <v>0.73282000000000014</v>
      </c>
      <c r="U73" s="2">
        <f>SUMIFS(TB!AA:AA,TB!$J:$J,$C73)</f>
        <v>0.73281999999999969</v>
      </c>
      <c r="V73" s="2">
        <f>SUMIFS(TB!AB:AB,TB!$J:$J,$C73)</f>
        <v>0.73282000000000058</v>
      </c>
      <c r="W73" s="2">
        <f>SUMIFS(TB!AC:AC,TB!$J:$J,$C73)</f>
        <v>0.73281999999999969</v>
      </c>
      <c r="X73" s="2">
        <f>SUMIFS(TB!AD:AD,TB!$J:$J,$C73)</f>
        <v>0.73281999999999969</v>
      </c>
      <c r="Y73" s="2">
        <f>SUMIFS(TB!AE:AE,TB!$J:$J,$C73)</f>
        <v>0.73281999999999969</v>
      </c>
      <c r="Z73" s="2">
        <f>SUMIFS(TB!AF:AF,TB!$J:$J,$C73)</f>
        <v>0.73282000000000058</v>
      </c>
      <c r="AA73" s="2">
        <f>SUMIFS(TB!AG:AG,TB!$J:$J,$C73)</f>
        <v>0.73281999999999969</v>
      </c>
      <c r="AB73" s="2">
        <f>SUMIFS(TB!AH:AH,TB!$J:$J,$C73)</f>
        <v>0.73282000000000058</v>
      </c>
      <c r="AC73" s="2">
        <f>SUMIFS(TB!AI:AI,TB!$J:$J,$C73)</f>
        <v>0.73282000000000003</v>
      </c>
      <c r="AD73" s="2">
        <f>SUMIFS(TB!AJ:AJ,TB!$J:$J,$C73)</f>
        <v>0.73282000000000003</v>
      </c>
      <c r="AE73" s="2">
        <f>SUMIFS(TB!AK:AK,TB!$J:$J,$C73)</f>
        <v>0.73281999999999992</v>
      </c>
      <c r="AF73" s="2">
        <f>SUMIFS(TB!AL:AL,TB!$J:$J,$C73)</f>
        <v>0.73282000000000014</v>
      </c>
      <c r="AG73" s="2">
        <f>SUMIFS(TB!AM:AM,TB!$J:$J,$C73)</f>
        <v>0.73281999999999969</v>
      </c>
      <c r="AH73" s="2">
        <f>SUMIFS(TB!AN:AN,TB!$J:$J,$C73)</f>
        <v>0.73282000000000014</v>
      </c>
      <c r="AI73" s="2">
        <f>SUMIFS(TB!AO:AO,TB!$J:$J,$C73)</f>
        <v>0.73281999999999969</v>
      </c>
      <c r="AJ73" s="2"/>
      <c r="AK73" s="2">
        <f>SUM(E73:P73)</f>
        <v>8.0959399999999988</v>
      </c>
      <c r="AL73" s="2">
        <f>SUM(Q73:AB73)</f>
        <v>8.7096899999999984</v>
      </c>
      <c r="AM73" s="2">
        <f>SUM(X73:AI73)</f>
        <v>8.7938400000000012</v>
      </c>
      <c r="AN73" s="2"/>
      <c r="AO73" s="5">
        <f>IFERROR(AK73/AK$15%,0)</f>
        <v>0.10586496238156924</v>
      </c>
      <c r="AP73" s="5">
        <f>IFERROR(AL73/AL$15%,0)</f>
        <v>0.12848517071100155</v>
      </c>
      <c r="AQ73" s="5">
        <f>IFERROR(AM73/AM$15%,0)</f>
        <v>0.11975138115114319</v>
      </c>
    </row>
    <row r="74" spans="3:43" ht="11.25" hidden="1" customHeight="1" outlineLevel="1" x14ac:dyDescent="0.2">
      <c r="C74" t="s">
        <v>277</v>
      </c>
      <c r="D74" s="4"/>
      <c r="E74" s="2">
        <f>SUMIFS(TB!K:K,TB!$J:$J,$C74)</f>
        <v>0.48257</v>
      </c>
      <c r="F74" s="2">
        <f>SUMIFS(TB!L:L,TB!$J:$J,$C74)</f>
        <v>0.48257</v>
      </c>
      <c r="G74" s="2">
        <f>SUMIFS(TB!M:M,TB!$J:$J,$C74)</f>
        <v>0.48257000000000005</v>
      </c>
      <c r="H74" s="2">
        <f>SUMIFS(TB!N:N,TB!$J:$J,$C74)</f>
        <v>0.48256999999999994</v>
      </c>
      <c r="I74" s="2">
        <f>SUMIFS(TB!O:O,TB!$J:$J,$C74)</f>
        <v>0.48256999999999994</v>
      </c>
      <c r="J74" s="2">
        <f>SUMIFS(TB!P:P,TB!$J:$J,$C74)</f>
        <v>0.48257000000000017</v>
      </c>
      <c r="K74" s="2">
        <f>SUMIFS(TB!Q:Q,TB!$J:$J,$C74)</f>
        <v>0.48256999999999972</v>
      </c>
      <c r="L74" s="2">
        <f>SUMIFS(TB!R:R,TB!$J:$J,$C74)</f>
        <v>0.48257000000000017</v>
      </c>
      <c r="M74" s="2">
        <f>SUMIFS(TB!S:S,TB!$J:$J,$C74)</f>
        <v>0.48257000000000017</v>
      </c>
      <c r="N74" s="2">
        <f>SUMIFS(TB!T:T,TB!$J:$J,$C74)</f>
        <v>0.48256999999999972</v>
      </c>
      <c r="O74" s="2">
        <f>SUMIFS(TB!U:U,TB!$J:$J,$C74)</f>
        <v>0.48257000000000061</v>
      </c>
      <c r="P74" s="2">
        <f>SUMIFS(TB!V:V,TB!$J:$J,$C74)</f>
        <v>0.60638999999999943</v>
      </c>
      <c r="Q74" s="2">
        <f>SUMIFS(TB!W:W,TB!$J:$J,$C74)</f>
        <v>0.64663999999999999</v>
      </c>
      <c r="R74" s="2">
        <f>SUMIFS(TB!X:X,TB!$J:$J,$C74)</f>
        <v>0.64663999999999999</v>
      </c>
      <c r="S74" s="2">
        <f>SUMIFS(TB!Y:Y,TB!$J:$J,$C74)</f>
        <v>0.6466400000000001</v>
      </c>
      <c r="T74" s="2">
        <f>SUMIFS(TB!Z:Z,TB!$J:$J,$C74)</f>
        <v>0.64663999999999988</v>
      </c>
      <c r="U74" s="2">
        <f>SUMIFS(TB!AA:AA,TB!$J:$J,$C74)</f>
        <v>0.64663999999999988</v>
      </c>
      <c r="V74" s="2">
        <f>SUMIFS(TB!AB:AB,TB!$J:$J,$C74)</f>
        <v>0.64664000000000033</v>
      </c>
      <c r="W74" s="2">
        <f>SUMIFS(TB!AC:AC,TB!$J:$J,$C74)</f>
        <v>0.64663999999999944</v>
      </c>
      <c r="X74" s="2">
        <f>SUMIFS(TB!AD:AD,TB!$J:$J,$C74)</f>
        <v>0.64664000000000033</v>
      </c>
      <c r="Y74" s="2">
        <f>SUMIFS(TB!AE:AE,TB!$J:$J,$C74)</f>
        <v>0.64664000000000033</v>
      </c>
      <c r="Z74" s="2">
        <f>SUMIFS(TB!AF:AF,TB!$J:$J,$C74)</f>
        <v>0.64663999999999944</v>
      </c>
      <c r="AA74" s="2">
        <f>SUMIFS(TB!AG:AG,TB!$J:$J,$C74)</f>
        <v>0.64664000000000033</v>
      </c>
      <c r="AB74" s="2">
        <f>SUMIFS(TB!AH:AH,TB!$J:$J,$C74)</f>
        <v>0.64664000000000033</v>
      </c>
      <c r="AC74" s="2">
        <f>SUMIFS(TB!AI:AI,TB!$J:$J,$C74)</f>
        <v>0.64663999999999999</v>
      </c>
      <c r="AD74" s="2">
        <f>SUMIFS(TB!AJ:AJ,TB!$J:$J,$C74)</f>
        <v>0.64663999999999999</v>
      </c>
      <c r="AE74" s="2">
        <f>SUMIFS(TB!AK:AK,TB!$J:$J,$C74)</f>
        <v>0.6466400000000001</v>
      </c>
      <c r="AF74" s="2">
        <f>SUMIFS(TB!AL:AL,TB!$J:$J,$C74)</f>
        <v>0.64663999999999988</v>
      </c>
      <c r="AG74" s="2">
        <f>SUMIFS(TB!AM:AM,TB!$J:$J,$C74)</f>
        <v>0.64663999999999988</v>
      </c>
      <c r="AH74" s="2">
        <f>SUMIFS(TB!AN:AN,TB!$J:$J,$C74)</f>
        <v>0.64664000000000033</v>
      </c>
      <c r="AI74" s="2">
        <f>SUMIFS(TB!AO:AO,TB!$J:$J,$C74)</f>
        <v>0.64663999999999944</v>
      </c>
      <c r="AJ74" s="2"/>
      <c r="AK74" s="2">
        <f>SUM(E74:P74)</f>
        <v>5.9146599999999996</v>
      </c>
      <c r="AL74" s="2">
        <f>SUM(Q74:AB74)</f>
        <v>7.7596800000000021</v>
      </c>
      <c r="AM74" s="2">
        <f>SUM(X74:AI74)</f>
        <v>7.7596800000000004</v>
      </c>
      <c r="AN74" s="2"/>
      <c r="AO74" s="5">
        <f>IFERROR(AK74/AK$15%,0)</f>
        <v>7.7341884747141446E-2</v>
      </c>
      <c r="AP74" s="5">
        <f>IFERROR(AL74/AL$15%,0)</f>
        <v>0.11447064240664651</v>
      </c>
      <c r="AQ74" s="5">
        <f>IFERROR(AM74/AM$15%,0)</f>
        <v>0.10566855859225352</v>
      </c>
    </row>
    <row r="75" spans="3:43" ht="11.25" hidden="1" customHeight="1" outlineLevel="1" x14ac:dyDescent="0.2">
      <c r="C75" t="s">
        <v>276</v>
      </c>
      <c r="D75" s="4"/>
      <c r="E75" s="2">
        <f>SUMIFS(TB!K:K,TB!$J:$J,$C75)</f>
        <v>0.49148999999999998</v>
      </c>
      <c r="F75" s="2">
        <f>SUMIFS(TB!L:L,TB!$J:$J,$C75)</f>
        <v>0.46276</v>
      </c>
      <c r="G75" s="2">
        <f>SUMIFS(TB!M:M,TB!$J:$J,$C75)</f>
        <v>0.44354999999999994</v>
      </c>
      <c r="H75" s="2">
        <f>SUMIFS(TB!N:N,TB!$J:$J,$C75)</f>
        <v>0.43719000000000008</v>
      </c>
      <c r="I75" s="2">
        <f>SUMIFS(TB!O:O,TB!$J:$J,$C75)</f>
        <v>0.41795999999999983</v>
      </c>
      <c r="J75" s="2">
        <f>SUMIFS(TB!P:P,TB!$J:$J,$C75)</f>
        <v>0.41857000000000016</v>
      </c>
      <c r="K75" s="2">
        <f>SUMIFS(TB!Q:Q,TB!$J:$J,$C75)</f>
        <v>0.42282999999999993</v>
      </c>
      <c r="L75" s="2">
        <f>SUMIFS(TB!R:R,TB!$J:$J,$C75)</f>
        <v>0.42386000000000013</v>
      </c>
      <c r="M75" s="2">
        <f>SUMIFS(TB!S:S,TB!$J:$J,$C75)</f>
        <v>0.42769000000000007</v>
      </c>
      <c r="N75" s="2">
        <f>SUMIFS(TB!T:T,TB!$J:$J,$C75)</f>
        <v>0.42445999999999956</v>
      </c>
      <c r="O75" s="2">
        <f>SUMIFS(TB!U:U,TB!$J:$J,$C75)</f>
        <v>0.43703999999999998</v>
      </c>
      <c r="P75" s="2">
        <f>SUMIFS(TB!V:V,TB!$J:$J,$C75)</f>
        <v>1.4115600000000004</v>
      </c>
      <c r="Q75" s="2">
        <f>SUMIFS(TB!W:W,TB!$J:$J,$C75)</f>
        <v>0.42496</v>
      </c>
      <c r="R75" s="2">
        <f>SUMIFS(TB!X:X,TB!$J:$J,$C75)</f>
        <v>0.42746000000000001</v>
      </c>
      <c r="S75" s="2">
        <f>SUMIFS(TB!Y:Y,TB!$J:$J,$C75)</f>
        <v>0.43262</v>
      </c>
      <c r="T75" s="2">
        <f>SUMIFS(TB!Z:Z,TB!$J:$J,$C75)</f>
        <v>0</v>
      </c>
      <c r="U75" s="2">
        <f>SUMIFS(TB!AA:AA,TB!$J:$J,$C75)</f>
        <v>0</v>
      </c>
      <c r="V75" s="2">
        <f>SUMIFS(TB!AB:AB,TB!$J:$J,$C75)</f>
        <v>0</v>
      </c>
      <c r="W75" s="2">
        <f>SUMIFS(TB!AC:AC,TB!$J:$J,$C75)</f>
        <v>0</v>
      </c>
      <c r="X75" s="2">
        <f>SUMIFS(TB!AD:AD,TB!$J:$J,$C75)</f>
        <v>0</v>
      </c>
      <c r="Y75" s="2">
        <f>SUMIFS(TB!AE:AE,TB!$J:$J,$C75)</f>
        <v>0</v>
      </c>
      <c r="Z75" s="2">
        <f>SUMIFS(TB!AF:AF,TB!$J:$J,$C75)</f>
        <v>0</v>
      </c>
      <c r="AA75" s="2">
        <f>SUMIFS(TB!AG:AG,TB!$J:$J,$C75)</f>
        <v>0</v>
      </c>
      <c r="AB75" s="2">
        <f>SUMIFS(TB!AH:AH,TB!$J:$J,$C75)</f>
        <v>4.5585000000000004</v>
      </c>
      <c r="AC75" s="2">
        <f>SUMIFS(TB!AI:AI,TB!$J:$J,$C75)</f>
        <v>0</v>
      </c>
      <c r="AD75" s="2">
        <f>SUMIFS(TB!AJ:AJ,TB!$J:$J,$C75)</f>
        <v>0</v>
      </c>
      <c r="AE75" s="2">
        <f>SUMIFS(TB!AK:AK,TB!$J:$J,$C75)</f>
        <v>0</v>
      </c>
      <c r="AF75" s="2">
        <f>SUMIFS(TB!AL:AL,TB!$J:$J,$C75)</f>
        <v>0</v>
      </c>
      <c r="AG75" s="2">
        <f>SUMIFS(TB!AM:AM,TB!$J:$J,$C75)</f>
        <v>0</v>
      </c>
      <c r="AH75" s="2">
        <f>SUMIFS(TB!AN:AN,TB!$J:$J,$C75)</f>
        <v>0</v>
      </c>
      <c r="AI75" s="2">
        <f>SUMIFS(TB!AO:AO,TB!$J:$J,$C75)</f>
        <v>0</v>
      </c>
      <c r="AJ75" s="2"/>
      <c r="AK75" s="2">
        <f>SUM(E75:P75)</f>
        <v>6.21896</v>
      </c>
      <c r="AL75" s="2">
        <f>SUM(Q75:AB75)</f>
        <v>5.8435400000000008</v>
      </c>
      <c r="AM75" s="2">
        <f>SUM(X75:AI75)</f>
        <v>4.5585000000000004</v>
      </c>
      <c r="AN75" s="2"/>
      <c r="AO75" s="5">
        <f>IFERROR(AK75/AK$15%,0)</f>
        <v>8.1321003670047451E-2</v>
      </c>
      <c r="AP75" s="5">
        <f>IFERROR(AL75/AL$15%,0)</f>
        <v>8.6203783883991997E-2</v>
      </c>
      <c r="AQ75" s="5">
        <f>IFERROR(AM75/AM$15%,0)</f>
        <v>6.2076029468069262E-2</v>
      </c>
    </row>
    <row r="76" spans="3:43" ht="11.25" hidden="1" customHeight="1" outlineLevel="1" x14ac:dyDescent="0.2">
      <c r="C76" t="s">
        <v>275</v>
      </c>
      <c r="D76" s="4"/>
      <c r="E76" s="2">
        <f>SUMIFS(TB!K:K,TB!$J:$J,$C76)</f>
        <v>0</v>
      </c>
      <c r="F76" s="2">
        <f>SUMIFS(TB!L:L,TB!$J:$J,$C76)</f>
        <v>0</v>
      </c>
      <c r="G76" s="2">
        <f>SUMIFS(TB!M:M,TB!$J:$J,$C76)</f>
        <v>0</v>
      </c>
      <c r="H76" s="2">
        <f>SUMIFS(TB!N:N,TB!$J:$J,$C76)</f>
        <v>3.9409999999999998</v>
      </c>
      <c r="I76" s="2">
        <f>SUMIFS(TB!O:O,TB!$J:$J,$C76)</f>
        <v>0</v>
      </c>
      <c r="J76" s="2">
        <f>SUMIFS(TB!P:P,TB!$J:$J,$C76)</f>
        <v>0</v>
      </c>
      <c r="K76" s="2">
        <f>SUMIFS(TB!Q:Q,TB!$J:$J,$C76)</f>
        <v>0</v>
      </c>
      <c r="L76" s="2">
        <f>SUMIFS(TB!R:R,TB!$J:$J,$C76)</f>
        <v>0</v>
      </c>
      <c r="M76" s="2">
        <f>SUMIFS(TB!S:S,TB!$J:$J,$C76)</f>
        <v>0</v>
      </c>
      <c r="N76" s="2">
        <f>SUMIFS(TB!T:T,TB!$J:$J,$C76)</f>
        <v>0</v>
      </c>
      <c r="O76" s="2">
        <f>SUMIFS(TB!U:U,TB!$J:$J,$C76)</f>
        <v>0</v>
      </c>
      <c r="P76" s="2">
        <f>SUMIFS(TB!V:V,TB!$J:$J,$C76)</f>
        <v>0</v>
      </c>
      <c r="Q76" s="2">
        <f>SUMIFS(TB!W:W,TB!$J:$J,$C76)</f>
        <v>0</v>
      </c>
      <c r="R76" s="2">
        <f>SUMIFS(TB!X:X,TB!$J:$J,$C76)</f>
        <v>0</v>
      </c>
      <c r="S76" s="2">
        <f>SUMIFS(TB!Y:Y,TB!$J:$J,$C76)</f>
        <v>0</v>
      </c>
      <c r="T76" s="2">
        <f>SUMIFS(TB!Z:Z,TB!$J:$J,$C76)</f>
        <v>3.9409999999999998</v>
      </c>
      <c r="U76" s="2">
        <f>SUMIFS(TB!AA:AA,TB!$J:$J,$C76)</f>
        <v>0</v>
      </c>
      <c r="V76" s="2">
        <f>SUMIFS(TB!AB:AB,TB!$J:$J,$C76)</f>
        <v>0</v>
      </c>
      <c r="W76" s="2">
        <f>SUMIFS(TB!AC:AC,TB!$J:$J,$C76)</f>
        <v>0</v>
      </c>
      <c r="X76" s="2">
        <f>SUMIFS(TB!AD:AD,TB!$J:$J,$C76)</f>
        <v>0</v>
      </c>
      <c r="Y76" s="2">
        <f>SUMIFS(TB!AE:AE,TB!$J:$J,$C76)</f>
        <v>0</v>
      </c>
      <c r="Z76" s="2">
        <f>SUMIFS(TB!AF:AF,TB!$J:$J,$C76)</f>
        <v>0</v>
      </c>
      <c r="AA76" s="2">
        <f>SUMIFS(TB!AG:AG,TB!$J:$J,$C76)</f>
        <v>0</v>
      </c>
      <c r="AB76" s="2">
        <f>SUMIFS(TB!AH:AH,TB!$J:$J,$C76)</f>
        <v>0</v>
      </c>
      <c r="AC76" s="2">
        <f>SUMIFS(TB!AI:AI,TB!$J:$J,$C76)</f>
        <v>0</v>
      </c>
      <c r="AD76" s="2">
        <f>SUMIFS(TB!AJ:AJ,TB!$J:$J,$C76)</f>
        <v>0</v>
      </c>
      <c r="AE76" s="2">
        <f>SUMIFS(TB!AK:AK,TB!$J:$J,$C76)</f>
        <v>0</v>
      </c>
      <c r="AF76" s="2">
        <f>SUMIFS(TB!AL:AL,TB!$J:$J,$C76)</f>
        <v>3.9409999999999998</v>
      </c>
      <c r="AG76" s="2">
        <f>SUMIFS(TB!AM:AM,TB!$J:$J,$C76)</f>
        <v>0</v>
      </c>
      <c r="AH76" s="2">
        <f>SUMIFS(TB!AN:AN,TB!$J:$J,$C76)</f>
        <v>0</v>
      </c>
      <c r="AI76" s="2">
        <f>SUMIFS(TB!AO:AO,TB!$J:$J,$C76)</f>
        <v>0</v>
      </c>
      <c r="AJ76" s="2"/>
      <c r="AK76" s="2">
        <f>SUM(E76:P76)</f>
        <v>3.9409999999999998</v>
      </c>
      <c r="AL76" s="2">
        <f>SUM(Q76:AB76)</f>
        <v>3.9409999999999998</v>
      </c>
      <c r="AM76" s="2">
        <f>SUM(X76:AI76)</f>
        <v>3.9409999999999998</v>
      </c>
      <c r="AN76" s="2"/>
      <c r="AO76" s="5">
        <f>IFERROR(AK76/AK$15%,0)</f>
        <v>5.1533709086994769E-2</v>
      </c>
      <c r="AP76" s="5">
        <f>IFERROR(AL76/AL$15%,0)</f>
        <v>5.8137552286253266E-2</v>
      </c>
      <c r="AQ76" s="5">
        <f>IFERROR(AM76/AM$15%,0)</f>
        <v>5.3667134393695498E-2</v>
      </c>
    </row>
    <row r="77" spans="3:43" ht="11.25" hidden="1" customHeight="1" outlineLevel="1" x14ac:dyDescent="0.2">
      <c r="C77" t="s">
        <v>274</v>
      </c>
      <c r="D77" s="4"/>
      <c r="E77" s="2">
        <f>SUMIFS(TB!K:K,TB!$J:$J,$C77)</f>
        <v>0</v>
      </c>
      <c r="F77" s="2">
        <f>SUMIFS(TB!L:L,TB!$J:$J,$C77)</f>
        <v>0</v>
      </c>
      <c r="G77" s="2">
        <f>SUMIFS(TB!M:M,TB!$J:$J,$C77)</f>
        <v>0.19950000000000001</v>
      </c>
      <c r="H77" s="2">
        <f>SUMIFS(TB!N:N,TB!$J:$J,$C77)</f>
        <v>0</v>
      </c>
      <c r="I77" s="2">
        <f>SUMIFS(TB!O:O,TB!$J:$J,$C77)</f>
        <v>0</v>
      </c>
      <c r="J77" s="2">
        <f>SUMIFS(TB!P:P,TB!$J:$J,$C77)</f>
        <v>0.20050000000000001</v>
      </c>
      <c r="K77" s="2">
        <f>SUMIFS(TB!Q:Q,TB!$J:$J,$C77)</f>
        <v>0</v>
      </c>
      <c r="L77" s="2">
        <f>SUMIFS(TB!R:R,TB!$J:$J,$C77)</f>
        <v>0</v>
      </c>
      <c r="M77" s="2">
        <f>SUMIFS(TB!S:S,TB!$J:$J,$C77)</f>
        <v>0.20050000000000001</v>
      </c>
      <c r="N77" s="2">
        <f>SUMIFS(TB!T:T,TB!$J:$J,$C77)</f>
        <v>0</v>
      </c>
      <c r="O77" s="2">
        <f>SUMIFS(TB!U:U,TB!$J:$J,$C77)</f>
        <v>0</v>
      </c>
      <c r="P77" s="2">
        <f>SUMIFS(TB!V:V,TB!$J:$J,$C77)</f>
        <v>0.20050000000000001</v>
      </c>
      <c r="Q77" s="2">
        <f>SUMIFS(TB!W:W,TB!$J:$J,$C77)</f>
        <v>0</v>
      </c>
      <c r="R77" s="2">
        <f>SUMIFS(TB!X:X,TB!$J:$J,$C77)</f>
        <v>0</v>
      </c>
      <c r="S77" s="2">
        <f>SUMIFS(TB!Y:Y,TB!$J:$J,$C77)</f>
        <v>0.23175000000000001</v>
      </c>
      <c r="T77" s="2">
        <f>SUMIFS(TB!Z:Z,TB!$J:$J,$C77)</f>
        <v>0</v>
      </c>
      <c r="U77" s="2">
        <f>SUMIFS(TB!AA:AA,TB!$J:$J,$C77)</f>
        <v>0</v>
      </c>
      <c r="V77" s="2">
        <f>SUMIFS(TB!AB:AB,TB!$J:$J,$C77)</f>
        <v>0.22975000000000001</v>
      </c>
      <c r="W77" s="2">
        <f>SUMIFS(TB!AC:AC,TB!$J:$J,$C77)</f>
        <v>0</v>
      </c>
      <c r="X77" s="2">
        <f>SUMIFS(TB!AD:AD,TB!$J:$J,$C77)</f>
        <v>0</v>
      </c>
      <c r="Y77" s="2">
        <f>SUMIFS(TB!AE:AE,TB!$J:$J,$C77)</f>
        <v>0.22975000000000001</v>
      </c>
      <c r="Z77" s="2">
        <f>SUMIFS(TB!AF:AF,TB!$J:$J,$C77)</f>
        <v>0</v>
      </c>
      <c r="AA77" s="2">
        <f>SUMIFS(TB!AG:AG,TB!$J:$J,$C77)</f>
        <v>0</v>
      </c>
      <c r="AB77" s="2">
        <f>SUMIFS(TB!AH:AH,TB!$J:$J,$C77)</f>
        <v>0.22975000000000001</v>
      </c>
      <c r="AC77" s="2">
        <f>SUMIFS(TB!AI:AI,TB!$J:$J,$C77)</f>
        <v>0</v>
      </c>
      <c r="AD77" s="2">
        <f>SUMIFS(TB!AJ:AJ,TB!$J:$J,$C77)</f>
        <v>0</v>
      </c>
      <c r="AE77" s="2">
        <f>SUMIFS(TB!AK:AK,TB!$J:$J,$C77)</f>
        <v>0</v>
      </c>
      <c r="AF77" s="2">
        <f>SUMIFS(TB!AL:AL,TB!$J:$J,$C77)</f>
        <v>0</v>
      </c>
      <c r="AG77" s="2">
        <f>SUMIFS(TB!AM:AM,TB!$J:$J,$C77)</f>
        <v>0</v>
      </c>
      <c r="AH77" s="2">
        <f>SUMIFS(TB!AN:AN,TB!$J:$J,$C77)</f>
        <v>0.75430999999999993</v>
      </c>
      <c r="AI77" s="2">
        <f>SUMIFS(TB!AO:AO,TB!$J:$J,$C77)</f>
        <v>2.5391599999999999</v>
      </c>
      <c r="AJ77" s="2"/>
      <c r="AK77" s="2">
        <f>SUM(E77:P77)</f>
        <v>0.80100000000000005</v>
      </c>
      <c r="AL77" s="2">
        <f>SUM(Q77:AB77)</f>
        <v>0.92100000000000004</v>
      </c>
      <c r="AM77" s="2">
        <f>SUM(X77:AI77)</f>
        <v>3.7529699999999999</v>
      </c>
      <c r="AN77" s="2"/>
      <c r="AO77" s="5">
        <f>IFERROR(AK77/AK$15%,0)</f>
        <v>1.0474118492434107E-2</v>
      </c>
      <c r="AP77" s="5">
        <f>IFERROR(AL77/AL$15%,0)</f>
        <v>1.3586573371134043E-2</v>
      </c>
      <c r="AQ77" s="5">
        <f>IFERROR(AM77/AM$15%,0)</f>
        <v>5.1106608821493885E-2</v>
      </c>
    </row>
    <row r="78" spans="3:43" ht="11.25" hidden="1" customHeight="1" outlineLevel="1" x14ac:dyDescent="0.2">
      <c r="C78" t="s">
        <v>273</v>
      </c>
      <c r="D78" s="4"/>
      <c r="E78" s="2">
        <f>SUMIFS(TB!K:K,TB!$J:$J,$C78)</f>
        <v>0</v>
      </c>
      <c r="F78" s="2">
        <f>SUMIFS(TB!L:L,TB!$J:$J,$C78)</f>
        <v>0</v>
      </c>
      <c r="G78" s="2">
        <f>SUMIFS(TB!M:M,TB!$J:$J,$C78)</f>
        <v>0</v>
      </c>
      <c r="H78" s="2">
        <f>SUMIFS(TB!N:N,TB!$J:$J,$C78)</f>
        <v>0</v>
      </c>
      <c r="I78" s="2">
        <f>SUMIFS(TB!O:O,TB!$J:$J,$C78)</f>
        <v>0</v>
      </c>
      <c r="J78" s="2">
        <f>SUMIFS(TB!P:P,TB!$J:$J,$C78)</f>
        <v>0</v>
      </c>
      <c r="K78" s="2">
        <f>SUMIFS(TB!Q:Q,TB!$J:$J,$C78)</f>
        <v>0</v>
      </c>
      <c r="L78" s="2">
        <f>SUMIFS(TB!R:R,TB!$J:$J,$C78)</f>
        <v>0</v>
      </c>
      <c r="M78" s="2">
        <f>SUMIFS(TB!S:S,TB!$J:$J,$C78)</f>
        <v>0</v>
      </c>
      <c r="N78" s="2">
        <f>SUMIFS(TB!T:T,TB!$J:$J,$C78)</f>
        <v>0</v>
      </c>
      <c r="O78" s="2">
        <f>SUMIFS(TB!U:U,TB!$J:$J,$C78)</f>
        <v>0</v>
      </c>
      <c r="P78" s="2">
        <f>SUMIFS(TB!V:V,TB!$J:$J,$C78)</f>
        <v>0</v>
      </c>
      <c r="Q78" s="2">
        <f>SUMIFS(TB!W:W,TB!$J:$J,$C78)</f>
        <v>0</v>
      </c>
      <c r="R78" s="2">
        <f>SUMIFS(TB!X:X,TB!$J:$J,$C78)</f>
        <v>0</v>
      </c>
      <c r="S78" s="2">
        <f>SUMIFS(TB!Y:Y,TB!$J:$J,$C78)</f>
        <v>0</v>
      </c>
      <c r="T78" s="2">
        <f>SUMIFS(TB!Z:Z,TB!$J:$J,$C78)</f>
        <v>0</v>
      </c>
      <c r="U78" s="2">
        <f>SUMIFS(TB!AA:AA,TB!$J:$J,$C78)</f>
        <v>0</v>
      </c>
      <c r="V78" s="2">
        <f>SUMIFS(TB!AB:AB,TB!$J:$J,$C78)</f>
        <v>0</v>
      </c>
      <c r="W78" s="2">
        <f>SUMIFS(TB!AC:AC,TB!$J:$J,$C78)</f>
        <v>0</v>
      </c>
      <c r="X78" s="2">
        <f>SUMIFS(TB!AD:AD,TB!$J:$J,$C78)</f>
        <v>0</v>
      </c>
      <c r="Y78" s="2">
        <f>SUMIFS(TB!AE:AE,TB!$J:$J,$C78)</f>
        <v>0</v>
      </c>
      <c r="Z78" s="2">
        <f>SUMIFS(TB!AF:AF,TB!$J:$J,$C78)</f>
        <v>3.75</v>
      </c>
      <c r="AA78" s="2">
        <f>SUMIFS(TB!AG:AG,TB!$J:$J,$C78)</f>
        <v>0</v>
      </c>
      <c r="AB78" s="2">
        <f>SUMIFS(TB!AH:AH,TB!$J:$J,$C78)</f>
        <v>0</v>
      </c>
      <c r="AC78" s="2">
        <f>SUMIFS(TB!AI:AI,TB!$J:$J,$C78)</f>
        <v>0</v>
      </c>
      <c r="AD78" s="2">
        <f>SUMIFS(TB!AJ:AJ,TB!$J:$J,$C78)</f>
        <v>0</v>
      </c>
      <c r="AE78" s="2">
        <f>SUMIFS(TB!AK:AK,TB!$J:$J,$C78)</f>
        <v>0</v>
      </c>
      <c r="AF78" s="2">
        <f>SUMIFS(TB!AL:AL,TB!$J:$J,$C78)</f>
        <v>0</v>
      </c>
      <c r="AG78" s="2">
        <f>SUMIFS(TB!AM:AM,TB!$J:$J,$C78)</f>
        <v>0</v>
      </c>
      <c r="AH78" s="2">
        <f>SUMIFS(TB!AN:AN,TB!$J:$J,$C78)</f>
        <v>0</v>
      </c>
      <c r="AI78" s="2">
        <f>SUMIFS(TB!AO:AO,TB!$J:$J,$C78)</f>
        <v>0</v>
      </c>
      <c r="AJ78" s="2"/>
      <c r="AK78" s="2">
        <f>SUM(E78:P78)</f>
        <v>0</v>
      </c>
      <c r="AL78" s="2">
        <f>SUM(Q78:AB78)</f>
        <v>3.75</v>
      </c>
      <c r="AM78" s="2">
        <f>SUM(X78:AI78)</f>
        <v>3.75</v>
      </c>
      <c r="AN78" s="2"/>
      <c r="AO78" s="5">
        <f>IFERROR(AK78/AK$15%,0)</f>
        <v>0</v>
      </c>
      <c r="AP78" s="5">
        <f>IFERROR(AL78/AL$15%,0)</f>
        <v>5.5319924149568572E-2</v>
      </c>
      <c r="AQ78" s="5">
        <f>IFERROR(AM78/AM$15%,0)</f>
        <v>5.1066164419273821E-2</v>
      </c>
    </row>
    <row r="79" spans="3:43" ht="11.25" hidden="1" customHeight="1" outlineLevel="1" x14ac:dyDescent="0.2">
      <c r="C79" t="s">
        <v>272</v>
      </c>
      <c r="D79" s="4"/>
      <c r="E79" s="2">
        <f>SUMIFS(TB!K:K,TB!$J:$J,$C79)</f>
        <v>6.5204499999999994</v>
      </c>
      <c r="F79" s="2">
        <f>SUMIFS(TB!L:L,TB!$J:$J,$C79)</f>
        <v>3.1028499999999997</v>
      </c>
      <c r="G79" s="2">
        <f>SUMIFS(TB!M:M,TB!$J:$J,$C79)</f>
        <v>0.21448000000000139</v>
      </c>
      <c r="H79" s="2">
        <f>SUMIFS(TB!N:N,TB!$J:$J,$C79)</f>
        <v>1.0084799999999996</v>
      </c>
      <c r="I79" s="2">
        <f>SUMIFS(TB!O:O,TB!$J:$J,$C79)</f>
        <v>1.5198500000000004</v>
      </c>
      <c r="J79" s="2">
        <f>SUMIFS(TB!P:P,TB!$J:$J,$C79)</f>
        <v>0.49522999999999956</v>
      </c>
      <c r="K79" s="2">
        <f>SUMIFS(TB!Q:Q,TB!$J:$J,$C79)</f>
        <v>0.76351000000000024</v>
      </c>
      <c r="L79" s="2">
        <f>SUMIFS(TB!R:R,TB!$J:$J,$C79)</f>
        <v>0.27770999999999912</v>
      </c>
      <c r="M79" s="2">
        <f>SUMIFS(TB!S:S,TB!$J:$J,$C79)</f>
        <v>1.0141100000000005</v>
      </c>
      <c r="N79" s="2">
        <f>SUMIFS(TB!T:T,TB!$J:$J,$C79)</f>
        <v>1.4355799999999999</v>
      </c>
      <c r="O79" s="2">
        <f>SUMIFS(TB!U:U,TB!$J:$J,$C79)</f>
        <v>1.9059399999999986</v>
      </c>
      <c r="P79" s="2">
        <f>SUMIFS(TB!V:V,TB!$J:$J,$C79)</f>
        <v>2.1817299999999995</v>
      </c>
      <c r="Q79" s="2">
        <f>SUMIFS(TB!W:W,TB!$J:$J,$C79)</f>
        <v>2.02616</v>
      </c>
      <c r="R79" s="2">
        <f>SUMIFS(TB!X:X,TB!$J:$J,$C79)</f>
        <v>1.5119999999999998</v>
      </c>
      <c r="S79" s="2">
        <f>SUMIFS(TB!Y:Y,TB!$J:$J,$C79)</f>
        <v>1.6448800000000001</v>
      </c>
      <c r="T79" s="2">
        <f>SUMIFS(TB!Z:Z,TB!$J:$J,$C79)</f>
        <v>2.1076199999999998</v>
      </c>
      <c r="U79" s="2">
        <f>SUMIFS(TB!AA:AA,TB!$J:$J,$C79)</f>
        <v>0</v>
      </c>
      <c r="V79" s="2">
        <f>SUMIFS(TB!AB:AB,TB!$J:$J,$C79)</f>
        <v>0</v>
      </c>
      <c r="W79" s="2">
        <f>SUMIFS(TB!AC:AC,TB!$J:$J,$C79)</f>
        <v>0</v>
      </c>
      <c r="X79" s="2">
        <f>SUMIFS(TB!AD:AD,TB!$J:$J,$C79)</f>
        <v>0</v>
      </c>
      <c r="Y79" s="2">
        <f>SUMIFS(TB!AE:AE,TB!$J:$J,$C79)</f>
        <v>0</v>
      </c>
      <c r="Z79" s="2">
        <f>SUMIFS(TB!AF:AF,TB!$J:$J,$C79)</f>
        <v>0</v>
      </c>
      <c r="AA79" s="2">
        <f>SUMIFS(TB!AG:AG,TB!$J:$J,$C79)</f>
        <v>2.5</v>
      </c>
      <c r="AB79" s="2">
        <f>SUMIFS(TB!AH:AH,TB!$J:$J,$C79)</f>
        <v>0</v>
      </c>
      <c r="AC79" s="2">
        <f>SUMIFS(TB!AI:AI,TB!$J:$J,$C79)</f>
        <v>0</v>
      </c>
      <c r="AD79" s="2">
        <f>SUMIFS(TB!AJ:AJ,TB!$J:$J,$C79)</f>
        <v>0</v>
      </c>
      <c r="AE79" s="2">
        <f>SUMIFS(TB!AK:AK,TB!$J:$J,$C79)</f>
        <v>0</v>
      </c>
      <c r="AF79" s="2">
        <f>SUMIFS(TB!AL:AL,TB!$J:$J,$C79)</f>
        <v>0</v>
      </c>
      <c r="AG79" s="2">
        <f>SUMIFS(TB!AM:AM,TB!$J:$J,$C79)</f>
        <v>0</v>
      </c>
      <c r="AH79" s="2">
        <f>SUMIFS(TB!AN:AN,TB!$J:$J,$C79)</f>
        <v>0</v>
      </c>
      <c r="AI79" s="2">
        <f>SUMIFS(TB!AO:AO,TB!$J:$J,$C79)</f>
        <v>0</v>
      </c>
      <c r="AJ79" s="2"/>
      <c r="AK79" s="2">
        <f>SUM(E79:P79)</f>
        <v>20.439919999999994</v>
      </c>
      <c r="AL79" s="2">
        <f>SUM(Q79:AB79)</f>
        <v>9.790659999999999</v>
      </c>
      <c r="AM79" s="2">
        <f>SUM(X79:AI79)</f>
        <v>2.5</v>
      </c>
      <c r="AN79" s="2"/>
      <c r="AO79" s="5">
        <f>IFERROR(AK79/AK$15%,0)</f>
        <v>0.26727858184253889</v>
      </c>
      <c r="AP79" s="5">
        <f>IFERROR(AL79/AL$15%,0)</f>
        <v>0.14443161828645734</v>
      </c>
      <c r="AQ79" s="5">
        <f>IFERROR(AM79/AM$15%,0)</f>
        <v>3.4044109612849212E-2</v>
      </c>
    </row>
    <row r="80" spans="3:43" ht="11.25" hidden="1" customHeight="1" outlineLevel="1" x14ac:dyDescent="0.2">
      <c r="C80" t="s">
        <v>271</v>
      </c>
      <c r="D80" s="4"/>
      <c r="E80" s="2">
        <f>SUMIFS(TB!K:K,TB!$J:$J,$C80)</f>
        <v>0</v>
      </c>
      <c r="F80" s="2">
        <f>SUMIFS(TB!L:L,TB!$J:$J,$C80)</f>
        <v>0</v>
      </c>
      <c r="G80" s="2">
        <f>SUMIFS(TB!M:M,TB!$J:$J,$C80)</f>
        <v>0.67300000000000004</v>
      </c>
      <c r="H80" s="2">
        <f>SUMIFS(TB!N:N,TB!$J:$J,$C80)</f>
        <v>0</v>
      </c>
      <c r="I80" s="2">
        <f>SUMIFS(TB!O:O,TB!$J:$J,$C80)</f>
        <v>0</v>
      </c>
      <c r="J80" s="2">
        <f>SUMIFS(TB!P:P,TB!$J:$J,$C80)</f>
        <v>0.66100000000000003</v>
      </c>
      <c r="K80" s="2">
        <f>SUMIFS(TB!Q:Q,TB!$J:$J,$C80)</f>
        <v>0</v>
      </c>
      <c r="L80" s="2">
        <f>SUMIFS(TB!R:R,TB!$J:$J,$C80)</f>
        <v>0</v>
      </c>
      <c r="M80" s="2">
        <f>SUMIFS(TB!S:S,TB!$J:$J,$C80)</f>
        <v>0.66100000000000003</v>
      </c>
      <c r="N80" s="2">
        <f>SUMIFS(TB!T:T,TB!$J:$J,$C80)</f>
        <v>0</v>
      </c>
      <c r="O80" s="2">
        <f>SUMIFS(TB!U:U,TB!$J:$J,$C80)</f>
        <v>0</v>
      </c>
      <c r="P80" s="2">
        <f>SUMIFS(TB!V:V,TB!$J:$J,$C80)</f>
        <v>0.66100000000000003</v>
      </c>
      <c r="Q80" s="2">
        <f>SUMIFS(TB!W:W,TB!$J:$J,$C80)</f>
        <v>0</v>
      </c>
      <c r="R80" s="2">
        <f>SUMIFS(TB!X:X,TB!$J:$J,$C80)</f>
        <v>0</v>
      </c>
      <c r="S80" s="2">
        <f>SUMIFS(TB!Y:Y,TB!$J:$J,$C80)</f>
        <v>0.66800000000000004</v>
      </c>
      <c r="T80" s="2">
        <f>SUMIFS(TB!Z:Z,TB!$J:$J,$C80)</f>
        <v>0</v>
      </c>
      <c r="U80" s="2">
        <f>SUMIFS(TB!AA:AA,TB!$J:$J,$C80)</f>
        <v>0</v>
      </c>
      <c r="V80" s="2">
        <f>SUMIFS(TB!AB:AB,TB!$J:$J,$C80)</f>
        <v>0.66100000000000003</v>
      </c>
      <c r="W80" s="2">
        <f>SUMIFS(TB!AC:AC,TB!$J:$J,$C80)</f>
        <v>0</v>
      </c>
      <c r="X80" s="2">
        <f>SUMIFS(TB!AD:AD,TB!$J:$J,$C80)</f>
        <v>0</v>
      </c>
      <c r="Y80" s="2">
        <f>SUMIFS(TB!AE:AE,TB!$J:$J,$C80)</f>
        <v>0.66100000000000003</v>
      </c>
      <c r="Z80" s="2">
        <f>SUMIFS(TB!AF:AF,TB!$J:$J,$C80)</f>
        <v>0</v>
      </c>
      <c r="AA80" s="2">
        <f>SUMIFS(TB!AG:AG,TB!$J:$J,$C80)</f>
        <v>0</v>
      </c>
      <c r="AB80" s="2">
        <f>SUMIFS(TB!AH:AH,TB!$J:$J,$C80)</f>
        <v>0.66100000000000003</v>
      </c>
      <c r="AC80" s="2">
        <f>SUMIFS(TB!AI:AI,TB!$J:$J,$C80)</f>
        <v>0</v>
      </c>
      <c r="AD80" s="2">
        <f>SUMIFS(TB!AJ:AJ,TB!$J:$J,$C80)</f>
        <v>0</v>
      </c>
      <c r="AE80" s="2">
        <f>SUMIFS(TB!AK:AK,TB!$J:$J,$C80)</f>
        <v>0</v>
      </c>
      <c r="AF80" s="2">
        <f>SUMIFS(TB!AL:AL,TB!$J:$J,$C80)</f>
        <v>0</v>
      </c>
      <c r="AG80" s="2">
        <f>SUMIFS(TB!AM:AM,TB!$J:$J,$C80)</f>
        <v>0</v>
      </c>
      <c r="AH80" s="2">
        <f>SUMIFS(TB!AN:AN,TB!$J:$J,$C80)</f>
        <v>0</v>
      </c>
      <c r="AI80" s="2">
        <f>SUMIFS(TB!AO:AO,TB!$J:$J,$C80)</f>
        <v>0</v>
      </c>
      <c r="AJ80" s="2"/>
      <c r="AK80" s="2">
        <f>SUM(E80:P80)</f>
        <v>2.6560000000000001</v>
      </c>
      <c r="AL80" s="2">
        <f>SUM(Q80:AB80)</f>
        <v>2.6510000000000002</v>
      </c>
      <c r="AM80" s="2">
        <f>SUM(X80:AI80)</f>
        <v>1.3220000000000001</v>
      </c>
      <c r="AN80" s="2"/>
      <c r="AO80" s="5">
        <f>IFERROR(AK80/AK$15%,0)</f>
        <v>3.4730660069793994E-2</v>
      </c>
      <c r="AP80" s="5">
        <f>IFERROR(AL80/AL$15%,0)</f>
        <v>3.9107498378801682E-2</v>
      </c>
      <c r="AQ80" s="5">
        <f>IFERROR(AM80/AM$15%,0)</f>
        <v>1.8002525163274666E-2</v>
      </c>
    </row>
    <row r="81" spans="3:43" ht="11.25" hidden="1" customHeight="1" outlineLevel="1" x14ac:dyDescent="0.2">
      <c r="C81" t="s">
        <v>270</v>
      </c>
      <c r="D81" s="4"/>
      <c r="E81" s="2">
        <f>SUMIFS(TB!K:K,TB!$J:$J,$C81)</f>
        <v>0</v>
      </c>
      <c r="F81" s="2">
        <f>SUMIFS(TB!L:L,TB!$J:$J,$C81)</f>
        <v>0.61199999999999999</v>
      </c>
      <c r="G81" s="2">
        <f>SUMIFS(TB!M:M,TB!$J:$J,$C81)</f>
        <v>0</v>
      </c>
      <c r="H81" s="2">
        <f>SUMIFS(TB!N:N,TB!$J:$J,$C81)</f>
        <v>0</v>
      </c>
      <c r="I81" s="2">
        <f>SUMIFS(TB!O:O,TB!$J:$J,$C81)</f>
        <v>0</v>
      </c>
      <c r="J81" s="2">
        <f>SUMIFS(TB!P:P,TB!$J:$J,$C81)</f>
        <v>0</v>
      </c>
      <c r="K81" s="2">
        <f>SUMIFS(TB!Q:Q,TB!$J:$J,$C81)</f>
        <v>0</v>
      </c>
      <c r="L81" s="2">
        <f>SUMIFS(TB!R:R,TB!$J:$J,$C81)</f>
        <v>0.80700000000000005</v>
      </c>
      <c r="M81" s="2">
        <f>SUMIFS(TB!S:S,TB!$J:$J,$C81)</f>
        <v>0</v>
      </c>
      <c r="N81" s="2">
        <f>SUMIFS(TB!T:T,TB!$J:$J,$C81)</f>
        <v>0</v>
      </c>
      <c r="O81" s="2">
        <f>SUMIFS(TB!U:U,TB!$J:$J,$C81)</f>
        <v>0</v>
      </c>
      <c r="P81" s="2">
        <f>SUMIFS(TB!V:V,TB!$J:$J,$C81)</f>
        <v>0</v>
      </c>
      <c r="Q81" s="2">
        <f>SUMIFS(TB!W:W,TB!$J:$J,$C81)</f>
        <v>0.80837000000000003</v>
      </c>
      <c r="R81" s="2">
        <f>SUMIFS(TB!X:X,TB!$J:$J,$C81)</f>
        <v>0</v>
      </c>
      <c r="S81" s="2">
        <f>SUMIFS(TB!Y:Y,TB!$J:$J,$C81)</f>
        <v>0</v>
      </c>
      <c r="T81" s="2">
        <f>SUMIFS(TB!Z:Z,TB!$J:$J,$C81)</f>
        <v>0</v>
      </c>
      <c r="U81" s="2">
        <f>SUMIFS(TB!AA:AA,TB!$J:$J,$C81)</f>
        <v>0</v>
      </c>
      <c r="V81" s="2">
        <f>SUMIFS(TB!AB:AB,TB!$J:$J,$C81)</f>
        <v>0</v>
      </c>
      <c r="W81" s="2">
        <f>SUMIFS(TB!AC:AC,TB!$J:$J,$C81)</f>
        <v>0</v>
      </c>
      <c r="X81" s="2">
        <f>SUMIFS(TB!AD:AD,TB!$J:$J,$C81)</f>
        <v>0</v>
      </c>
      <c r="Y81" s="2">
        <f>SUMIFS(TB!AE:AE,TB!$J:$J,$C81)</f>
        <v>0</v>
      </c>
      <c r="Z81" s="2">
        <f>SUMIFS(TB!AF:AF,TB!$J:$J,$C81)</f>
        <v>0</v>
      </c>
      <c r="AA81" s="2">
        <f>SUMIFS(TB!AG:AG,TB!$J:$J,$C81)</f>
        <v>0</v>
      </c>
      <c r="AB81" s="2">
        <f>SUMIFS(TB!AH:AH,TB!$J:$J,$C81)</f>
        <v>0</v>
      </c>
      <c r="AC81" s="2">
        <f>SUMIFS(TB!AI:AI,TB!$J:$J,$C81)</f>
        <v>0</v>
      </c>
      <c r="AD81" s="2">
        <f>SUMIFS(TB!AJ:AJ,TB!$J:$J,$C81)</f>
        <v>0</v>
      </c>
      <c r="AE81" s="2">
        <f>SUMIFS(TB!AK:AK,TB!$J:$J,$C81)</f>
        <v>0</v>
      </c>
      <c r="AF81" s="2">
        <f>SUMIFS(TB!AL:AL,TB!$J:$J,$C81)</f>
        <v>0</v>
      </c>
      <c r="AG81" s="2">
        <f>SUMIFS(TB!AM:AM,TB!$J:$J,$C81)</f>
        <v>0</v>
      </c>
      <c r="AH81" s="2">
        <f>SUMIFS(TB!AN:AN,TB!$J:$J,$C81)</f>
        <v>0</v>
      </c>
      <c r="AI81" s="2">
        <f>SUMIFS(TB!AO:AO,TB!$J:$J,$C81)</f>
        <v>0.85294000000000003</v>
      </c>
      <c r="AJ81" s="2"/>
      <c r="AK81" s="2">
        <f>SUM(E81:P81)</f>
        <v>1.419</v>
      </c>
      <c r="AL81" s="2">
        <f>SUM(Q81:AB81)</f>
        <v>0.80837000000000003</v>
      </c>
      <c r="AM81" s="2">
        <f>SUM(X81:AI81)</f>
        <v>0.85294000000000003</v>
      </c>
      <c r="AN81" s="2"/>
      <c r="AO81" s="5">
        <f>IFERROR(AK81/AK$15%,0)</f>
        <v>1.8555273583975025E-2</v>
      </c>
      <c r="AP81" s="5">
        <f>IFERROR(AL81/AL$15%,0)</f>
        <v>1.1925057889276466E-2</v>
      </c>
      <c r="AQ81" s="5">
        <f>IFERROR(AM81/AM$15%,0)</f>
        <v>1.1615033141273445E-2</v>
      </c>
    </row>
    <row r="82" spans="3:43" ht="11.25" hidden="1" customHeight="1" outlineLevel="1" x14ac:dyDescent="0.2">
      <c r="C82" s="17" t="s">
        <v>269</v>
      </c>
      <c r="D82" s="15"/>
      <c r="E82" s="14">
        <f>SUMIFS(TB!K:K,TB!$J:$J,$C82)</f>
        <v>0.24977000000000002</v>
      </c>
      <c r="F82" s="14">
        <f>SUMIFS(TB!L:L,TB!$J:$J,$C82)</f>
        <v>0.24977000000000002</v>
      </c>
      <c r="G82" s="14">
        <f>SUMIFS(TB!M:M,TB!$J:$J,$C82)</f>
        <v>0.26225999999999994</v>
      </c>
      <c r="H82" s="14">
        <f>SUMIFS(TB!N:N,TB!$J:$J,$C82)</f>
        <v>0.26227</v>
      </c>
      <c r="I82" s="14">
        <f>SUMIFS(TB!O:O,TB!$J:$J,$C82)</f>
        <v>0.23728999999999997</v>
      </c>
      <c r="J82" s="14">
        <f>SUMIFS(TB!P:P,TB!$J:$J,$C82)</f>
        <v>0.2372900000000002</v>
      </c>
      <c r="K82" s="14">
        <f>SUMIFS(TB!Q:Q,TB!$J:$J,$C82)</f>
        <v>0.23728999999999997</v>
      </c>
      <c r="L82" s="14">
        <f>SUMIFS(TB!R:R,TB!$J:$J,$C82)</f>
        <v>0.23728999999999997</v>
      </c>
      <c r="M82" s="14">
        <f>SUMIFS(TB!S:S,TB!$J:$J,$C82)</f>
        <v>0.23728999999999997</v>
      </c>
      <c r="N82" s="14">
        <f>SUMIFS(TB!T:T,TB!$J:$J,$C82)</f>
        <v>0.23728999999999997</v>
      </c>
      <c r="O82" s="14">
        <f>SUMIFS(TB!U:U,TB!$J:$J,$C82)</f>
        <v>0.22480000000000019</v>
      </c>
      <c r="P82" s="14">
        <f>SUMIFS(TB!V:V,TB!$J:$J,$C82)</f>
        <v>0.22479999999999972</v>
      </c>
      <c r="Q82" s="14">
        <f>SUMIFS(TB!W:W,TB!$J:$J,$C82)</f>
        <v>0.2248</v>
      </c>
      <c r="R82" s="14">
        <f>SUMIFS(TB!X:X,TB!$J:$J,$C82)</f>
        <v>0.2248</v>
      </c>
      <c r="S82" s="14">
        <f>SUMIFS(TB!Y:Y,TB!$J:$J,$C82)</f>
        <v>0.22479999999999994</v>
      </c>
      <c r="T82" s="14">
        <f>SUMIFS(TB!Z:Z,TB!$J:$J,$C82)</f>
        <v>0</v>
      </c>
      <c r="U82" s="14">
        <f>SUMIFS(TB!AA:AA,TB!$J:$J,$C82)</f>
        <v>0</v>
      </c>
      <c r="V82" s="14">
        <f>SUMIFS(TB!AB:AB,TB!$J:$J,$C82)</f>
        <v>0</v>
      </c>
      <c r="W82" s="14">
        <f>SUMIFS(TB!AC:AC,TB!$J:$J,$C82)</f>
        <v>0</v>
      </c>
      <c r="X82" s="14">
        <f>SUMIFS(TB!AD:AD,TB!$J:$J,$C82)</f>
        <v>0</v>
      </c>
      <c r="Y82" s="14">
        <f>SUMIFS(TB!AE:AE,TB!$J:$J,$C82)</f>
        <v>0</v>
      </c>
      <c r="Z82" s="14">
        <f>SUMIFS(TB!AF:AF,TB!$J:$J,$C82)</f>
        <v>0</v>
      </c>
      <c r="AA82" s="14">
        <f>SUMIFS(TB!AG:AG,TB!$J:$J,$C82)</f>
        <v>0</v>
      </c>
      <c r="AB82" s="14">
        <f>SUMIFS(TB!AH:AH,TB!$J:$J,$C82)</f>
        <v>0</v>
      </c>
      <c r="AC82" s="14">
        <f>SUMIFS(TB!AI:AI,TB!$J:$J,$C82)</f>
        <v>0</v>
      </c>
      <c r="AD82" s="14">
        <f>SUMIFS(TB!AJ:AJ,TB!$J:$J,$C82)</f>
        <v>0</v>
      </c>
      <c r="AE82" s="14">
        <f>SUMIFS(TB!AK:AK,TB!$J:$J,$C82)</f>
        <v>0</v>
      </c>
      <c r="AF82" s="14">
        <f>SUMIFS(TB!AL:AL,TB!$J:$J,$C82)</f>
        <v>0</v>
      </c>
      <c r="AG82" s="14">
        <f>SUMIFS(TB!AM:AM,TB!$J:$J,$C82)</f>
        <v>0</v>
      </c>
      <c r="AH82" s="14">
        <f>SUMIFS(TB!AN:AN,TB!$J:$J,$C82)</f>
        <v>0</v>
      </c>
      <c r="AI82" s="14">
        <f>SUMIFS(TB!AO:AO,TB!$J:$J,$C82)</f>
        <v>0</v>
      </c>
      <c r="AJ82" s="14"/>
      <c r="AK82" s="14">
        <f>SUM(E82:P82)</f>
        <v>2.8974099999999998</v>
      </c>
      <c r="AL82" s="14">
        <f>SUM(Q82:AB82)</f>
        <v>0.67439999999999989</v>
      </c>
      <c r="AM82" s="14">
        <f>SUM(X82:AI82)</f>
        <v>0</v>
      </c>
      <c r="AN82" s="14"/>
      <c r="AO82" s="13">
        <f>IFERROR(AK82/AK$15%,0)</f>
        <v>3.7887410313562422E-2</v>
      </c>
      <c r="AP82" s="13">
        <f>IFERROR(AL82/AL$15%,0)</f>
        <v>9.9487351590584108E-3</v>
      </c>
      <c r="AQ82" s="13">
        <f>IFERROR(AM82/AM$15%,0)</f>
        <v>0</v>
      </c>
    </row>
    <row r="83" spans="3:43" ht="11.25" customHeight="1" collapsed="1" x14ac:dyDescent="0.2">
      <c r="C83" t="s">
        <v>22</v>
      </c>
      <c r="D83" s="4"/>
      <c r="E83" s="2">
        <f>SUM(E69:E82)</f>
        <v>38.037929999999996</v>
      </c>
      <c r="F83" s="2">
        <f>SUM(F69:F82)</f>
        <v>29.356659999999998</v>
      </c>
      <c r="G83" s="2">
        <f>SUM(G69:G82)</f>
        <v>34.113220000000013</v>
      </c>
      <c r="H83" s="2">
        <f>SUM(H69:H82)</f>
        <v>41.282789999999991</v>
      </c>
      <c r="I83" s="2">
        <f>SUM(I69:I82)</f>
        <v>58.567520000000009</v>
      </c>
      <c r="J83" s="2">
        <f>SUM(J69:J82)</f>
        <v>39.983860000000014</v>
      </c>
      <c r="K83" s="2">
        <f>SUM(K69:K82)</f>
        <v>22.859439999999985</v>
      </c>
      <c r="L83" s="2">
        <f>SUM(L69:L82)</f>
        <v>25.829879999999999</v>
      </c>
      <c r="M83" s="2">
        <f>SUM(M69:M82)</f>
        <v>29.66964000000003</v>
      </c>
      <c r="N83" s="2">
        <f>SUM(N69:N82)</f>
        <v>23.20153999999998</v>
      </c>
      <c r="O83" s="2">
        <f>SUM(O69:O82)</f>
        <v>29.623840000000015</v>
      </c>
      <c r="P83" s="2">
        <f>SUM(P69:P82)</f>
        <v>-98.054350000000014</v>
      </c>
      <c r="Q83" s="2">
        <f>SUM(Q69:Q82)</f>
        <v>30.082070000000002</v>
      </c>
      <c r="R83" s="2">
        <f>SUM(R69:R82)</f>
        <v>28.762040000000002</v>
      </c>
      <c r="S83" s="2">
        <f>SUM(S69:S82)</f>
        <v>29.715679999999999</v>
      </c>
      <c r="T83" s="2">
        <f>SUM(T69:T82)</f>
        <v>21.525079999999999</v>
      </c>
      <c r="U83" s="2">
        <f>SUM(U69:U82)</f>
        <v>35.728309999999993</v>
      </c>
      <c r="V83" s="2">
        <f>SUM(V69:V82)</f>
        <v>2.2702100000000009</v>
      </c>
      <c r="W83" s="2">
        <f>SUM(W69:W82)</f>
        <v>1.379459999999999</v>
      </c>
      <c r="X83" s="2">
        <f>SUM(X69:X82)</f>
        <v>1.3794599999999999</v>
      </c>
      <c r="Y83" s="2">
        <f>SUM(Y69:Y82)</f>
        <v>2.2702100000000001</v>
      </c>
      <c r="Z83" s="2">
        <f>SUM(Z69:Z82)</f>
        <v>5.1294599999999999</v>
      </c>
      <c r="AA83" s="2">
        <f>SUM(AA69:AA82)</f>
        <v>3.8794599999999999</v>
      </c>
      <c r="AB83" s="2">
        <f>SUM(AB69:AB82)</f>
        <v>161.87644999999998</v>
      </c>
      <c r="AC83" s="2">
        <f>SUM(AC69:AC82)</f>
        <v>1.3794599999999999</v>
      </c>
      <c r="AD83" s="2">
        <f>SUM(AD69:AD82)</f>
        <v>1.3794599999999999</v>
      </c>
      <c r="AE83" s="2">
        <f>SUM(AE69:AE82)</f>
        <v>1.3794599999999999</v>
      </c>
      <c r="AF83" s="2">
        <f>SUM(AF69:AF82)</f>
        <v>19.417460000000002</v>
      </c>
      <c r="AG83" s="2">
        <f>SUM(AG69:AG82)</f>
        <v>1.3794599999999995</v>
      </c>
      <c r="AH83" s="2">
        <f>SUM(AH69:AH82)</f>
        <v>32.106020000000001</v>
      </c>
      <c r="AI83" s="2">
        <f>SUM(AI69:AI82)</f>
        <v>4.7715599999999991</v>
      </c>
      <c r="AJ83" s="2"/>
      <c r="AK83" s="2">
        <f>SUM(AK69:AK82)</f>
        <v>274.47197</v>
      </c>
      <c r="AL83" s="2">
        <f>SUM(AL69:AL82)</f>
        <v>323.99789000000004</v>
      </c>
      <c r="AM83" s="2">
        <f>SUM(AM69:AM82)</f>
        <v>236.34791999999999</v>
      </c>
      <c r="AN83" s="2"/>
      <c r="AO83" s="5">
        <f>IFERROR(AK83/AK$15%,0)</f>
        <v>3.5890785725740564</v>
      </c>
      <c r="AP83" s="5">
        <f>IFERROR(AL83/AL$15%,0)</f>
        <v>4.7796103198454043</v>
      </c>
      <c r="AQ83" s="5">
        <f>IFERROR(AM83/AM$15%,0)</f>
        <v>3.2185017980995667</v>
      </c>
    </row>
    <row r="84" spans="3:43" ht="6" hidden="1" customHeight="1" outlineLevel="1" x14ac:dyDescent="0.2">
      <c r="D84" s="4"/>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5"/>
      <c r="AP84" s="5"/>
      <c r="AQ84" s="5"/>
    </row>
    <row r="85" spans="3:43" ht="11.25" hidden="1" customHeight="1" outlineLevel="1" x14ac:dyDescent="0.2">
      <c r="C85" t="s">
        <v>268</v>
      </c>
      <c r="D85" s="4"/>
      <c r="E85" s="2">
        <f>SUMIFS(TB!K:K,TB!$J:$J,$C85)</f>
        <v>7.4</v>
      </c>
      <c r="F85" s="2">
        <f>SUMIFS(TB!L:L,TB!$J:$J,$C85)</f>
        <v>6.9</v>
      </c>
      <c r="G85" s="2">
        <f>SUMIFS(TB!M:M,TB!$J:$J,$C85)</f>
        <v>5.6</v>
      </c>
      <c r="H85" s="2">
        <f>SUMIFS(TB!N:N,TB!$J:$J,$C85)</f>
        <v>11.74</v>
      </c>
      <c r="I85" s="2">
        <f>SUMIFS(TB!O:O,TB!$J:$J,$C85)</f>
        <v>0</v>
      </c>
      <c r="J85" s="2">
        <f>SUMIFS(TB!P:P,TB!$J:$J,$C85)</f>
        <v>14.815</v>
      </c>
      <c r="K85" s="2">
        <f>SUMIFS(TB!Q:Q,TB!$J:$J,$C85)</f>
        <v>9.9474999999999998</v>
      </c>
      <c r="L85" s="2">
        <f>SUMIFS(TB!R:R,TB!$J:$J,$C85)</f>
        <v>8</v>
      </c>
      <c r="M85" s="2">
        <f>SUMIFS(TB!S:S,TB!$J:$J,$C85)</f>
        <v>8.5649999999999995</v>
      </c>
      <c r="N85" s="2">
        <f>SUMIFS(TB!T:T,TB!$J:$J,$C85)</f>
        <v>8</v>
      </c>
      <c r="O85" s="2">
        <f>SUMIFS(TB!U:U,TB!$J:$J,$C85)</f>
        <v>11.02</v>
      </c>
      <c r="P85" s="2">
        <f>SUMIFS(TB!V:V,TB!$J:$J,$C85)</f>
        <v>8.8949999999999996</v>
      </c>
      <c r="Q85" s="2">
        <f>SUMIFS(TB!W:W,TB!$J:$J,$C85)</f>
        <v>9.63307</v>
      </c>
      <c r="R85" s="2">
        <f>SUMIFS(TB!X:X,TB!$J:$J,$C85)</f>
        <v>8</v>
      </c>
      <c r="S85" s="2">
        <f>SUMIFS(TB!Y:Y,TB!$J:$J,$C85)</f>
        <v>14.59</v>
      </c>
      <c r="T85" s="2">
        <f>SUMIFS(TB!Z:Z,TB!$J:$J,$C85)</f>
        <v>17.726500000000001</v>
      </c>
      <c r="U85" s="2">
        <f>SUMIFS(TB!AA:AA,TB!$J:$J,$C85)</f>
        <v>0</v>
      </c>
      <c r="V85" s="2">
        <f>SUMIFS(TB!AB:AB,TB!$J:$J,$C85)</f>
        <v>10.4</v>
      </c>
      <c r="W85" s="2">
        <f>SUMIFS(TB!AC:AC,TB!$J:$J,$C85)</f>
        <v>11.395000000000007</v>
      </c>
      <c r="X85" s="2">
        <f>SUMIFS(TB!AD:AD,TB!$J:$J,$C85)</f>
        <v>15.605</v>
      </c>
      <c r="Y85" s="2">
        <f>SUMIFS(TB!AE:AE,TB!$J:$J,$C85)</f>
        <v>13.0595</v>
      </c>
      <c r="Z85" s="2">
        <f>SUMIFS(TB!AF:AF,TB!$J:$J,$C85)</f>
        <v>8.75</v>
      </c>
      <c r="AA85" s="2">
        <f>SUMIFS(TB!AG:AG,TB!$J:$J,$C85)</f>
        <v>12.323499999999999</v>
      </c>
      <c r="AB85" s="2">
        <f>SUMIFS(TB!AH:AH,TB!$J:$J,$C85)</f>
        <v>8</v>
      </c>
      <c r="AC85" s="2">
        <f>SUMIFS(TB!AI:AI,TB!$J:$J,$C85)</f>
        <v>11.2858</v>
      </c>
      <c r="AD85" s="2">
        <f>SUMIFS(TB!AJ:AJ,TB!$J:$J,$C85)</f>
        <v>8.6</v>
      </c>
      <c r="AE85" s="2">
        <f>SUMIFS(TB!AK:AK,TB!$J:$J,$C85)</f>
        <v>8.1999999999999993</v>
      </c>
      <c r="AF85" s="2">
        <f>SUMIFS(TB!AL:AL,TB!$J:$J,$C85)</f>
        <v>13.680000000000003</v>
      </c>
      <c r="AG85" s="2">
        <f>SUMIFS(TB!AM:AM,TB!$J:$J,$C85)</f>
        <v>8</v>
      </c>
      <c r="AH85" s="2">
        <f>SUMIFS(TB!AN:AN,TB!$J:$J,$C85)</f>
        <v>16</v>
      </c>
      <c r="AI85" s="2">
        <f>SUMIFS(TB!AO:AO,TB!$J:$J,$C85)</f>
        <v>8.6999999999999993</v>
      </c>
      <c r="AJ85" s="2"/>
      <c r="AK85" s="2">
        <f>SUM(E85:P85)</f>
        <v>100.88249999999999</v>
      </c>
      <c r="AL85" s="2">
        <f>SUM(Q85:AB85)</f>
        <v>129.48257000000001</v>
      </c>
      <c r="AM85" s="2">
        <f>SUM(X85:AI85)</f>
        <v>132.2038</v>
      </c>
      <c r="AN85" s="2"/>
      <c r="AO85" s="5">
        <f>IFERROR(AK85/AK$15%,0)</f>
        <v>1.3191701108776324</v>
      </c>
      <c r="AP85" s="5">
        <f>IFERROR(AL85/AL$15%,0)</f>
        <v>1.910124253624321</v>
      </c>
      <c r="AQ85" s="5">
        <f>IFERROR(AM85/AM$15%,0)</f>
        <v>1.800304263374078</v>
      </c>
    </row>
    <row r="86" spans="3:43" ht="11.25" hidden="1" customHeight="1" outlineLevel="1" x14ac:dyDescent="0.2">
      <c r="C86" s="17" t="s">
        <v>267</v>
      </c>
      <c r="D86" s="15"/>
      <c r="E86" s="14">
        <f>SUMIFS(TB!K:K,TB!$J:$J,$C86)</f>
        <v>1.155</v>
      </c>
      <c r="F86" s="14">
        <f>SUMIFS(TB!L:L,TB!$J:$J,$C86)</f>
        <v>0.78749999999999998</v>
      </c>
      <c r="G86" s="14">
        <f>SUMIFS(TB!M:M,TB!$J:$J,$C86)</f>
        <v>0</v>
      </c>
      <c r="H86" s="14">
        <f>SUMIFS(TB!N:N,TB!$J:$J,$C86)</f>
        <v>0</v>
      </c>
      <c r="I86" s="14">
        <f>SUMIFS(TB!O:O,TB!$J:$J,$C86)</f>
        <v>0</v>
      </c>
      <c r="J86" s="14">
        <f>SUMIFS(TB!P:P,TB!$J:$J,$C86)</f>
        <v>0.52500000000000002</v>
      </c>
      <c r="K86" s="14">
        <f>SUMIFS(TB!Q:Q,TB!$J:$J,$C86)</f>
        <v>0</v>
      </c>
      <c r="L86" s="14">
        <f>SUMIFS(TB!R:R,TB!$J:$J,$C86)</f>
        <v>0</v>
      </c>
      <c r="M86" s="14">
        <f>SUMIFS(TB!S:S,TB!$J:$J,$C86)</f>
        <v>0</v>
      </c>
      <c r="N86" s="14">
        <f>SUMIFS(TB!T:T,TB!$J:$J,$C86)</f>
        <v>0</v>
      </c>
      <c r="O86" s="14">
        <f>SUMIFS(TB!U:U,TB!$J:$J,$C86)</f>
        <v>0</v>
      </c>
      <c r="P86" s="14">
        <f>SUMIFS(TB!V:V,TB!$J:$J,$C86)</f>
        <v>0</v>
      </c>
      <c r="Q86" s="14">
        <f>SUMIFS(TB!W:W,TB!$J:$J,$C86)</f>
        <v>0</v>
      </c>
      <c r="R86" s="14">
        <f>SUMIFS(TB!X:X,TB!$J:$J,$C86)</f>
        <v>0</v>
      </c>
      <c r="S86" s="14">
        <f>SUMIFS(TB!Y:Y,TB!$J:$J,$C86)</f>
        <v>0.27500000000000002</v>
      </c>
      <c r="T86" s="14">
        <f>SUMIFS(TB!Z:Z,TB!$J:$J,$C86)</f>
        <v>0.60499999999999998</v>
      </c>
      <c r="U86" s="14">
        <f>SUMIFS(TB!AA:AA,TB!$J:$J,$C86)</f>
        <v>0</v>
      </c>
      <c r="V86" s="14">
        <f>SUMIFS(TB!AB:AB,TB!$J:$J,$C86)</f>
        <v>0</v>
      </c>
      <c r="W86" s="14">
        <f>SUMIFS(TB!AC:AC,TB!$J:$J,$C86)</f>
        <v>0</v>
      </c>
      <c r="X86" s="14">
        <f>SUMIFS(TB!AD:AD,TB!$J:$J,$C86)</f>
        <v>0</v>
      </c>
      <c r="Y86" s="14">
        <f>SUMIFS(TB!AE:AE,TB!$J:$J,$C86)</f>
        <v>2.4849999999999999</v>
      </c>
      <c r="Z86" s="14">
        <f>SUMIFS(TB!AF:AF,TB!$J:$J,$C86)</f>
        <v>0</v>
      </c>
      <c r="AA86" s="14">
        <f>SUMIFS(TB!AG:AG,TB!$J:$J,$C86)</f>
        <v>18.148499999999999</v>
      </c>
      <c r="AB86" s="14">
        <f>SUMIFS(TB!AH:AH,TB!$J:$J,$C86)</f>
        <v>2.5485000000000002</v>
      </c>
      <c r="AC86" s="14">
        <f>SUMIFS(TB!AI:AI,TB!$J:$J,$C86)</f>
        <v>0.2475</v>
      </c>
      <c r="AD86" s="14">
        <f>SUMIFS(TB!AJ:AJ,TB!$J:$J,$C86)</f>
        <v>3.1349999999999998</v>
      </c>
      <c r="AE86" s="14">
        <f>SUMIFS(TB!AK:AK,TB!$J:$J,$C86)</f>
        <v>0</v>
      </c>
      <c r="AF86" s="14">
        <f>SUMIFS(TB!AL:AL,TB!$J:$J,$C86)</f>
        <v>5</v>
      </c>
      <c r="AG86" s="14">
        <f>SUMIFS(TB!AM:AM,TB!$J:$J,$C86)</f>
        <v>0</v>
      </c>
      <c r="AH86" s="14">
        <f>SUMIFS(TB!AN:AN,TB!$J:$J,$C86)</f>
        <v>0.97499999999999998</v>
      </c>
      <c r="AI86" s="14">
        <f>SUMIFS(TB!AO:AO,TB!$J:$J,$C86)</f>
        <v>21.9465</v>
      </c>
      <c r="AJ86" s="14"/>
      <c r="AK86" s="14">
        <f>SUM(E86:P86)</f>
        <v>2.4674999999999998</v>
      </c>
      <c r="AL86" s="14">
        <f>SUM(Q86:AB86)</f>
        <v>24.061999999999998</v>
      </c>
      <c r="AM86" s="14">
        <f>SUM(X86:AI86)</f>
        <v>54.485999999999997</v>
      </c>
      <c r="AN86" s="14"/>
      <c r="AO86" s="13">
        <f>IFERROR(AK86/AK$15%,0)</f>
        <v>3.2265777003846634E-2</v>
      </c>
      <c r="AP86" s="13">
        <f>IFERROR(AL86/AL$15%,0)</f>
        <v>0.35496213730317838</v>
      </c>
      <c r="AQ86" s="13">
        <f>IFERROR(AM86/AM$15%,0)</f>
        <v>0.74197094254628082</v>
      </c>
    </row>
    <row r="87" spans="3:43" ht="11.25" customHeight="1" collapsed="1" x14ac:dyDescent="0.2">
      <c r="C87" t="s">
        <v>21</v>
      </c>
      <c r="D87" s="4"/>
      <c r="E87" s="2">
        <f>SUM(E85:E86)</f>
        <v>8.5549999999999997</v>
      </c>
      <c r="F87" s="2">
        <f>SUM(F85:F86)</f>
        <v>7.6875</v>
      </c>
      <c r="G87" s="2">
        <f>SUM(G85:G86)</f>
        <v>5.6</v>
      </c>
      <c r="H87" s="2">
        <f>SUM(H85:H86)</f>
        <v>11.74</v>
      </c>
      <c r="I87" s="2">
        <f>SUM(I85:I86)</f>
        <v>0</v>
      </c>
      <c r="J87" s="2">
        <f>SUM(J85:J86)</f>
        <v>15.34</v>
      </c>
      <c r="K87" s="2">
        <f>SUM(K85:K86)</f>
        <v>9.9474999999999998</v>
      </c>
      <c r="L87" s="2">
        <f>SUM(L85:L86)</f>
        <v>8</v>
      </c>
      <c r="M87" s="2">
        <f>SUM(M85:M86)</f>
        <v>8.5649999999999995</v>
      </c>
      <c r="N87" s="2">
        <f>SUM(N85:N86)</f>
        <v>8</v>
      </c>
      <c r="O87" s="2">
        <f>SUM(O85:O86)</f>
        <v>11.02</v>
      </c>
      <c r="P87" s="2">
        <f>SUM(P85:P86)</f>
        <v>8.8949999999999996</v>
      </c>
      <c r="Q87" s="2">
        <f>SUM(Q85:Q86)</f>
        <v>9.63307</v>
      </c>
      <c r="R87" s="2">
        <f>SUM(R85:R86)</f>
        <v>8</v>
      </c>
      <c r="S87" s="2">
        <f>SUM(S85:S86)</f>
        <v>14.865</v>
      </c>
      <c r="T87" s="2">
        <f>SUM(T85:T86)</f>
        <v>18.331500000000002</v>
      </c>
      <c r="U87" s="2">
        <f>SUM(U85:U86)</f>
        <v>0</v>
      </c>
      <c r="V87" s="2">
        <f>SUM(V85:V86)</f>
        <v>10.4</v>
      </c>
      <c r="W87" s="2">
        <f>SUM(W85:W86)</f>
        <v>11.395000000000007</v>
      </c>
      <c r="X87" s="2">
        <f>SUM(X85:X86)</f>
        <v>15.605</v>
      </c>
      <c r="Y87" s="2">
        <f>SUM(Y85:Y86)</f>
        <v>15.544499999999999</v>
      </c>
      <c r="Z87" s="2">
        <f>SUM(Z85:Z86)</f>
        <v>8.75</v>
      </c>
      <c r="AA87" s="2">
        <f>SUM(AA85:AA86)</f>
        <v>30.471999999999998</v>
      </c>
      <c r="AB87" s="2">
        <f>SUM(AB85:AB86)</f>
        <v>10.548500000000001</v>
      </c>
      <c r="AC87" s="2">
        <f>SUM(AC85:AC86)</f>
        <v>11.533300000000001</v>
      </c>
      <c r="AD87" s="2">
        <f>SUM(AD85:AD86)</f>
        <v>11.734999999999999</v>
      </c>
      <c r="AE87" s="2">
        <f>SUM(AE85:AE86)</f>
        <v>8.1999999999999993</v>
      </c>
      <c r="AF87" s="2">
        <f>SUM(AF85:AF86)</f>
        <v>18.680000000000003</v>
      </c>
      <c r="AG87" s="2">
        <f>SUM(AG85:AG86)</f>
        <v>8</v>
      </c>
      <c r="AH87" s="2">
        <f>SUM(AH85:AH86)</f>
        <v>16.975000000000001</v>
      </c>
      <c r="AI87" s="2">
        <f>SUM(AI85:AI86)</f>
        <v>30.6465</v>
      </c>
      <c r="AJ87" s="2"/>
      <c r="AK87" s="2">
        <f>SUM(AK85:AK86)</f>
        <v>103.35</v>
      </c>
      <c r="AL87" s="2">
        <f>SUM(AL85:AL86)</f>
        <v>153.54457000000002</v>
      </c>
      <c r="AM87" s="2">
        <f>SUM(AM85:AM86)</f>
        <v>186.68979999999999</v>
      </c>
      <c r="AN87" s="2"/>
      <c r="AO87" s="5">
        <f>IFERROR(AK87/AK$15%,0)</f>
        <v>1.3514358878814792</v>
      </c>
      <c r="AP87" s="5">
        <f>IFERROR(AL87/AL$15%,0)</f>
        <v>2.2650863909274999</v>
      </c>
      <c r="AQ87" s="5">
        <f>IFERROR(AM87/AM$15%,0)</f>
        <v>2.5422752059203586</v>
      </c>
    </row>
    <row r="88" spans="3:43" ht="6" hidden="1" customHeight="1" outlineLevel="1" x14ac:dyDescent="0.2">
      <c r="D88" s="4"/>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5"/>
      <c r="AP88" s="5"/>
      <c r="AQ88" s="5"/>
    </row>
    <row r="89" spans="3:43" ht="11.25" hidden="1" customHeight="1" outlineLevel="1" x14ac:dyDescent="0.2">
      <c r="C89" t="s">
        <v>266</v>
      </c>
      <c r="D89" s="4"/>
      <c r="E89" s="2">
        <f>SUMIFS(TB!K:K,TB!$J:$J,$C89)</f>
        <v>0.99735000000000007</v>
      </c>
      <c r="F89" s="2">
        <f>SUMIFS(TB!L:L,TB!$J:$J,$C89)</f>
        <v>0.89559</v>
      </c>
      <c r="G89" s="2">
        <f>SUMIFS(TB!M:M,TB!$J:$J,$C89)</f>
        <v>3.0189400000000002</v>
      </c>
      <c r="H89" s="2">
        <f>SUMIFS(TB!N:N,TB!$J:$J,$C89)</f>
        <v>6.1424199999999995</v>
      </c>
      <c r="I89" s="2">
        <f>SUMIFS(TB!O:O,TB!$J:$J,$C89)</f>
        <v>5.5222000000000007</v>
      </c>
      <c r="J89" s="2">
        <f>SUMIFS(TB!P:P,TB!$J:$J,$C89)</f>
        <v>11.839689999999999</v>
      </c>
      <c r="K89" s="2">
        <f>SUMIFS(TB!Q:Q,TB!$J:$J,$C89)</f>
        <v>9.2600000000002181E-2</v>
      </c>
      <c r="L89" s="2">
        <f>SUMIFS(TB!R:R,TB!$J:$J,$C89)</f>
        <v>1.319989999999998</v>
      </c>
      <c r="M89" s="2">
        <f>SUMIFS(TB!S:S,TB!$J:$J,$C89)</f>
        <v>4.6200200000000038</v>
      </c>
      <c r="N89" s="2">
        <f>SUMIFS(TB!T:T,TB!$J:$J,$C89)</f>
        <v>3.8409999999996218E-2</v>
      </c>
      <c r="O89" s="2">
        <f>SUMIFS(TB!U:U,TB!$J:$J,$C89)</f>
        <v>2.8187700000000042</v>
      </c>
      <c r="P89" s="2">
        <f>SUMIFS(TB!V:V,TB!$J:$J,$C89)</f>
        <v>2.8200499999999957</v>
      </c>
      <c r="Q89" s="2">
        <f>SUMIFS(TB!W:W,TB!$J:$J,$C89)</f>
        <v>1.5917999999999999</v>
      </c>
      <c r="R89" s="2">
        <f>SUMIFS(TB!X:X,TB!$J:$J,$C89)</f>
        <v>3.2488299999999999</v>
      </c>
      <c r="S89" s="2">
        <f>SUMIFS(TB!Y:Y,TB!$J:$J,$C89)</f>
        <v>1.6254899999999999</v>
      </c>
      <c r="T89" s="2">
        <f>SUMIFS(TB!Z:Z,TB!$J:$J,$C89)</f>
        <v>1.3763000000000001</v>
      </c>
      <c r="U89" s="2">
        <f>SUMIFS(TB!AA:AA,TB!$J:$J,$C89)</f>
        <v>5.9902499999999996</v>
      </c>
      <c r="V89" s="2">
        <f>SUMIFS(TB!AB:AB,TB!$J:$J,$C89)</f>
        <v>2.1818799999999992</v>
      </c>
      <c r="W89" s="2">
        <f>SUMIFS(TB!AC:AC,TB!$J:$J,$C89)</f>
        <v>4.4315200000000008</v>
      </c>
      <c r="X89" s="2">
        <f>SUMIFS(TB!AD:AD,TB!$J:$J,$C89)</f>
        <v>0</v>
      </c>
      <c r="Y89" s="2">
        <f>SUMIFS(TB!AE:AE,TB!$J:$J,$C89)</f>
        <v>1.6599500000000007</v>
      </c>
      <c r="Z89" s="2">
        <f>SUMIFS(TB!AF:AF,TB!$J:$J,$C89)</f>
        <v>3.61225</v>
      </c>
      <c r="AA89" s="2">
        <f>SUMIFS(TB!AG:AG,TB!$J:$J,$C89)</f>
        <v>6.7029999999998841E-2</v>
      </c>
      <c r="AB89" s="2">
        <f>SUMIFS(TB!AH:AH,TB!$J:$J,$C89)</f>
        <v>2.7713800000000011</v>
      </c>
      <c r="AC89" s="2">
        <f>SUMIFS(TB!AI:AI,TB!$J:$J,$C89)</f>
        <v>4.4450000000000003</v>
      </c>
      <c r="AD89" s="2">
        <f>SUMIFS(TB!AJ:AJ,TB!$J:$J,$C89)</f>
        <v>1.82375</v>
      </c>
      <c r="AE89" s="2">
        <f>SUMIFS(TB!AK:AK,TB!$J:$J,$C89)</f>
        <v>1.3425</v>
      </c>
      <c r="AF89" s="2">
        <f>SUMIFS(TB!AL:AL,TB!$J:$J,$C89)</f>
        <v>6.9962999999999989</v>
      </c>
      <c r="AG89" s="2">
        <f>SUMIFS(TB!AM:AM,TB!$J:$J,$C89)</f>
        <v>3.8473100000000011</v>
      </c>
      <c r="AH89" s="2">
        <f>SUMIFS(TB!AN:AN,TB!$J:$J,$C89)</f>
        <v>4.6226300000000009</v>
      </c>
      <c r="AI89" s="2">
        <f>SUMIFS(TB!AO:AO,TB!$J:$J,$C89)</f>
        <v>4.6704499999999971</v>
      </c>
      <c r="AJ89" s="2"/>
      <c r="AK89" s="2">
        <f>SUM(E89:P89)</f>
        <v>40.12603</v>
      </c>
      <c r="AL89" s="2">
        <f>SUM(Q89:AB89)</f>
        <v>28.55668</v>
      </c>
      <c r="AM89" s="2">
        <f>SUM(X89:AI89)</f>
        <v>35.858550000000001</v>
      </c>
      <c r="AN89" s="2"/>
      <c r="AO89" s="5">
        <f>IFERROR(AK89/AK$15%,0)</f>
        <v>0.52470011591880861</v>
      </c>
      <c r="AP89" s="5">
        <f>IFERROR(AL89/AL$15%,0)</f>
        <v>0.42126756575026719</v>
      </c>
      <c r="AQ89" s="5">
        <f>IFERROR(AM89/AM$15%,0)</f>
        <v>0.48830896270313368</v>
      </c>
    </row>
    <row r="90" spans="3:43" ht="11.25" hidden="1" customHeight="1" outlineLevel="1" x14ac:dyDescent="0.2">
      <c r="C90" t="s">
        <v>265</v>
      </c>
      <c r="D90" s="4"/>
      <c r="E90" s="2">
        <f>SUMIFS(TB!K:K,TB!$J:$J,$C90)</f>
        <v>0</v>
      </c>
      <c r="F90" s="2">
        <f>SUMIFS(TB!L:L,TB!$J:$J,$C90)</f>
        <v>0</v>
      </c>
      <c r="G90" s="2">
        <f>SUMIFS(TB!M:M,TB!$J:$J,$C90)</f>
        <v>0</v>
      </c>
      <c r="H90" s="2">
        <f>SUMIFS(TB!N:N,TB!$J:$J,$C90)</f>
        <v>1.3736400000000002</v>
      </c>
      <c r="I90" s="2">
        <f>SUMIFS(TB!O:O,TB!$J:$J,$C90)</f>
        <v>1.0535599999999996</v>
      </c>
      <c r="J90" s="2">
        <f>SUMIFS(TB!P:P,TB!$J:$J,$C90)</f>
        <v>1.1352899999999999</v>
      </c>
      <c r="K90" s="2">
        <f>SUMIFS(TB!Q:Q,TB!$J:$J,$C90)</f>
        <v>2.23184</v>
      </c>
      <c r="L90" s="2">
        <f>SUMIFS(TB!R:R,TB!$J:$J,$C90)</f>
        <v>0.33214000000000032</v>
      </c>
      <c r="M90" s="2">
        <f>SUMIFS(TB!S:S,TB!$J:$J,$C90)</f>
        <v>0</v>
      </c>
      <c r="N90" s="2">
        <f>SUMIFS(TB!T:T,TB!$J:$J,$C90)</f>
        <v>0</v>
      </c>
      <c r="O90" s="2">
        <f>SUMIFS(TB!U:U,TB!$J:$J,$C90)</f>
        <v>0.28732999999999992</v>
      </c>
      <c r="P90" s="2">
        <f>SUMIFS(TB!V:V,TB!$J:$J,$C90)</f>
        <v>2.6419700000000002</v>
      </c>
      <c r="Q90" s="2">
        <f>SUMIFS(TB!W:W,TB!$J:$J,$C90)</f>
        <v>3.8300000000000001E-3</v>
      </c>
      <c r="R90" s="2">
        <f>SUMIFS(TB!X:X,TB!$J:$J,$C90)</f>
        <v>0.6855699999999999</v>
      </c>
      <c r="S90" s="2">
        <f>SUMIFS(TB!Y:Y,TB!$J:$J,$C90)</f>
        <v>0</v>
      </c>
      <c r="T90" s="2">
        <f>SUMIFS(TB!Z:Z,TB!$J:$J,$C90)</f>
        <v>3.0370400000000002</v>
      </c>
      <c r="U90" s="2">
        <f>SUMIFS(TB!AA:AA,TB!$J:$J,$C90)</f>
        <v>0.62775999999999976</v>
      </c>
      <c r="V90" s="2">
        <f>SUMIFS(TB!AB:AB,TB!$J:$J,$C90)</f>
        <v>3.1180500000000002</v>
      </c>
      <c r="W90" s="2">
        <f>SUMIFS(TB!AC:AC,TB!$J:$J,$C90)</f>
        <v>0.13886999999999988</v>
      </c>
      <c r="X90" s="2">
        <f>SUMIFS(TB!AD:AD,TB!$J:$J,$C90)</f>
        <v>0.36588000000000009</v>
      </c>
      <c r="Y90" s="2">
        <f>SUMIFS(TB!AE:AE,TB!$J:$J,$C90)</f>
        <v>1.2114099999999999</v>
      </c>
      <c r="Z90" s="2">
        <f>SUMIFS(TB!AF:AF,TB!$J:$J,$C90)</f>
        <v>1.5525100000000003</v>
      </c>
      <c r="AA90" s="2">
        <f>SUMIFS(TB!AG:AG,TB!$J:$J,$C90)</f>
        <v>6.2499999999999982</v>
      </c>
      <c r="AB90" s="2">
        <f>SUMIFS(TB!AH:AH,TB!$J:$J,$C90)</f>
        <v>0</v>
      </c>
      <c r="AC90" s="2">
        <f>SUMIFS(TB!AI:AI,TB!$J:$J,$C90)</f>
        <v>1.13148</v>
      </c>
      <c r="AD90" s="2">
        <f>SUMIFS(TB!AJ:AJ,TB!$J:$J,$C90)</f>
        <v>8.1341099999999997</v>
      </c>
      <c r="AE90" s="2">
        <f>SUMIFS(TB!AK:AK,TB!$J:$J,$C90)</f>
        <v>0.90611000000000064</v>
      </c>
      <c r="AF90" s="2">
        <f>SUMIFS(TB!AL:AL,TB!$J:$J,$C90)</f>
        <v>1.6740599999999994</v>
      </c>
      <c r="AG90" s="2">
        <f>SUMIFS(TB!AM:AM,TB!$J:$J,$C90)</f>
        <v>0.50882999999999989</v>
      </c>
      <c r="AH90" s="2">
        <f>SUMIFS(TB!AN:AN,TB!$J:$J,$C90)</f>
        <v>2.9932899999999991</v>
      </c>
      <c r="AI90" s="2">
        <f>SUMIFS(TB!AO:AO,TB!$J:$J,$C90)</f>
        <v>2.7779699999999994</v>
      </c>
      <c r="AJ90" s="2"/>
      <c r="AK90" s="2">
        <f>SUM(E90:P90)</f>
        <v>9.0557700000000008</v>
      </c>
      <c r="AL90" s="2">
        <f>SUM(Q90:AB90)</f>
        <v>16.990919999999996</v>
      </c>
      <c r="AM90" s="2">
        <f>SUM(X90:AI90)</f>
        <v>27.505649999999999</v>
      </c>
      <c r="AN90" s="2"/>
      <c r="AO90" s="5">
        <f>IFERROR(AK90/AK$15%,0)</f>
        <v>0.11841599003774034</v>
      </c>
      <c r="AP90" s="5">
        <f>IFERROR(AL90/AL$15%,0)</f>
        <v>0.25064970816837001</v>
      </c>
      <c r="AQ90" s="5">
        <f>IFERROR(AM90/AM$15%,0)</f>
        <v>0.37456214542906641</v>
      </c>
    </row>
    <row r="91" spans="3:43" ht="11.25" hidden="1" customHeight="1" outlineLevel="1" x14ac:dyDescent="0.2">
      <c r="C91" t="s">
        <v>264</v>
      </c>
      <c r="D91" s="4"/>
      <c r="E91" s="2">
        <f>SUMIFS(TB!K:K,TB!$J:$J,$C91)</f>
        <v>1.2544500000000001</v>
      </c>
      <c r="F91" s="2">
        <f>SUMIFS(TB!L:L,TB!$J:$J,$C91)</f>
        <v>1.0009599999999998</v>
      </c>
      <c r="G91" s="2">
        <f>SUMIFS(TB!M:M,TB!$J:$J,$C91)</f>
        <v>1.5858900000000002</v>
      </c>
      <c r="H91" s="2">
        <f>SUMIFS(TB!N:N,TB!$J:$J,$C91)</f>
        <v>1.2994899999999998</v>
      </c>
      <c r="I91" s="2">
        <f>SUMIFS(TB!O:O,TB!$J:$J,$C91)</f>
        <v>0.99948999999999977</v>
      </c>
      <c r="J91" s="2">
        <f>SUMIFS(TB!P:P,TB!$J:$J,$C91)</f>
        <v>1.3496400000000004</v>
      </c>
      <c r="K91" s="2">
        <f>SUMIFS(TB!Q:Q,TB!$J:$J,$C91)</f>
        <v>0.94988999999999946</v>
      </c>
      <c r="L91" s="2">
        <f>SUMIFS(TB!R:R,TB!$J:$J,$C91)</f>
        <v>1.3359300000000003</v>
      </c>
      <c r="M91" s="2">
        <f>SUMIFS(TB!S:S,TB!$J:$J,$C91)</f>
        <v>1.3041200000000008</v>
      </c>
      <c r="N91" s="2">
        <f>SUMIFS(TB!T:T,TB!$J:$J,$C91)</f>
        <v>1.6999099999999998</v>
      </c>
      <c r="O91" s="2">
        <f>SUMIFS(TB!U:U,TB!$J:$J,$C91)</f>
        <v>0.94990999999999981</v>
      </c>
      <c r="P91" s="2">
        <f>SUMIFS(TB!V:V,TB!$J:$J,$C91)</f>
        <v>1.0222500000000001</v>
      </c>
      <c r="Q91" s="2">
        <f>SUMIFS(TB!W:W,TB!$J:$J,$C91)</f>
        <v>1.0387599999999999</v>
      </c>
      <c r="R91" s="2">
        <f>SUMIFS(TB!X:X,TB!$J:$J,$C91)</f>
        <v>1.0966299999999998</v>
      </c>
      <c r="S91" s="2">
        <f>SUMIFS(TB!Y:Y,TB!$J:$J,$C91)</f>
        <v>0.40942000000000006</v>
      </c>
      <c r="T91" s="2">
        <f>SUMIFS(TB!Z:Z,TB!$J:$J,$C91)</f>
        <v>1.5122100000000001</v>
      </c>
      <c r="U91" s="2">
        <f>SUMIFS(TB!AA:AA,TB!$J:$J,$C91)</f>
        <v>0.60951999999999995</v>
      </c>
      <c r="V91" s="2">
        <f>SUMIFS(TB!AB:AB,TB!$J:$J,$C91)</f>
        <v>1.2079499999999999</v>
      </c>
      <c r="W91" s="2">
        <f>SUMIFS(TB!AC:AC,TB!$J:$J,$C91)</f>
        <v>1.2963900000000004</v>
      </c>
      <c r="X91" s="2">
        <f>SUMIFS(TB!AD:AD,TB!$J:$J,$C91)</f>
        <v>1.7918299999999989</v>
      </c>
      <c r="Y91" s="2">
        <f>SUMIFS(TB!AE:AE,TB!$J:$J,$C91)</f>
        <v>0.65188000000000101</v>
      </c>
      <c r="Z91" s="2">
        <f>SUMIFS(TB!AF:AF,TB!$J:$J,$C91)</f>
        <v>1.3483099999999995</v>
      </c>
      <c r="AA91" s="2">
        <f>SUMIFS(TB!AG:AG,TB!$J:$J,$C91)</f>
        <v>0.74654000000000087</v>
      </c>
      <c r="AB91" s="2">
        <f>SUMIFS(TB!AH:AH,TB!$J:$J,$C91)</f>
        <v>0.74554999999999927</v>
      </c>
      <c r="AC91" s="2">
        <f>SUMIFS(TB!AI:AI,TB!$J:$J,$C91)</f>
        <v>0.67398999999999998</v>
      </c>
      <c r="AD91" s="2">
        <f>SUMIFS(TB!AJ:AJ,TB!$J:$J,$C91)</f>
        <v>1.1021400000000001</v>
      </c>
      <c r="AE91" s="2">
        <f>SUMIFS(TB!AK:AK,TB!$J:$J,$C91)</f>
        <v>0.84540000000000004</v>
      </c>
      <c r="AF91" s="2">
        <f>SUMIFS(TB!AL:AL,TB!$J:$J,$C91)</f>
        <v>1.2953999999999997</v>
      </c>
      <c r="AG91" s="2">
        <f>SUMIFS(TB!AM:AM,TB!$J:$J,$C91)</f>
        <v>0.59540000000000004</v>
      </c>
      <c r="AH91" s="2">
        <f>SUMIFS(TB!AN:AN,TB!$J:$J,$C91)</f>
        <v>0.89539999999999964</v>
      </c>
      <c r="AI91" s="2">
        <f>SUMIFS(TB!AO:AO,TB!$J:$J,$C91)</f>
        <v>0.89540000000000053</v>
      </c>
      <c r="AJ91" s="2"/>
      <c r="AK91" s="2">
        <f>SUM(E91:P91)</f>
        <v>14.751929999999998</v>
      </c>
      <c r="AL91" s="2">
        <f>SUM(Q91:AB91)</f>
        <v>12.45499</v>
      </c>
      <c r="AM91" s="2">
        <f>SUM(X91:AI91)</f>
        <v>11.58724</v>
      </c>
      <c r="AN91" s="2"/>
      <c r="AO91" s="5">
        <f>IFERROR(AK91/AK$15%,0)</f>
        <v>0.19290070263682077</v>
      </c>
      <c r="AP91" s="5">
        <f>IFERROR(AL91/AL$15%,0)</f>
        <v>0.18373576055563604</v>
      </c>
      <c r="AQ91" s="5">
        <f>IFERROR(AM91/AM$15%,0)</f>
        <v>0.15779090746815636</v>
      </c>
    </row>
    <row r="92" spans="3:43" ht="11.25" hidden="1" customHeight="1" outlineLevel="1" x14ac:dyDescent="0.2">
      <c r="C92" t="s">
        <v>263</v>
      </c>
      <c r="D92" s="4"/>
      <c r="E92" s="2">
        <f>SUMIFS(TB!K:K,TB!$J:$J,$C92)</f>
        <v>2.9682199999999996</v>
      </c>
      <c r="F92" s="2">
        <f>SUMIFS(TB!L:L,TB!$J:$J,$C92)</f>
        <v>0</v>
      </c>
      <c r="G92" s="2">
        <f>SUMIFS(TB!M:M,TB!$J:$J,$C92)</f>
        <v>1.5960000000000037E-2</v>
      </c>
      <c r="H92" s="2">
        <f>SUMIFS(TB!N:N,TB!$J:$J,$C92)</f>
        <v>8.5580000000000378E-2</v>
      </c>
      <c r="I92" s="2">
        <f>SUMIFS(TB!O:O,TB!$J:$J,$C92)</f>
        <v>8.9999999999999993E-3</v>
      </c>
      <c r="J92" s="2">
        <f>SUMIFS(TB!P:P,TB!$J:$J,$C92)</f>
        <v>0.26996999999999982</v>
      </c>
      <c r="K92" s="2">
        <f>SUMIFS(TB!Q:Q,TB!$J:$J,$C92)</f>
        <v>0.31909000000000015</v>
      </c>
      <c r="L92" s="2">
        <f>SUMIFS(TB!R:R,TB!$J:$J,$C92)</f>
        <v>0.1079699999999998</v>
      </c>
      <c r="M92" s="2">
        <f>SUMIFS(TB!S:S,TB!$J:$J,$C92)</f>
        <v>5.3490000000000239E-2</v>
      </c>
      <c r="N92" s="2">
        <f>SUMIFS(TB!T:T,TB!$J:$J,$C92)</f>
        <v>0</v>
      </c>
      <c r="O92" s="2">
        <f>SUMIFS(TB!U:U,TB!$J:$J,$C92)</f>
        <v>0</v>
      </c>
      <c r="P92" s="2">
        <f>SUMIFS(TB!V:V,TB!$J:$J,$C92)</f>
        <v>4.7004499999999991</v>
      </c>
      <c r="Q92" s="2">
        <f>SUMIFS(TB!W:W,TB!$J:$J,$C92)</f>
        <v>0.18427000000000002</v>
      </c>
      <c r="R92" s="2">
        <f>SUMIFS(TB!X:X,TB!$J:$J,$C92)</f>
        <v>8.9899999999999806E-3</v>
      </c>
      <c r="S92" s="2">
        <f>SUMIFS(TB!Y:Y,TB!$J:$J,$C92)</f>
        <v>0.10736000000000001</v>
      </c>
      <c r="T92" s="2">
        <f>SUMIFS(TB!Z:Z,TB!$J:$J,$C92)</f>
        <v>0</v>
      </c>
      <c r="U92" s="2">
        <f>SUMIFS(TB!AA:AA,TB!$J:$J,$C92)</f>
        <v>0.19202999999999998</v>
      </c>
      <c r="V92" s="2">
        <f>SUMIFS(TB!AB:AB,TB!$J:$J,$C92)</f>
        <v>0</v>
      </c>
      <c r="W92" s="2">
        <f>SUMIFS(TB!AC:AC,TB!$J:$J,$C92)</f>
        <v>0.30274000000000001</v>
      </c>
      <c r="X92" s="2">
        <f>SUMIFS(TB!AD:AD,TB!$J:$J,$C92)</f>
        <v>0.27128000000000008</v>
      </c>
      <c r="Y92" s="2">
        <f>SUMIFS(TB!AE:AE,TB!$J:$J,$C92)</f>
        <v>0.1178599999999999</v>
      </c>
      <c r="Z92" s="2">
        <f>SUMIFS(TB!AF:AF,TB!$J:$J,$C92)</f>
        <v>0.21105999999999994</v>
      </c>
      <c r="AA92" s="2">
        <f>SUMIFS(TB!AG:AG,TB!$J:$J,$C92)</f>
        <v>0.29631000000000018</v>
      </c>
      <c r="AB92" s="2">
        <f>SUMIFS(TB!AH:AH,TB!$J:$J,$C92)</f>
        <v>7.7607299999999997</v>
      </c>
      <c r="AC92" s="2">
        <f>SUMIFS(TB!AI:AI,TB!$J:$J,$C92)</f>
        <v>0.11554</v>
      </c>
      <c r="AD92" s="2">
        <f>SUMIFS(TB!AJ:AJ,TB!$J:$J,$C92)</f>
        <v>0.49999999999999994</v>
      </c>
      <c r="AE92" s="2">
        <f>SUMIFS(TB!AK:AK,TB!$J:$J,$C92)</f>
        <v>6.7599999999999908E-3</v>
      </c>
      <c r="AF92" s="2">
        <f>SUMIFS(TB!AL:AL,TB!$J:$J,$C92)</f>
        <v>0.11891000000000009</v>
      </c>
      <c r="AG92" s="2">
        <f>SUMIFS(TB!AM:AM,TB!$J:$J,$C92)</f>
        <v>0.15795999999999993</v>
      </c>
      <c r="AH92" s="2">
        <f>SUMIFS(TB!AN:AN,TB!$J:$J,$C92)</f>
        <v>0.24848000000000015</v>
      </c>
      <c r="AI92" s="2">
        <f>SUMIFS(TB!AO:AO,TB!$J:$J,$C92)</f>
        <v>0</v>
      </c>
      <c r="AJ92" s="2"/>
      <c r="AK92" s="2">
        <f>SUM(E92:P92)</f>
        <v>8.5297299999999989</v>
      </c>
      <c r="AL92" s="2">
        <f>SUM(Q92:AB92)</f>
        <v>9.4526299999999992</v>
      </c>
      <c r="AM92" s="2">
        <f>SUM(X92:AI92)</f>
        <v>9.8048899999999986</v>
      </c>
      <c r="AN92" s="2"/>
      <c r="AO92" s="5">
        <f>IFERROR(AK92/AK$15%,0)</f>
        <v>0.11153733174590506</v>
      </c>
      <c r="AP92" s="5">
        <f>IFERROR(AL92/AL$15%,0)</f>
        <v>0.13944500656371636</v>
      </c>
      <c r="AQ92" s="5">
        <f>IFERROR(AM92/AM$15%,0)</f>
        <v>0.13351949996077164</v>
      </c>
    </row>
    <row r="93" spans="3:43" ht="11.25" hidden="1" customHeight="1" outlineLevel="1" x14ac:dyDescent="0.2">
      <c r="C93" t="s">
        <v>262</v>
      </c>
      <c r="D93" s="4"/>
      <c r="E93" s="2">
        <f>SUMIFS(TB!K:K,TB!$J:$J,$C93)</f>
        <v>3.3713899999999999</v>
      </c>
      <c r="F93" s="2">
        <f>SUMIFS(TB!L:L,TB!$J:$J,$C93)</f>
        <v>0.70459999999999989</v>
      </c>
      <c r="G93" s="2">
        <f>SUMIFS(TB!M:M,TB!$J:$J,$C93)</f>
        <v>5.0204500000000003</v>
      </c>
      <c r="H93" s="2">
        <f>SUMIFS(TB!N:N,TB!$J:$J,$C93)</f>
        <v>0</v>
      </c>
      <c r="I93" s="2">
        <f>SUMIFS(TB!O:O,TB!$J:$J,$C93)</f>
        <v>0</v>
      </c>
      <c r="J93" s="2">
        <f>SUMIFS(TB!P:P,TB!$J:$J,$C93)</f>
        <v>0</v>
      </c>
      <c r="K93" s="2">
        <f>SUMIFS(TB!Q:Q,TB!$J:$J,$C93)</f>
        <v>0</v>
      </c>
      <c r="L93" s="2">
        <f>SUMIFS(TB!R:R,TB!$J:$J,$C93)</f>
        <v>0</v>
      </c>
      <c r="M93" s="2">
        <f>SUMIFS(TB!S:S,TB!$J:$J,$C93)</f>
        <v>0</v>
      </c>
      <c r="N93" s="2">
        <f>SUMIFS(TB!T:T,TB!$J:$J,$C93)</f>
        <v>0.10793999999999869</v>
      </c>
      <c r="O93" s="2">
        <f>SUMIFS(TB!U:U,TB!$J:$J,$C93)</f>
        <v>0</v>
      </c>
      <c r="P93" s="2">
        <f>SUMIFS(TB!V:V,TB!$J:$J,$C93)</f>
        <v>0</v>
      </c>
      <c r="Q93" s="2">
        <f>SUMIFS(TB!W:W,TB!$J:$J,$C93)</f>
        <v>2.74396</v>
      </c>
      <c r="R93" s="2">
        <f>SUMIFS(TB!X:X,TB!$J:$J,$C93)</f>
        <v>3.22105</v>
      </c>
      <c r="S93" s="2">
        <f>SUMIFS(TB!Y:Y,TB!$J:$J,$C93)</f>
        <v>0</v>
      </c>
      <c r="T93" s="2">
        <f>SUMIFS(TB!Z:Z,TB!$J:$J,$C93)</f>
        <v>0</v>
      </c>
      <c r="U93" s="2">
        <f>SUMIFS(TB!AA:AA,TB!$J:$J,$C93)</f>
        <v>0</v>
      </c>
      <c r="V93" s="2">
        <f>SUMIFS(TB!AB:AB,TB!$J:$J,$C93)</f>
        <v>4.7609999999999673E-2</v>
      </c>
      <c r="W93" s="2">
        <f>SUMIFS(TB!AC:AC,TB!$J:$J,$C93)</f>
        <v>0</v>
      </c>
      <c r="X93" s="2">
        <f>SUMIFS(TB!AD:AD,TB!$J:$J,$C93)</f>
        <v>0</v>
      </c>
      <c r="Y93" s="2">
        <f>SUMIFS(TB!AE:AE,TB!$J:$J,$C93)</f>
        <v>0</v>
      </c>
      <c r="Z93" s="2">
        <f>SUMIFS(TB!AF:AF,TB!$J:$J,$C93)</f>
        <v>0</v>
      </c>
      <c r="AA93" s="2">
        <f>SUMIFS(TB!AG:AG,TB!$J:$J,$C93)</f>
        <v>0</v>
      </c>
      <c r="AB93" s="2">
        <f>SUMIFS(TB!AH:AH,TB!$J:$J,$C93)</f>
        <v>0</v>
      </c>
      <c r="AC93" s="2">
        <f>SUMIFS(TB!AI:AI,TB!$J:$J,$C93)</f>
        <v>0</v>
      </c>
      <c r="AD93" s="2">
        <f>SUMIFS(TB!AJ:AJ,TB!$J:$J,$C93)</f>
        <v>0.56210000000000004</v>
      </c>
      <c r="AE93" s="2">
        <f>SUMIFS(TB!AK:AK,TB!$J:$J,$C93)</f>
        <v>4.9635299999999996</v>
      </c>
      <c r="AF93" s="2">
        <f>SUMIFS(TB!AL:AL,TB!$J:$J,$C93)</f>
        <v>0</v>
      </c>
      <c r="AG93" s="2">
        <f>SUMIFS(TB!AM:AM,TB!$J:$J,$C93)</f>
        <v>0</v>
      </c>
      <c r="AH93" s="2">
        <f>SUMIFS(TB!AN:AN,TB!$J:$J,$C93)</f>
        <v>0</v>
      </c>
      <c r="AI93" s="2">
        <f>SUMIFS(TB!AO:AO,TB!$J:$J,$C93)</f>
        <v>0</v>
      </c>
      <c r="AJ93" s="2"/>
      <c r="AK93" s="2">
        <f>SUM(E93:P93)</f>
        <v>9.2043800000000005</v>
      </c>
      <c r="AL93" s="2">
        <f>SUM(Q93:AB93)</f>
        <v>6.0126199999999992</v>
      </c>
      <c r="AM93" s="2">
        <f>SUM(X93:AI93)</f>
        <v>5.5256299999999996</v>
      </c>
      <c r="AN93" s="2"/>
      <c r="AO93" s="5">
        <f>IFERROR(AK93/AK$15%,0)</f>
        <v>0.12035925938750391</v>
      </c>
      <c r="AP93" s="5">
        <f>IFERROR(AL93/AL$15%,0)</f>
        <v>8.8698048624047718E-2</v>
      </c>
      <c r="AQ93" s="5">
        <f>IFERROR(AM93/AM$15%,0)</f>
        <v>7.5246061360019198E-2</v>
      </c>
    </row>
    <row r="94" spans="3:43" ht="11.25" hidden="1" customHeight="1" outlineLevel="1" x14ac:dyDescent="0.2">
      <c r="C94" t="s">
        <v>261</v>
      </c>
      <c r="D94" s="4"/>
      <c r="E94" s="2">
        <f>SUMIFS(TB!K:K,TB!$J:$J,$C94)</f>
        <v>0</v>
      </c>
      <c r="F94" s="2">
        <f>SUMIFS(TB!L:L,TB!$J:$J,$C94)</f>
        <v>0</v>
      </c>
      <c r="G94" s="2">
        <f>SUMIFS(TB!M:M,TB!$J:$J,$C94)</f>
        <v>0.03</v>
      </c>
      <c r="H94" s="2">
        <f>SUMIFS(TB!N:N,TB!$J:$J,$C94)</f>
        <v>0.11711000000000002</v>
      </c>
      <c r="I94" s="2">
        <f>SUMIFS(TB!O:O,TB!$J:$J,$C94)</f>
        <v>0</v>
      </c>
      <c r="J94" s="2">
        <f>SUMIFS(TB!P:P,TB!$J:$J,$C94)</f>
        <v>0</v>
      </c>
      <c r="K94" s="2">
        <f>SUMIFS(TB!Q:Q,TB!$J:$J,$C94)</f>
        <v>7.0229999999999987E-2</v>
      </c>
      <c r="L94" s="2">
        <f>SUMIFS(TB!R:R,TB!$J:$J,$C94)</f>
        <v>0</v>
      </c>
      <c r="M94" s="2">
        <f>SUMIFS(TB!S:S,TB!$J:$J,$C94)</f>
        <v>0</v>
      </c>
      <c r="N94" s="2">
        <f>SUMIFS(TB!T:T,TB!$J:$J,$C94)</f>
        <v>5.5070000000000022E-2</v>
      </c>
      <c r="O94" s="2">
        <f>SUMIFS(TB!U:U,TB!$J:$J,$C94)</f>
        <v>3.5359999999999954E-2</v>
      </c>
      <c r="P94" s="2">
        <f>SUMIFS(TB!V:V,TB!$J:$J,$C94)</f>
        <v>3.5360000000000016E-2</v>
      </c>
      <c r="Q94" s="2">
        <f>SUMIFS(TB!W:W,TB!$J:$J,$C94)</f>
        <v>2.0559999999999998E-2</v>
      </c>
      <c r="R94" s="2">
        <f>SUMIFS(TB!X:X,TB!$J:$J,$C94)</f>
        <v>0</v>
      </c>
      <c r="S94" s="2">
        <f>SUMIFS(TB!Y:Y,TB!$J:$J,$C94)</f>
        <v>0</v>
      </c>
      <c r="T94" s="2">
        <f>SUMIFS(TB!Z:Z,TB!$J:$J,$C94)</f>
        <v>1.0160000000000001E-2</v>
      </c>
      <c r="U94" s="2">
        <f>SUMIFS(TB!AA:AA,TB!$J:$J,$C94)</f>
        <v>6.6200000000000044E-3</v>
      </c>
      <c r="V94" s="2">
        <f>SUMIFS(TB!AB:AB,TB!$J:$J,$C94)</f>
        <v>0</v>
      </c>
      <c r="W94" s="2">
        <f>SUMIFS(TB!AC:AC,TB!$J:$J,$C94)</f>
        <v>1.4019999999999996E-2</v>
      </c>
      <c r="X94" s="2">
        <f>SUMIFS(TB!AD:AD,TB!$J:$J,$C94)</f>
        <v>0</v>
      </c>
      <c r="Y94" s="2">
        <f>SUMIFS(TB!AE:AE,TB!$J:$J,$C94)</f>
        <v>7.2309999999999999E-2</v>
      </c>
      <c r="Z94" s="2">
        <f>SUMIFS(TB!AF:AF,TB!$J:$J,$C94)</f>
        <v>0</v>
      </c>
      <c r="AA94" s="2">
        <f>SUMIFS(TB!AG:AG,TB!$J:$J,$C94)</f>
        <v>3.4749999999999989E-2</v>
      </c>
      <c r="AB94" s="2">
        <f>SUMIFS(TB!AH:AH,TB!$J:$J,$C94)</f>
        <v>2.1890000000000014E-2</v>
      </c>
      <c r="AC94" s="2">
        <f>SUMIFS(TB!AI:AI,TB!$J:$J,$C94)</f>
        <v>1.8510000000000002E-2</v>
      </c>
      <c r="AD94" s="2">
        <f>SUMIFS(TB!AJ:AJ,TB!$J:$J,$C94)</f>
        <v>5.5649999999999991E-2</v>
      </c>
      <c r="AE94" s="2">
        <f>SUMIFS(TB!AK:AK,TB!$J:$J,$C94)</f>
        <v>7.3170000000000013E-2</v>
      </c>
      <c r="AF94" s="2">
        <f>SUMIFS(TB!AL:AL,TB!$J:$J,$C94)</f>
        <v>0</v>
      </c>
      <c r="AG94" s="2">
        <f>SUMIFS(TB!AM:AM,TB!$J:$J,$C94)</f>
        <v>2.2060900000000001</v>
      </c>
      <c r="AH94" s="2">
        <f>SUMIFS(TB!AN:AN,TB!$J:$J,$C94)</f>
        <v>1.09948</v>
      </c>
      <c r="AI94" s="2">
        <f>SUMIFS(TB!AO:AO,TB!$J:$J,$C94)</f>
        <v>1.2454699999999999</v>
      </c>
      <c r="AJ94" s="2"/>
      <c r="AK94" s="2">
        <f>SUM(E94:P94)</f>
        <v>0.34312999999999999</v>
      </c>
      <c r="AL94" s="2">
        <f>SUM(Q94:AB94)</f>
        <v>0.18031000000000003</v>
      </c>
      <c r="AM94" s="2">
        <f>SUM(X94:AI94)</f>
        <v>4.8273200000000003</v>
      </c>
      <c r="AN94" s="2"/>
      <c r="AO94" s="5">
        <f>IFERROR(AK94/AK$15%,0)</f>
        <v>4.4868717581884078E-3</v>
      </c>
      <c r="AP94" s="5">
        <f>IFERROR(AL94/AL$15%,0)</f>
        <v>2.6599294729089894E-3</v>
      </c>
      <c r="AQ94" s="5">
        <f>IFERROR(AM94/AM$15%,0)</f>
        <v>6.573672448651971E-2</v>
      </c>
    </row>
    <row r="95" spans="3:43" ht="11.25" hidden="1" customHeight="1" outlineLevel="1" x14ac:dyDescent="0.2">
      <c r="C95" t="s">
        <v>260</v>
      </c>
      <c r="D95" s="4"/>
      <c r="E95" s="2">
        <f>SUMIFS(TB!K:K,TB!$J:$J,$C95)</f>
        <v>0</v>
      </c>
      <c r="F95" s="2">
        <f>SUMIFS(TB!L:L,TB!$J:$J,$C95)</f>
        <v>0</v>
      </c>
      <c r="G95" s="2">
        <f>SUMIFS(TB!M:M,TB!$J:$J,$C95)</f>
        <v>4</v>
      </c>
      <c r="H95" s="2">
        <f>SUMIFS(TB!N:N,TB!$J:$J,$C95)</f>
        <v>0</v>
      </c>
      <c r="I95" s="2">
        <f>SUMIFS(TB!O:O,TB!$J:$J,$C95)</f>
        <v>0</v>
      </c>
      <c r="J95" s="2">
        <f>SUMIFS(TB!P:P,TB!$J:$J,$C95)</f>
        <v>0</v>
      </c>
      <c r="K95" s="2">
        <f>SUMIFS(TB!Q:Q,TB!$J:$J,$C95)</f>
        <v>4</v>
      </c>
      <c r="L95" s="2">
        <f>SUMIFS(TB!R:R,TB!$J:$J,$C95)</f>
        <v>0</v>
      </c>
      <c r="M95" s="2">
        <f>SUMIFS(TB!S:S,TB!$J:$J,$C95)</f>
        <v>0</v>
      </c>
      <c r="N95" s="2">
        <f>SUMIFS(TB!T:T,TB!$J:$J,$C95)</f>
        <v>4</v>
      </c>
      <c r="O95" s="2">
        <f>SUMIFS(TB!U:U,TB!$J:$J,$C95)</f>
        <v>0</v>
      </c>
      <c r="P95" s="2">
        <f>SUMIFS(TB!V:V,TB!$J:$J,$C95)</f>
        <v>0</v>
      </c>
      <c r="Q95" s="2">
        <f>SUMIFS(TB!W:W,TB!$J:$J,$C95)</f>
        <v>8</v>
      </c>
      <c r="R95" s="2">
        <f>SUMIFS(TB!X:X,TB!$J:$J,$C95)</f>
        <v>0</v>
      </c>
      <c r="S95" s="2">
        <f>SUMIFS(TB!Y:Y,TB!$J:$J,$C95)</f>
        <v>4</v>
      </c>
      <c r="T95" s="2">
        <f>SUMIFS(TB!Z:Z,TB!$J:$J,$C95)</f>
        <v>0</v>
      </c>
      <c r="U95" s="2">
        <f>SUMIFS(TB!AA:AA,TB!$J:$J,$C95)</f>
        <v>0</v>
      </c>
      <c r="V95" s="2">
        <f>SUMIFS(TB!AB:AB,TB!$J:$J,$C95)</f>
        <v>4</v>
      </c>
      <c r="W95" s="2">
        <f>SUMIFS(TB!AC:AC,TB!$J:$J,$C95)</f>
        <v>0</v>
      </c>
      <c r="X95" s="2">
        <f>SUMIFS(TB!AD:AD,TB!$J:$J,$C95)</f>
        <v>0</v>
      </c>
      <c r="Y95" s="2">
        <f>SUMIFS(TB!AE:AE,TB!$J:$J,$C95)</f>
        <v>4</v>
      </c>
      <c r="Z95" s="2">
        <f>SUMIFS(TB!AF:AF,TB!$J:$J,$C95)</f>
        <v>0</v>
      </c>
      <c r="AA95" s="2">
        <f>SUMIFS(TB!AG:AG,TB!$J:$J,$C95)</f>
        <v>0</v>
      </c>
      <c r="AB95" s="2">
        <f>SUMIFS(TB!AH:AH,TB!$J:$J,$C95)</f>
        <v>0</v>
      </c>
      <c r="AC95" s="2">
        <f>SUMIFS(TB!AI:AI,TB!$J:$J,$C95)</f>
        <v>0</v>
      </c>
      <c r="AD95" s="2">
        <f>SUMIFS(TB!AJ:AJ,TB!$J:$J,$C95)</f>
        <v>0</v>
      </c>
      <c r="AE95" s="2">
        <f>SUMIFS(TB!AK:AK,TB!$J:$J,$C95)</f>
        <v>0</v>
      </c>
      <c r="AF95" s="2">
        <f>SUMIFS(TB!AL:AL,TB!$J:$J,$C95)</f>
        <v>0</v>
      </c>
      <c r="AG95" s="2">
        <f>SUMIFS(TB!AM:AM,TB!$J:$J,$C95)</f>
        <v>0</v>
      </c>
      <c r="AH95" s="2">
        <f>SUMIFS(TB!AN:AN,TB!$J:$J,$C95)</f>
        <v>0</v>
      </c>
      <c r="AI95" s="2">
        <f>SUMIFS(TB!AO:AO,TB!$J:$J,$C95)</f>
        <v>0</v>
      </c>
      <c r="AJ95" s="2"/>
      <c r="AK95" s="2">
        <f>SUM(E95:P95)</f>
        <v>12</v>
      </c>
      <c r="AL95" s="2">
        <f>SUM(Q95:AB95)</f>
        <v>20</v>
      </c>
      <c r="AM95" s="2">
        <f>SUM(X95:AI95)</f>
        <v>4</v>
      </c>
      <c r="AN95" s="2"/>
      <c r="AO95" s="5">
        <f>IFERROR(AK95/AK$15%,0)</f>
        <v>0.15691563284545476</v>
      </c>
      <c r="AP95" s="5">
        <f>IFERROR(AL95/AL$15%,0)</f>
        <v>0.29503959546436576</v>
      </c>
      <c r="AQ95" s="5">
        <f>IFERROR(AM95/AM$15%,0)</f>
        <v>5.4470575380558744E-2</v>
      </c>
    </row>
    <row r="96" spans="3:43" ht="11.25" hidden="1" customHeight="1" outlineLevel="1" x14ac:dyDescent="0.2">
      <c r="C96" t="s">
        <v>259</v>
      </c>
      <c r="D96" s="4"/>
      <c r="E96" s="2">
        <f>SUMIFS(TB!K:K,TB!$J:$J,$C96)</f>
        <v>0.31760000000000005</v>
      </c>
      <c r="F96" s="2">
        <f>SUMIFS(TB!L:L,TB!$J:$J,$C96)</f>
        <v>0.27900000000000003</v>
      </c>
      <c r="G96" s="2">
        <f>SUMIFS(TB!M:M,TB!$J:$J,$C96)</f>
        <v>0.27900000000000003</v>
      </c>
      <c r="H96" s="2">
        <f>SUMIFS(TB!N:N,TB!$J:$J,$C96)</f>
        <v>0.27899999999999986</v>
      </c>
      <c r="I96" s="2">
        <f>SUMIFS(TB!O:O,TB!$J:$J,$C96)</f>
        <v>0.27900000000000003</v>
      </c>
      <c r="J96" s="2">
        <f>SUMIFS(TB!P:P,TB!$J:$J,$C96)</f>
        <v>0.28499999999999998</v>
      </c>
      <c r="K96" s="2">
        <f>SUMIFS(TB!Q:Q,TB!$J:$J,$C96)</f>
        <v>0.34825</v>
      </c>
      <c r="L96" s="2">
        <f>SUMIFS(TB!R:R,TB!$J:$J,$C96)</f>
        <v>0.28199999999999997</v>
      </c>
      <c r="M96" s="2">
        <f>SUMIFS(TB!S:S,TB!$J:$J,$C96)</f>
        <v>0.28199999999999997</v>
      </c>
      <c r="N96" s="2">
        <f>SUMIFS(TB!T:T,TB!$J:$J,$C96)</f>
        <v>0.30615000000000009</v>
      </c>
      <c r="O96" s="2">
        <f>SUMIFS(TB!U:U,TB!$J:$J,$C96)</f>
        <v>0.28199999999999997</v>
      </c>
      <c r="P96" s="2">
        <f>SUMIFS(TB!V:V,TB!$J:$J,$C96)</f>
        <v>0.28199999999999997</v>
      </c>
      <c r="Q96" s="2">
        <f>SUMIFS(TB!W:W,TB!$J:$J,$C96)</f>
        <v>0.28199999999999997</v>
      </c>
      <c r="R96" s="2">
        <f>SUMIFS(TB!X:X,TB!$J:$J,$C96)</f>
        <v>0.32251999999999997</v>
      </c>
      <c r="S96" s="2">
        <f>SUMIFS(TB!Y:Y,TB!$J:$J,$C96)</f>
        <v>0.28199999999999997</v>
      </c>
      <c r="T96" s="2">
        <f>SUMIFS(TB!Z:Z,TB!$J:$J,$C96)</f>
        <v>0.31768000000000007</v>
      </c>
      <c r="U96" s="2">
        <f>SUMIFS(TB!AA:AA,TB!$J:$J,$C96)</f>
        <v>0.28199999999999997</v>
      </c>
      <c r="V96" s="2">
        <f>SUMIFS(TB!AB:AB,TB!$J:$J,$C96)</f>
        <v>0.28799999999999998</v>
      </c>
      <c r="W96" s="2">
        <f>SUMIFS(TB!AC:AC,TB!$J:$J,$C96)</f>
        <v>0.28499999999999975</v>
      </c>
      <c r="X96" s="2">
        <f>SUMIFS(TB!AD:AD,TB!$J:$J,$C96)</f>
        <v>0.33340000000000009</v>
      </c>
      <c r="Y96" s="2">
        <f>SUMIFS(TB!AE:AE,TB!$J:$J,$C96)</f>
        <v>0.28499999999999998</v>
      </c>
      <c r="Z96" s="2">
        <f>SUMIFS(TB!AF:AF,TB!$J:$J,$C96)</f>
        <v>0.28499999999999998</v>
      </c>
      <c r="AA96" s="2">
        <f>SUMIFS(TB!AG:AG,TB!$J:$J,$C96)</f>
        <v>0.28499999999999998</v>
      </c>
      <c r="AB96" s="2">
        <f>SUMIFS(TB!AH:AH,TB!$J:$J,$C96)</f>
        <v>0.33255999999999997</v>
      </c>
      <c r="AC96" s="2">
        <f>SUMIFS(TB!AI:AI,TB!$J:$J,$C96)</f>
        <v>0.28499999999999998</v>
      </c>
      <c r="AD96" s="2">
        <f>SUMIFS(TB!AJ:AJ,TB!$J:$J,$C96)</f>
        <v>0.28499999999999998</v>
      </c>
      <c r="AE96" s="2">
        <f>SUMIFS(TB!AK:AK,TB!$J:$J,$C96)</f>
        <v>0.28499999999999998</v>
      </c>
      <c r="AF96" s="2">
        <f>SUMIFS(TB!AL:AL,TB!$J:$J,$C96)</f>
        <v>0.28499999999999998</v>
      </c>
      <c r="AG96" s="2">
        <f>SUMIFS(TB!AM:AM,TB!$J:$J,$C96)</f>
        <v>0.32229999999999998</v>
      </c>
      <c r="AH96" s="2">
        <f>SUMIFS(TB!AN:AN,TB!$J:$J,$C96)</f>
        <v>0.28529999999999994</v>
      </c>
      <c r="AI96" s="2">
        <f>SUMIFS(TB!AO:AO,TB!$J:$J,$C96)</f>
        <v>0.307</v>
      </c>
      <c r="AJ96" s="2"/>
      <c r="AK96" s="2">
        <f>SUM(E96:P96)</f>
        <v>3.5009999999999999</v>
      </c>
      <c r="AL96" s="2">
        <f>SUM(Q96:AB96)</f>
        <v>3.5801600000000007</v>
      </c>
      <c r="AM96" s="2">
        <f>SUM(X96:AI96)</f>
        <v>3.5755599999999998</v>
      </c>
      <c r="AN96" s="2"/>
      <c r="AO96" s="5">
        <f>IFERROR(AK96/AK$15%,0)</f>
        <v>4.578013588266143E-2</v>
      </c>
      <c r="AP96" s="5">
        <f>IFERROR(AL96/AL$15%,0)</f>
        <v>5.2814447904885188E-2</v>
      </c>
      <c r="AQ96" s="5">
        <f>IFERROR(AM96/AM$15%,0)</f>
        <v>4.8690702626927651E-2</v>
      </c>
    </row>
    <row r="97" spans="3:43" ht="11.25" hidden="1" customHeight="1" outlineLevel="1" x14ac:dyDescent="0.2">
      <c r="C97" t="s">
        <v>258</v>
      </c>
      <c r="D97" s="4"/>
      <c r="E97" s="2">
        <f>SUMIFS(TB!K:K,TB!$J:$J,$C97)</f>
        <v>9.6659999999999996E-2</v>
      </c>
      <c r="F97" s="2">
        <f>SUMIFS(TB!L:L,TB!$J:$J,$C97)</f>
        <v>0.82184999999999997</v>
      </c>
      <c r="G97" s="2">
        <f>SUMIFS(TB!M:M,TB!$J:$J,$C97)</f>
        <v>0</v>
      </c>
      <c r="H97" s="2">
        <f>SUMIFS(TB!N:N,TB!$J:$J,$C97)</f>
        <v>0</v>
      </c>
      <c r="I97" s="2">
        <f>SUMIFS(TB!O:O,TB!$J:$J,$C97)</f>
        <v>0.13782999999999992</v>
      </c>
      <c r="J97" s="2">
        <f>SUMIFS(TB!P:P,TB!$J:$J,$C97)</f>
        <v>0</v>
      </c>
      <c r="K97" s="2">
        <f>SUMIFS(TB!Q:Q,TB!$J:$J,$C97)</f>
        <v>0.14037000000000011</v>
      </c>
      <c r="L97" s="2">
        <f>SUMIFS(TB!R:R,TB!$J:$J,$C97)</f>
        <v>6.2730000000000022E-2</v>
      </c>
      <c r="M97" s="2">
        <f>SUMIFS(TB!S:S,TB!$J:$J,$C97)</f>
        <v>0.14883999999999992</v>
      </c>
      <c r="N97" s="2">
        <f>SUMIFS(TB!T:T,TB!$J:$J,$C97)</f>
        <v>0</v>
      </c>
      <c r="O97" s="2">
        <f>SUMIFS(TB!U:U,TB!$J:$J,$C97)</f>
        <v>0.63860000000000017</v>
      </c>
      <c r="P97" s="2">
        <f>SUMIFS(TB!V:V,TB!$J:$J,$C97)</f>
        <v>0</v>
      </c>
      <c r="Q97" s="2">
        <f>SUMIFS(TB!W:W,TB!$J:$J,$C97)</f>
        <v>0</v>
      </c>
      <c r="R97" s="2">
        <f>SUMIFS(TB!X:X,TB!$J:$J,$C97)</f>
        <v>0.33992</v>
      </c>
      <c r="S97" s="2">
        <f>SUMIFS(TB!Y:Y,TB!$J:$J,$C97)</f>
        <v>1.0852999999999999</v>
      </c>
      <c r="T97" s="2">
        <f>SUMIFS(TB!Z:Z,TB!$J:$J,$C97)</f>
        <v>0</v>
      </c>
      <c r="U97" s="2">
        <f>SUMIFS(TB!AA:AA,TB!$J:$J,$C97)</f>
        <v>1.1295400000000002</v>
      </c>
      <c r="V97" s="2">
        <f>SUMIFS(TB!AB:AB,TB!$J:$J,$C97)</f>
        <v>0</v>
      </c>
      <c r="W97" s="2">
        <f>SUMIFS(TB!AC:AC,TB!$J:$J,$C97)</f>
        <v>3.4000000000000002E-2</v>
      </c>
      <c r="X97" s="2">
        <f>SUMIFS(TB!AD:AD,TB!$J:$J,$C97)</f>
        <v>0.69199999999999995</v>
      </c>
      <c r="Y97" s="2">
        <f>SUMIFS(TB!AE:AE,TB!$J:$J,$C97)</f>
        <v>0</v>
      </c>
      <c r="Z97" s="2">
        <f>SUMIFS(TB!AF:AF,TB!$J:$J,$C97)</f>
        <v>0.214</v>
      </c>
      <c r="AA97" s="2">
        <f>SUMIFS(TB!AG:AG,TB!$J:$J,$C97)</f>
        <v>4.4999999999999998E-2</v>
      </c>
      <c r="AB97" s="2">
        <f>SUMIFS(TB!AH:AH,TB!$J:$J,$C97)</f>
        <v>0.19404999999999972</v>
      </c>
      <c r="AC97" s="2">
        <f>SUMIFS(TB!AI:AI,TB!$J:$J,$C97)</f>
        <v>0</v>
      </c>
      <c r="AD97" s="2">
        <f>SUMIFS(TB!AJ:AJ,TB!$J:$J,$C97)</f>
        <v>1.4E-2</v>
      </c>
      <c r="AE97" s="2">
        <f>SUMIFS(TB!AK:AK,TB!$J:$J,$C97)</f>
        <v>0.35055999999999998</v>
      </c>
      <c r="AF97" s="2">
        <f>SUMIFS(TB!AL:AL,TB!$J:$J,$C97)</f>
        <v>-0.25067</v>
      </c>
      <c r="AG97" s="2">
        <f>SUMIFS(TB!AM:AM,TB!$J:$J,$C97)</f>
        <v>2.2532400000000004</v>
      </c>
      <c r="AH97" s="2">
        <f>SUMIFS(TB!AN:AN,TB!$J:$J,$C97)</f>
        <v>0.01</v>
      </c>
      <c r="AI97" s="2">
        <f>SUMIFS(TB!AO:AO,TB!$J:$J,$C97)</f>
        <v>0.03</v>
      </c>
      <c r="AJ97" s="2"/>
      <c r="AK97" s="2">
        <f>SUM(E97:P97)</f>
        <v>2.0468799999999998</v>
      </c>
      <c r="AL97" s="2">
        <f>SUM(Q97:AB97)</f>
        <v>3.7338099999999996</v>
      </c>
      <c r="AM97" s="2">
        <f>SUM(X97:AI97)</f>
        <v>3.5521799999999994</v>
      </c>
      <c r="AN97" s="2"/>
      <c r="AO97" s="5">
        <f>IFERROR(AK97/AK$15%,0)</f>
        <v>2.67656225465587E-2</v>
      </c>
      <c r="AP97" s="5">
        <f>IFERROR(AL97/AL$15%,0)</f>
        <v>5.5081089597040167E-2</v>
      </c>
      <c r="AQ97" s="5">
        <f>IFERROR(AM97/AM$15%,0)</f>
        <v>4.8372322113828282E-2</v>
      </c>
    </row>
    <row r="98" spans="3:43" ht="11.25" hidden="1" customHeight="1" outlineLevel="1" x14ac:dyDescent="0.2">
      <c r="C98" t="s">
        <v>257</v>
      </c>
      <c r="D98" s="4"/>
      <c r="E98" s="2">
        <f>SUMIFS(TB!K:K,TB!$J:$J,$C98)</f>
        <v>8</v>
      </c>
      <c r="F98" s="2">
        <f>SUMIFS(TB!L:L,TB!$J:$J,$C98)</f>
        <v>0</v>
      </c>
      <c r="G98" s="2">
        <f>SUMIFS(TB!M:M,TB!$J:$J,$C98)</f>
        <v>0</v>
      </c>
      <c r="H98" s="2">
        <f>SUMIFS(TB!N:N,TB!$J:$J,$C98)</f>
        <v>0</v>
      </c>
      <c r="I98" s="2">
        <f>SUMIFS(TB!O:O,TB!$J:$J,$C98)</f>
        <v>0</v>
      </c>
      <c r="J98" s="2">
        <f>SUMIFS(TB!P:P,TB!$J:$J,$C98)</f>
        <v>0</v>
      </c>
      <c r="K98" s="2">
        <f>SUMIFS(TB!Q:Q,TB!$J:$J,$C98)</f>
        <v>0</v>
      </c>
      <c r="L98" s="2">
        <f>SUMIFS(TB!R:R,TB!$J:$J,$C98)</f>
        <v>0.75</v>
      </c>
      <c r="M98" s="2">
        <f>SUMIFS(TB!S:S,TB!$J:$J,$C98)</f>
        <v>0</v>
      </c>
      <c r="N98" s="2">
        <f>SUMIFS(TB!T:T,TB!$J:$J,$C98)</f>
        <v>0.21299999999999999</v>
      </c>
      <c r="O98" s="2">
        <f>SUMIFS(TB!U:U,TB!$J:$J,$C98)</f>
        <v>0.69499999999999995</v>
      </c>
      <c r="P98" s="2">
        <f>SUMIFS(TB!V:V,TB!$J:$J,$C98)</f>
        <v>0</v>
      </c>
      <c r="Q98" s="2">
        <f>SUMIFS(TB!W:W,TB!$J:$J,$C98)</f>
        <v>0</v>
      </c>
      <c r="R98" s="2">
        <f>SUMIFS(TB!X:X,TB!$J:$J,$C98)</f>
        <v>0</v>
      </c>
      <c r="S98" s="2">
        <f>SUMIFS(TB!Y:Y,TB!$J:$J,$C98)</f>
        <v>0</v>
      </c>
      <c r="T98" s="2">
        <f>SUMIFS(TB!Z:Z,TB!$J:$J,$C98)</f>
        <v>0</v>
      </c>
      <c r="U98" s="2">
        <f>SUMIFS(TB!AA:AA,TB!$J:$J,$C98)</f>
        <v>0</v>
      </c>
      <c r="V98" s="2">
        <f>SUMIFS(TB!AB:AB,TB!$J:$J,$C98)</f>
        <v>0</v>
      </c>
      <c r="W98" s="2">
        <f>SUMIFS(TB!AC:AC,TB!$J:$J,$C98)</f>
        <v>0</v>
      </c>
      <c r="X98" s="2">
        <f>SUMIFS(TB!AD:AD,TB!$J:$J,$C98)</f>
        <v>0.75</v>
      </c>
      <c r="Y98" s="2">
        <f>SUMIFS(TB!AE:AE,TB!$J:$J,$C98)</f>
        <v>0</v>
      </c>
      <c r="Z98" s="2">
        <f>SUMIFS(TB!AF:AF,TB!$J:$J,$C98)</f>
        <v>0</v>
      </c>
      <c r="AA98" s="2">
        <f>SUMIFS(TB!AG:AG,TB!$J:$J,$C98)</f>
        <v>0.69499999999999995</v>
      </c>
      <c r="AB98" s="2">
        <f>SUMIFS(TB!AH:AH,TB!$J:$J,$C98)</f>
        <v>0</v>
      </c>
      <c r="AC98" s="2">
        <f>SUMIFS(TB!AI:AI,TB!$J:$J,$C98)</f>
        <v>0</v>
      </c>
      <c r="AD98" s="2">
        <f>SUMIFS(TB!AJ:AJ,TB!$J:$J,$C98)</f>
        <v>0</v>
      </c>
      <c r="AE98" s="2">
        <f>SUMIFS(TB!AK:AK,TB!$J:$J,$C98)</f>
        <v>8.5000000000000006E-2</v>
      </c>
      <c r="AF98" s="2">
        <f>SUMIFS(TB!AL:AL,TB!$J:$J,$C98)</f>
        <v>0</v>
      </c>
      <c r="AG98" s="2">
        <f>SUMIFS(TB!AM:AM,TB!$J:$J,$C98)</f>
        <v>0</v>
      </c>
      <c r="AH98" s="2">
        <f>SUMIFS(TB!AN:AN,TB!$J:$J,$C98)</f>
        <v>0</v>
      </c>
      <c r="AI98" s="2">
        <f>SUMIFS(TB!AO:AO,TB!$J:$J,$C98)</f>
        <v>0.75</v>
      </c>
      <c r="AJ98" s="2"/>
      <c r="AK98" s="2">
        <f>SUM(E98:P98)</f>
        <v>9.6579999999999995</v>
      </c>
      <c r="AL98" s="2">
        <f>SUM(Q98:AB98)</f>
        <v>1.4449999999999998</v>
      </c>
      <c r="AM98" s="2">
        <f>SUM(X98:AI98)</f>
        <v>2.2799999999999998</v>
      </c>
      <c r="AN98" s="2"/>
      <c r="AO98" s="5">
        <f>IFERROR(AK98/AK$15%,0)</f>
        <v>0.12629093183511683</v>
      </c>
      <c r="AP98" s="5">
        <f>IFERROR(AL98/AL$15%,0)</f>
        <v>2.1316610772300421E-2</v>
      </c>
      <c r="AQ98" s="5">
        <f>IFERROR(AM98/AM$15%,0)</f>
        <v>3.104822796691848E-2</v>
      </c>
    </row>
    <row r="99" spans="3:43" ht="11.25" hidden="1" customHeight="1" outlineLevel="1" x14ac:dyDescent="0.2">
      <c r="C99" t="s">
        <v>256</v>
      </c>
      <c r="D99" s="4"/>
      <c r="E99" s="2">
        <f>SUMIFS(TB!K:K,TB!$J:$J,$C99)</f>
        <v>0</v>
      </c>
      <c r="F99" s="2">
        <f>SUMIFS(TB!L:L,TB!$J:$J,$C99)</f>
        <v>2.5000000000000001E-2</v>
      </c>
      <c r="G99" s="2">
        <f>SUMIFS(TB!M:M,TB!$J:$J,$C99)</f>
        <v>2.5000000000000001E-2</v>
      </c>
      <c r="H99" s="2">
        <f>SUMIFS(TB!N:N,TB!$J:$J,$C99)</f>
        <v>0</v>
      </c>
      <c r="I99" s="2">
        <f>SUMIFS(TB!O:O,TB!$J:$J,$C99)</f>
        <v>2.5000000000000001E-2</v>
      </c>
      <c r="J99" s="2">
        <f>SUMIFS(TB!P:P,TB!$J:$J,$C99)</f>
        <v>0.24287999999999998</v>
      </c>
      <c r="K99" s="2">
        <f>SUMIFS(TB!Q:Q,TB!$J:$J,$C99)</f>
        <v>0.5</v>
      </c>
      <c r="L99" s="2">
        <f>SUMIFS(TB!R:R,TB!$J:$J,$C99)</f>
        <v>0</v>
      </c>
      <c r="M99" s="2">
        <f>SUMIFS(TB!S:S,TB!$J:$J,$C99)</f>
        <v>1.9915</v>
      </c>
      <c r="N99" s="2">
        <f>SUMIFS(TB!T:T,TB!$J:$J,$C99)</f>
        <v>0</v>
      </c>
      <c r="O99" s="2">
        <f>SUMIFS(TB!U:U,TB!$J:$J,$C99)</f>
        <v>0</v>
      </c>
      <c r="P99" s="2">
        <f>SUMIFS(TB!V:V,TB!$J:$J,$C99)</f>
        <v>0.1</v>
      </c>
      <c r="Q99" s="2">
        <f>SUMIFS(TB!W:W,TB!$J:$J,$C99)</f>
        <v>8.3989999999999995E-2</v>
      </c>
      <c r="R99" s="2">
        <f>SUMIFS(TB!X:X,TB!$J:$J,$C99)</f>
        <v>0</v>
      </c>
      <c r="S99" s="2">
        <f>SUMIFS(TB!Y:Y,TB!$J:$J,$C99)</f>
        <v>0</v>
      </c>
      <c r="T99" s="2">
        <f>SUMIFS(TB!Z:Z,TB!$J:$J,$C99)</f>
        <v>0</v>
      </c>
      <c r="U99" s="2">
        <f>SUMIFS(TB!AA:AA,TB!$J:$J,$C99)</f>
        <v>0</v>
      </c>
      <c r="V99" s="2">
        <f>SUMIFS(TB!AB:AB,TB!$J:$J,$C99)</f>
        <v>0</v>
      </c>
      <c r="W99" s="2">
        <f>SUMIFS(TB!AC:AC,TB!$J:$J,$C99)</f>
        <v>0</v>
      </c>
      <c r="X99" s="2">
        <f>SUMIFS(TB!AD:AD,TB!$J:$J,$C99)</f>
        <v>0</v>
      </c>
      <c r="Y99" s="2">
        <f>SUMIFS(TB!AE:AE,TB!$J:$J,$C99)</f>
        <v>1.6595</v>
      </c>
      <c r="Z99" s="2">
        <f>SUMIFS(TB!AF:AF,TB!$J:$J,$C99)</f>
        <v>0</v>
      </c>
      <c r="AA99" s="2">
        <f>SUMIFS(TB!AG:AG,TB!$J:$J,$C99)</f>
        <v>0</v>
      </c>
      <c r="AB99" s="2">
        <f>SUMIFS(TB!AH:AH,TB!$J:$J,$C99)</f>
        <v>0</v>
      </c>
      <c r="AC99" s="2">
        <f>SUMIFS(TB!AI:AI,TB!$J:$J,$C99)</f>
        <v>0</v>
      </c>
      <c r="AD99" s="2">
        <f>SUMIFS(TB!AJ:AJ,TB!$J:$J,$C99)</f>
        <v>0</v>
      </c>
      <c r="AE99" s="2">
        <f>SUMIFS(TB!AK:AK,TB!$J:$J,$C99)</f>
        <v>7.7620000000000008E-2</v>
      </c>
      <c r="AF99" s="2">
        <f>SUMIFS(TB!AL:AL,TB!$J:$J,$C99)</f>
        <v>7.4999999999999997E-2</v>
      </c>
      <c r="AG99" s="2">
        <f>SUMIFS(TB!AM:AM,TB!$J:$J,$C99)</f>
        <v>0</v>
      </c>
      <c r="AH99" s="2">
        <f>SUMIFS(TB!AN:AN,TB!$J:$J,$C99)</f>
        <v>0</v>
      </c>
      <c r="AI99" s="2">
        <f>SUMIFS(TB!AO:AO,TB!$J:$J,$C99)</f>
        <v>0</v>
      </c>
      <c r="AJ99" s="2"/>
      <c r="AK99" s="2">
        <f>SUM(E99:P99)</f>
        <v>2.9093800000000001</v>
      </c>
      <c r="AL99" s="2">
        <f>SUM(Q99:AB99)</f>
        <v>1.74349</v>
      </c>
      <c r="AM99" s="2">
        <f>SUM(X99:AI99)</f>
        <v>1.81212</v>
      </c>
      <c r="AN99" s="2"/>
      <c r="AO99" s="5">
        <f>IFERROR(AK99/AK$15%,0)</f>
        <v>3.8043933657325765E-2</v>
      </c>
      <c r="AP99" s="5">
        <f>IFERROR(AL99/AL$15%,0)</f>
        <v>2.5719929214808351E-2</v>
      </c>
      <c r="AQ99" s="5">
        <f>IFERROR(AM99/AM$15%,0)</f>
        <v>2.4676804764654527E-2</v>
      </c>
    </row>
    <row r="100" spans="3:43" ht="11.25" hidden="1" customHeight="1" outlineLevel="1" x14ac:dyDescent="0.2">
      <c r="C100" t="s">
        <v>255</v>
      </c>
      <c r="D100" s="4"/>
      <c r="E100" s="2">
        <f>SUMIFS(TB!K:K,TB!$J:$J,$C100)</f>
        <v>0.11718000000000001</v>
      </c>
      <c r="F100" s="2">
        <f>SUMIFS(TB!L:L,TB!$J:$J,$C100)</f>
        <v>6.1560000000000004E-2</v>
      </c>
      <c r="G100" s="2">
        <f>SUMIFS(TB!M:M,TB!$J:$J,$C100)</f>
        <v>5.1120000000000006E-2</v>
      </c>
      <c r="H100" s="2">
        <f>SUMIFS(TB!N:N,TB!$J:$J,$C100)</f>
        <v>4.440999999999997E-2</v>
      </c>
      <c r="I100" s="2">
        <f>SUMIFS(TB!O:O,TB!$J:$J,$C100)</f>
        <v>0.11820000000000004</v>
      </c>
      <c r="J100" s="2">
        <f>SUMIFS(TB!P:P,TB!$J:$J,$C100)</f>
        <v>0.16393999999999995</v>
      </c>
      <c r="K100" s="2">
        <f>SUMIFS(TB!Q:Q,TB!$J:$J,$C100)</f>
        <v>3.4450000000000043E-2</v>
      </c>
      <c r="L100" s="2">
        <f>SUMIFS(TB!R:R,TB!$J:$J,$C100)</f>
        <v>9.6600000000000019E-2</v>
      </c>
      <c r="M100" s="2">
        <f>SUMIFS(TB!S:S,TB!$J:$J,$C100)</f>
        <v>0.12243999999999994</v>
      </c>
      <c r="N100" s="2">
        <f>SUMIFS(TB!T:T,TB!$J:$J,$C100)</f>
        <v>4.5080000000000044E-2</v>
      </c>
      <c r="O100" s="2">
        <f>SUMIFS(TB!U:U,TB!$J:$J,$C100)</f>
        <v>9.5439999999999942E-2</v>
      </c>
      <c r="P100" s="2">
        <f>SUMIFS(TB!V:V,TB!$J:$J,$C100)</f>
        <v>0.15725000000000011</v>
      </c>
      <c r="Q100" s="2">
        <f>SUMIFS(TB!W:W,TB!$J:$J,$C100)</f>
        <v>6.5450000000000008E-2</v>
      </c>
      <c r="R100" s="2">
        <f>SUMIFS(TB!X:X,TB!$J:$J,$C100)</f>
        <v>9.4760000000000011E-2</v>
      </c>
      <c r="S100" s="2">
        <f>SUMIFS(TB!Y:Y,TB!$J:$J,$C100)</f>
        <v>0.15231999999999996</v>
      </c>
      <c r="T100" s="2">
        <f>SUMIFS(TB!Z:Z,TB!$J:$J,$C100)</f>
        <v>4.2770000000000037E-2</v>
      </c>
      <c r="U100" s="2">
        <f>SUMIFS(TB!AA:AA,TB!$J:$J,$C100)</f>
        <v>4.6810000000000004E-2</v>
      </c>
      <c r="V100" s="2">
        <f>SUMIFS(TB!AB:AB,TB!$J:$J,$C100)</f>
        <v>0.12512000000000001</v>
      </c>
      <c r="W100" s="2">
        <f>SUMIFS(TB!AC:AC,TB!$J:$J,$C100)</f>
        <v>0.11893999999999993</v>
      </c>
      <c r="X100" s="2">
        <f>SUMIFS(TB!AD:AD,TB!$J:$J,$C100)</f>
        <v>6.5240000000000006E-2</v>
      </c>
      <c r="Y100" s="2">
        <f>SUMIFS(TB!AE:AE,TB!$J:$J,$C100)</f>
        <v>7.7790000000000081E-2</v>
      </c>
      <c r="Z100" s="2">
        <f>SUMIFS(TB!AF:AF,TB!$J:$J,$C100)</f>
        <v>8.3649999999999974E-2</v>
      </c>
      <c r="AA100" s="2">
        <f>SUMIFS(TB!AG:AG,TB!$J:$J,$C100)</f>
        <v>7.0959999999999926E-2</v>
      </c>
      <c r="AB100" s="2">
        <f>SUMIFS(TB!AH:AH,TB!$J:$J,$C100)</f>
        <v>8.8850000000000137E-2</v>
      </c>
      <c r="AC100" s="2">
        <f>SUMIFS(TB!AI:AI,TB!$J:$J,$C100)</f>
        <v>3.1379999999999998E-2</v>
      </c>
      <c r="AD100" s="2">
        <f>SUMIFS(TB!AJ:AJ,TB!$J:$J,$C100)</f>
        <v>6.6300000000000012E-2</v>
      </c>
      <c r="AE100" s="2">
        <f>SUMIFS(TB!AK:AK,TB!$J:$J,$C100)</f>
        <v>2.4299999999999999E-2</v>
      </c>
      <c r="AF100" s="2">
        <f>SUMIFS(TB!AL:AL,TB!$J:$J,$C100)</f>
        <v>8.8899999999999993E-2</v>
      </c>
      <c r="AG100" s="2">
        <f>SUMIFS(TB!AM:AM,TB!$J:$J,$C100)</f>
        <v>7.9990000000000006E-2</v>
      </c>
      <c r="AH100" s="2">
        <f>SUMIFS(TB!AN:AN,TB!$J:$J,$C100)</f>
        <v>3.3029999999999976E-2</v>
      </c>
      <c r="AI100" s="2">
        <f>SUMIFS(TB!AO:AO,TB!$J:$J,$C100)</f>
        <v>0.11986000000000001</v>
      </c>
      <c r="AJ100" s="2"/>
      <c r="AK100" s="2">
        <f>SUM(E100:P100)</f>
        <v>1.1076700000000002</v>
      </c>
      <c r="AL100" s="2">
        <f>SUM(Q100:AB100)</f>
        <v>1.0326600000000001</v>
      </c>
      <c r="AM100" s="2">
        <f>SUM(X100:AI100)</f>
        <v>0.83025000000000015</v>
      </c>
      <c r="AN100" s="2"/>
      <c r="AO100" s="5">
        <f>IFERROR(AK100/AK$15%,0)</f>
        <v>1.4484228252827075E-2</v>
      </c>
      <c r="AP100" s="5">
        <f>IFERROR(AL100/AL$15%,0)</f>
        <v>1.5233779432611597E-2</v>
      </c>
      <c r="AQ100" s="5">
        <f>IFERROR(AM100/AM$15%,0)</f>
        <v>1.1306048802427226E-2</v>
      </c>
    </row>
    <row r="101" spans="3:43" ht="11.25" hidden="1" customHeight="1" outlineLevel="1" x14ac:dyDescent="0.2">
      <c r="C101" t="s">
        <v>254</v>
      </c>
      <c r="D101" s="4"/>
      <c r="E101" s="2">
        <f>SUMIFS(TB!K:K,TB!$J:$J,$C101)</f>
        <v>0</v>
      </c>
      <c r="F101" s="2">
        <f>SUMIFS(TB!L:L,TB!$J:$J,$C101)</f>
        <v>0</v>
      </c>
      <c r="G101" s="2">
        <f>SUMIFS(TB!M:M,TB!$J:$J,$C101)</f>
        <v>0</v>
      </c>
      <c r="H101" s="2">
        <f>SUMIFS(TB!N:N,TB!$J:$J,$C101)</f>
        <v>0</v>
      </c>
      <c r="I101" s="2">
        <f>SUMIFS(TB!O:O,TB!$J:$J,$C101)</f>
        <v>4.65E-2</v>
      </c>
      <c r="J101" s="2">
        <f>SUMIFS(TB!P:P,TB!$J:$J,$C101)</f>
        <v>0</v>
      </c>
      <c r="K101" s="2">
        <f>SUMIFS(TB!Q:Q,TB!$J:$J,$C101)</f>
        <v>0</v>
      </c>
      <c r="L101" s="2">
        <f>SUMIFS(TB!R:R,TB!$J:$J,$C101)</f>
        <v>0</v>
      </c>
      <c r="M101" s="2">
        <f>SUMIFS(TB!S:S,TB!$J:$J,$C101)</f>
        <v>0</v>
      </c>
      <c r="N101" s="2">
        <f>SUMIFS(TB!T:T,TB!$J:$J,$C101)</f>
        <v>0</v>
      </c>
      <c r="O101" s="2">
        <f>SUMIFS(TB!U:U,TB!$J:$J,$C101)</f>
        <v>0</v>
      </c>
      <c r="P101" s="2">
        <f>SUMIFS(TB!V:V,TB!$J:$J,$C101)</f>
        <v>0</v>
      </c>
      <c r="Q101" s="2">
        <f>SUMIFS(TB!W:W,TB!$J:$J,$C101)</f>
        <v>0</v>
      </c>
      <c r="R101" s="2">
        <f>SUMIFS(TB!X:X,TB!$J:$J,$C101)</f>
        <v>0</v>
      </c>
      <c r="S101" s="2">
        <f>SUMIFS(TB!Y:Y,TB!$J:$J,$C101)</f>
        <v>0</v>
      </c>
      <c r="T101" s="2">
        <f>SUMIFS(TB!Z:Z,TB!$J:$J,$C101)</f>
        <v>4.589E-2</v>
      </c>
      <c r="U101" s="2">
        <f>SUMIFS(TB!AA:AA,TB!$J:$J,$C101)</f>
        <v>0</v>
      </c>
      <c r="V101" s="2">
        <f>SUMIFS(TB!AB:AB,TB!$J:$J,$C101)</f>
        <v>0</v>
      </c>
      <c r="W101" s="2">
        <f>SUMIFS(TB!AC:AC,TB!$J:$J,$C101)</f>
        <v>0</v>
      </c>
      <c r="X101" s="2">
        <f>SUMIFS(TB!AD:AD,TB!$J:$J,$C101)</f>
        <v>0</v>
      </c>
      <c r="Y101" s="2">
        <f>SUMIFS(TB!AE:AE,TB!$J:$J,$C101)</f>
        <v>0</v>
      </c>
      <c r="Z101" s="2">
        <f>SUMIFS(TB!AF:AF,TB!$J:$J,$C101)</f>
        <v>0</v>
      </c>
      <c r="AA101" s="2">
        <f>SUMIFS(TB!AG:AG,TB!$J:$J,$C101)</f>
        <v>0</v>
      </c>
      <c r="AB101" s="2">
        <f>SUMIFS(TB!AH:AH,TB!$J:$J,$C101)</f>
        <v>0</v>
      </c>
      <c r="AC101" s="2">
        <f>SUMIFS(TB!AI:AI,TB!$J:$J,$C101)</f>
        <v>0</v>
      </c>
      <c r="AD101" s="2">
        <f>SUMIFS(TB!AJ:AJ,TB!$J:$J,$C101)</f>
        <v>0</v>
      </c>
      <c r="AE101" s="2">
        <f>SUMIFS(TB!AK:AK,TB!$J:$J,$C101)</f>
        <v>0</v>
      </c>
      <c r="AF101" s="2">
        <f>SUMIFS(TB!AL:AL,TB!$J:$J,$C101)</f>
        <v>0</v>
      </c>
      <c r="AG101" s="2">
        <f>SUMIFS(TB!AM:AM,TB!$J:$J,$C101)</f>
        <v>2.0930000000000001E-2</v>
      </c>
      <c r="AH101" s="2">
        <f>SUMIFS(TB!AN:AN,TB!$J:$J,$C101)</f>
        <v>0</v>
      </c>
      <c r="AI101" s="2">
        <f>SUMIFS(TB!AO:AO,TB!$J:$J,$C101)</f>
        <v>0</v>
      </c>
      <c r="AJ101" s="2"/>
      <c r="AK101" s="2">
        <f>SUM(E101:P101)</f>
        <v>4.65E-2</v>
      </c>
      <c r="AL101" s="2">
        <f>SUM(Q101:AB101)</f>
        <v>4.589E-2</v>
      </c>
      <c r="AM101" s="2">
        <f>SUM(X101:AI101)</f>
        <v>2.0930000000000001E-2</v>
      </c>
      <c r="AN101" s="2"/>
      <c r="AO101" s="5">
        <f>IFERROR(AK101/AK$15%,0)</f>
        <v>6.0804807727613723E-4</v>
      </c>
      <c r="AP101" s="5">
        <f>IFERROR(AL101/AL$15%,0)</f>
        <v>6.7696835179298722E-4</v>
      </c>
      <c r="AQ101" s="5">
        <f>IFERROR(AM101/AM$15%,0)</f>
        <v>2.8501728567877365E-4</v>
      </c>
    </row>
    <row r="102" spans="3:43" ht="11.25" hidden="1" customHeight="1" outlineLevel="1" x14ac:dyDescent="0.2">
      <c r="C102" t="s">
        <v>253</v>
      </c>
      <c r="D102" s="4"/>
      <c r="E102" s="2">
        <f>SUMIFS(TB!K:K,TB!$J:$J,$C102)</f>
        <v>5.6000000000000001E-2</v>
      </c>
      <c r="F102" s="2">
        <f>SUMIFS(TB!L:L,TB!$J:$J,$C102)</f>
        <v>5.9499999999999997E-2</v>
      </c>
      <c r="G102" s="2">
        <f>SUMIFS(TB!M:M,TB!$J:$J,$C102)</f>
        <v>5.6000000000000001E-2</v>
      </c>
      <c r="H102" s="2">
        <f>SUMIFS(TB!N:N,TB!$J:$J,$C102)</f>
        <v>5.2499999999999998E-2</v>
      </c>
      <c r="I102" s="2">
        <f>SUMIFS(TB!O:O,TB!$J:$J,$C102)</f>
        <v>5.2499999999999998E-2</v>
      </c>
      <c r="J102" s="2">
        <f>SUMIFS(TB!P:P,TB!$J:$J,$C102)</f>
        <v>5.2499999999999998E-2</v>
      </c>
      <c r="K102" s="2">
        <f>SUMIFS(TB!Q:Q,TB!$J:$J,$C102)</f>
        <v>5.2499999999999998E-2</v>
      </c>
      <c r="L102" s="2">
        <f>SUMIFS(TB!R:R,TB!$J:$J,$C102)</f>
        <v>5.2499999999999998E-2</v>
      </c>
      <c r="M102" s="2">
        <f>SUMIFS(TB!S:S,TB!$J:$J,$C102)</f>
        <v>4.5499999999999999E-2</v>
      </c>
      <c r="N102" s="2">
        <f>SUMIFS(TB!T:T,TB!$J:$J,$C102)</f>
        <v>4.2000000000000003E-2</v>
      </c>
      <c r="O102" s="2">
        <f>SUMIFS(TB!U:U,TB!$J:$J,$C102)</f>
        <v>4.2000000000000003E-2</v>
      </c>
      <c r="P102" s="2">
        <f>SUMIFS(TB!V:V,TB!$J:$J,$C102)</f>
        <v>4.2000000000000003E-2</v>
      </c>
      <c r="Q102" s="2">
        <f>SUMIFS(TB!W:W,TB!$J:$J,$C102)</f>
        <v>4.5499999999999999E-2</v>
      </c>
      <c r="R102" s="2">
        <f>SUMIFS(TB!X:X,TB!$J:$J,$C102)</f>
        <v>4.9000000000000002E-2</v>
      </c>
      <c r="S102" s="2">
        <f>SUMIFS(TB!Y:Y,TB!$J:$J,$C102)</f>
        <v>4.9000000000000002E-2</v>
      </c>
      <c r="T102" s="2">
        <f>SUMIFS(TB!Z:Z,TB!$J:$J,$C102)</f>
        <v>5.2499999999999998E-2</v>
      </c>
      <c r="U102" s="2">
        <f>SUMIFS(TB!AA:AA,TB!$J:$J,$C102)</f>
        <v>5.2499999999999998E-2</v>
      </c>
      <c r="V102" s="2">
        <f>SUMIFS(TB!AB:AB,TB!$J:$J,$C102)</f>
        <v>5.2499999999999998E-2</v>
      </c>
      <c r="W102" s="2">
        <f>SUMIFS(TB!AC:AC,TB!$J:$J,$C102)</f>
        <v>0</v>
      </c>
      <c r="X102" s="2">
        <f>SUMIFS(TB!AD:AD,TB!$J:$J,$C102)</f>
        <v>0</v>
      </c>
      <c r="Y102" s="2">
        <f>SUMIFS(TB!AE:AE,TB!$J:$J,$C102)</f>
        <v>0</v>
      </c>
      <c r="Z102" s="2">
        <f>SUMIFS(TB!AF:AF,TB!$J:$J,$C102)</f>
        <v>0</v>
      </c>
      <c r="AA102" s="2">
        <f>SUMIFS(TB!AG:AG,TB!$J:$J,$C102)</f>
        <v>0</v>
      </c>
      <c r="AB102" s="2">
        <f>SUMIFS(TB!AH:AH,TB!$J:$J,$C102)</f>
        <v>0</v>
      </c>
      <c r="AC102" s="2">
        <f>SUMIFS(TB!AI:AI,TB!$J:$J,$C102)</f>
        <v>0</v>
      </c>
      <c r="AD102" s="2">
        <f>SUMIFS(TB!AJ:AJ,TB!$J:$J,$C102)</f>
        <v>0</v>
      </c>
      <c r="AE102" s="2">
        <f>SUMIFS(TB!AK:AK,TB!$J:$J,$C102)</f>
        <v>0</v>
      </c>
      <c r="AF102" s="2">
        <f>SUMIFS(TB!AL:AL,TB!$J:$J,$C102)</f>
        <v>0</v>
      </c>
      <c r="AG102" s="2">
        <f>SUMIFS(TB!AM:AM,TB!$J:$J,$C102)</f>
        <v>0</v>
      </c>
      <c r="AH102" s="2">
        <f>SUMIFS(TB!AN:AN,TB!$J:$J,$C102)</f>
        <v>0</v>
      </c>
      <c r="AI102" s="2">
        <f>SUMIFS(TB!AO:AO,TB!$J:$J,$C102)</f>
        <v>0</v>
      </c>
      <c r="AJ102" s="2"/>
      <c r="AK102" s="2">
        <f>SUM(E102:P102)</f>
        <v>0.60550000000000004</v>
      </c>
      <c r="AL102" s="2">
        <f>SUM(Q102:AB102)</f>
        <v>0.30099999999999999</v>
      </c>
      <c r="AM102" s="2">
        <f>SUM(X102:AI102)</f>
        <v>0</v>
      </c>
      <c r="AN102" s="2"/>
      <c r="AO102" s="5">
        <f>IFERROR(AK102/AK$15%,0)</f>
        <v>7.9177013073269062E-3</v>
      </c>
      <c r="AP102" s="5">
        <f>IFERROR(AL102/AL$15%,0)</f>
        <v>4.4403459117387037E-3</v>
      </c>
      <c r="AQ102" s="5">
        <f>IFERROR(AM102/AM$15%,0)</f>
        <v>0</v>
      </c>
    </row>
    <row r="103" spans="3:43" ht="11.25" hidden="1" customHeight="1" outlineLevel="1" x14ac:dyDescent="0.2">
      <c r="C103" t="s">
        <v>252</v>
      </c>
      <c r="D103" s="4"/>
      <c r="E103" s="2">
        <f>SUMIFS(TB!K:K,TB!$J:$J,$C103)</f>
        <v>0</v>
      </c>
      <c r="F103" s="2">
        <f>SUMIFS(TB!L:L,TB!$J:$J,$C103)</f>
        <v>0</v>
      </c>
      <c r="G103" s="2">
        <f>SUMIFS(TB!M:M,TB!$J:$J,$C103)</f>
        <v>0</v>
      </c>
      <c r="H103" s="2">
        <f>SUMIFS(TB!N:N,TB!$J:$J,$C103)</f>
        <v>0</v>
      </c>
      <c r="I103" s="2">
        <f>SUMIFS(TB!O:O,TB!$J:$J,$C103)</f>
        <v>0</v>
      </c>
      <c r="J103" s="2">
        <f>SUMIFS(TB!P:P,TB!$J:$J,$C103)</f>
        <v>0</v>
      </c>
      <c r="K103" s="2">
        <f>SUMIFS(TB!Q:Q,TB!$J:$J,$C103)</f>
        <v>7.5499999999999998E-2</v>
      </c>
      <c r="L103" s="2">
        <f>SUMIFS(TB!R:R,TB!$J:$J,$C103)</f>
        <v>0</v>
      </c>
      <c r="M103" s="2">
        <f>SUMIFS(TB!S:S,TB!$J:$J,$C103)</f>
        <v>0</v>
      </c>
      <c r="N103" s="2">
        <f>SUMIFS(TB!T:T,TB!$J:$J,$C103)</f>
        <v>0</v>
      </c>
      <c r="O103" s="2">
        <f>SUMIFS(TB!U:U,TB!$J:$J,$C103)</f>
        <v>0</v>
      </c>
      <c r="P103" s="2">
        <f>SUMIFS(TB!V:V,TB!$J:$J,$C103)</f>
        <v>0</v>
      </c>
      <c r="Q103" s="2">
        <f>SUMIFS(TB!W:W,TB!$J:$J,$C103)</f>
        <v>0</v>
      </c>
      <c r="R103" s="2">
        <f>SUMIFS(TB!X:X,TB!$J:$J,$C103)</f>
        <v>0</v>
      </c>
      <c r="S103" s="2">
        <f>SUMIFS(TB!Y:Y,TB!$J:$J,$C103)</f>
        <v>7.4999999999999997E-2</v>
      </c>
      <c r="T103" s="2">
        <f>SUMIFS(TB!Z:Z,TB!$J:$J,$C103)</f>
        <v>-0.317</v>
      </c>
      <c r="U103" s="2">
        <f>SUMIFS(TB!AA:AA,TB!$J:$J,$C103)</f>
        <v>0</v>
      </c>
      <c r="V103" s="2">
        <f>SUMIFS(TB!AB:AB,TB!$J:$J,$C103)</f>
        <v>0</v>
      </c>
      <c r="W103" s="2">
        <f>SUMIFS(TB!AC:AC,TB!$J:$J,$C103)</f>
        <v>7.5499999999999998E-2</v>
      </c>
      <c r="X103" s="2">
        <f>SUMIFS(TB!AD:AD,TB!$J:$J,$C103)</f>
        <v>0</v>
      </c>
      <c r="Y103" s="2">
        <f>SUMIFS(TB!AE:AE,TB!$J:$J,$C103)</f>
        <v>0</v>
      </c>
      <c r="Z103" s="2">
        <f>SUMIFS(TB!AF:AF,TB!$J:$J,$C103)</f>
        <v>0</v>
      </c>
      <c r="AA103" s="2">
        <f>SUMIFS(TB!AG:AG,TB!$J:$J,$C103)</f>
        <v>0</v>
      </c>
      <c r="AB103" s="2">
        <f>SUMIFS(TB!AH:AH,TB!$J:$J,$C103)</f>
        <v>0</v>
      </c>
      <c r="AC103" s="2">
        <f>SUMIFS(TB!AI:AI,TB!$J:$J,$C103)</f>
        <v>0</v>
      </c>
      <c r="AD103" s="2">
        <f>SUMIFS(TB!AJ:AJ,TB!$J:$J,$C103)</f>
        <v>0</v>
      </c>
      <c r="AE103" s="2">
        <f>SUMIFS(TB!AK:AK,TB!$J:$J,$C103)</f>
        <v>0</v>
      </c>
      <c r="AF103" s="2">
        <f>SUMIFS(TB!AL:AL,TB!$J:$J,$C103)</f>
        <v>0</v>
      </c>
      <c r="AG103" s="2">
        <f>SUMIFS(TB!AM:AM,TB!$J:$J,$C103)</f>
        <v>0</v>
      </c>
      <c r="AH103" s="2">
        <f>SUMIFS(TB!AN:AN,TB!$J:$J,$C103)</f>
        <v>0</v>
      </c>
      <c r="AI103" s="2">
        <f>SUMIFS(TB!AO:AO,TB!$J:$J,$C103)</f>
        <v>0</v>
      </c>
      <c r="AJ103" s="2"/>
      <c r="AK103" s="2">
        <f>SUM(E103:P103)</f>
        <v>7.5499999999999998E-2</v>
      </c>
      <c r="AL103" s="2">
        <f>SUM(Q103:AB103)</f>
        <v>-0.16649999999999998</v>
      </c>
      <c r="AM103" s="2">
        <f>SUM(X103:AI103)</f>
        <v>0</v>
      </c>
      <c r="AN103" s="2"/>
      <c r="AO103" s="5">
        <f>IFERROR(AK103/AK$15%,0)</f>
        <v>9.872608566526529E-4</v>
      </c>
      <c r="AP103" s="5">
        <f>IFERROR(AL103/AL$15%,0)</f>
        <v>-2.4562046322408443E-3</v>
      </c>
      <c r="AQ103" s="5">
        <f>IFERROR(AM103/AM$15%,0)</f>
        <v>0</v>
      </c>
    </row>
    <row r="104" spans="3:43" ht="11.25" hidden="1" customHeight="1" outlineLevel="1" x14ac:dyDescent="0.2">
      <c r="C104" s="17" t="s">
        <v>251</v>
      </c>
      <c r="D104" s="15"/>
      <c r="E104" s="14">
        <f>SUMIFS(TB!K:K,TB!$J:$J,$C104)</f>
        <v>0</v>
      </c>
      <c r="F104" s="14">
        <f>SUMIFS(TB!L:L,TB!$J:$J,$C104)</f>
        <v>0</v>
      </c>
      <c r="G104" s="14">
        <f>SUMIFS(TB!M:M,TB!$J:$J,$C104)</f>
        <v>0</v>
      </c>
      <c r="H104" s="14">
        <f>SUMIFS(TB!N:N,TB!$J:$J,$C104)</f>
        <v>0</v>
      </c>
      <c r="I104" s="14">
        <f>SUMIFS(TB!O:O,TB!$J:$J,$C104)</f>
        <v>0</v>
      </c>
      <c r="J104" s="14">
        <f>SUMIFS(TB!P:P,TB!$J:$J,$C104)</f>
        <v>0</v>
      </c>
      <c r="K104" s="14">
        <f>SUMIFS(TB!Q:Q,TB!$J:$J,$C104)</f>
        <v>0</v>
      </c>
      <c r="L104" s="14">
        <f>SUMIFS(TB!R:R,TB!$J:$J,$C104)</f>
        <v>0</v>
      </c>
      <c r="M104" s="14">
        <f>SUMIFS(TB!S:S,TB!$J:$J,$C104)</f>
        <v>0</v>
      </c>
      <c r="N104" s="14">
        <f>SUMIFS(TB!T:T,TB!$J:$J,$C104)</f>
        <v>0</v>
      </c>
      <c r="O104" s="14">
        <f>SUMIFS(TB!U:U,TB!$J:$J,$C104)</f>
        <v>0</v>
      </c>
      <c r="P104" s="14">
        <f>SUMIFS(TB!V:V,TB!$J:$J,$C104)</f>
        <v>0</v>
      </c>
      <c r="Q104" s="14">
        <f>SUMIFS(TB!W:W,TB!$J:$J,$C104)</f>
        <v>0</v>
      </c>
      <c r="R104" s="14">
        <f>SUMIFS(TB!X:X,TB!$J:$J,$C104)</f>
        <v>0</v>
      </c>
      <c r="S104" s="14">
        <f>SUMIFS(TB!Y:Y,TB!$J:$J,$C104)</f>
        <v>0</v>
      </c>
      <c r="T104" s="14">
        <f>SUMIFS(TB!Z:Z,TB!$J:$J,$C104)</f>
        <v>-1.782</v>
      </c>
      <c r="U104" s="14">
        <f>SUMIFS(TB!AA:AA,TB!$J:$J,$C104)</f>
        <v>0</v>
      </c>
      <c r="V104" s="14">
        <f>SUMIFS(TB!AB:AB,TB!$J:$J,$C104)</f>
        <v>0</v>
      </c>
      <c r="W104" s="14">
        <f>SUMIFS(TB!AC:AC,TB!$J:$J,$C104)</f>
        <v>0</v>
      </c>
      <c r="X104" s="14">
        <f>SUMIFS(TB!AD:AD,TB!$J:$J,$C104)</f>
        <v>0</v>
      </c>
      <c r="Y104" s="14">
        <f>SUMIFS(TB!AE:AE,TB!$J:$J,$C104)</f>
        <v>0</v>
      </c>
      <c r="Z104" s="14">
        <f>SUMIFS(TB!AF:AF,TB!$J:$J,$C104)</f>
        <v>0</v>
      </c>
      <c r="AA104" s="14">
        <f>SUMIFS(TB!AG:AG,TB!$J:$J,$C104)</f>
        <v>0</v>
      </c>
      <c r="AB104" s="14">
        <f>SUMIFS(TB!AH:AH,TB!$J:$J,$C104)</f>
        <v>0</v>
      </c>
      <c r="AC104" s="14">
        <f>SUMIFS(TB!AI:AI,TB!$J:$J,$C104)</f>
        <v>0</v>
      </c>
      <c r="AD104" s="14">
        <f>SUMIFS(TB!AJ:AJ,TB!$J:$J,$C104)</f>
        <v>0</v>
      </c>
      <c r="AE104" s="14">
        <f>SUMIFS(TB!AK:AK,TB!$J:$J,$C104)</f>
        <v>0</v>
      </c>
      <c r="AF104" s="14">
        <f>SUMIFS(TB!AL:AL,TB!$J:$J,$C104)</f>
        <v>0</v>
      </c>
      <c r="AG104" s="14">
        <f>SUMIFS(TB!AM:AM,TB!$J:$J,$C104)</f>
        <v>0</v>
      </c>
      <c r="AH104" s="14">
        <f>SUMIFS(TB!AN:AN,TB!$J:$J,$C104)</f>
        <v>0</v>
      </c>
      <c r="AI104" s="14">
        <f>SUMIFS(TB!AO:AO,TB!$J:$J,$C104)</f>
        <v>0</v>
      </c>
      <c r="AJ104" s="14"/>
      <c r="AK104" s="14">
        <f>SUM(E104:P104)</f>
        <v>0</v>
      </c>
      <c r="AL104" s="14">
        <f>SUM(Q104:AB104)</f>
        <v>-1.782</v>
      </c>
      <c r="AM104" s="14">
        <f>SUM(X104:AI104)</f>
        <v>0</v>
      </c>
      <c r="AN104" s="14"/>
      <c r="AO104" s="13">
        <f>IFERROR(AK104/AK$15%,0)</f>
        <v>0</v>
      </c>
      <c r="AP104" s="13">
        <f>IFERROR(AL104/AL$15%,0)</f>
        <v>-2.6288027955874989E-2</v>
      </c>
      <c r="AQ104" s="13">
        <f>IFERROR(AM104/AM$15%,0)</f>
        <v>0</v>
      </c>
    </row>
    <row r="105" spans="3:43" ht="11.25" customHeight="1" collapsed="1" x14ac:dyDescent="0.2">
      <c r="C105" t="s">
        <v>20</v>
      </c>
      <c r="D105" s="4"/>
      <c r="E105" s="2">
        <f>SUM(E89:E104)</f>
        <v>17.178850000000004</v>
      </c>
      <c r="F105" s="2">
        <f>SUM(F89:F104)</f>
        <v>3.8480599999999994</v>
      </c>
      <c r="G105" s="2">
        <f>SUM(G89:G104)</f>
        <v>14.082359999999998</v>
      </c>
      <c r="H105" s="2">
        <f>SUM(H89:H104)</f>
        <v>9.3941499999999998</v>
      </c>
      <c r="I105" s="2">
        <f>SUM(I89:I104)</f>
        <v>8.2432800000000004</v>
      </c>
      <c r="J105" s="2">
        <f>SUM(J89:J104)</f>
        <v>15.33891</v>
      </c>
      <c r="K105" s="2">
        <f>SUM(K89:K104)</f>
        <v>8.814720000000003</v>
      </c>
      <c r="L105" s="2">
        <f>SUM(L89:L104)</f>
        <v>4.3398599999999998</v>
      </c>
      <c r="M105" s="2">
        <f>SUM(M89:M104)</f>
        <v>8.5679100000000048</v>
      </c>
      <c r="N105" s="2">
        <f>SUM(N89:N104)</f>
        <v>6.5075599999999945</v>
      </c>
      <c r="O105" s="2">
        <f>SUM(O89:O104)</f>
        <v>5.8444100000000043</v>
      </c>
      <c r="P105" s="2">
        <f>SUM(P89:P104)</f>
        <v>11.801329999999995</v>
      </c>
      <c r="Q105" s="2">
        <f>SUM(Q89:Q104)</f>
        <v>14.06012</v>
      </c>
      <c r="R105" s="2">
        <f>SUM(R89:R104)</f>
        <v>9.0672700000000006</v>
      </c>
      <c r="S105" s="2">
        <f>SUM(S89:S104)</f>
        <v>7.7858900000000002</v>
      </c>
      <c r="T105" s="2">
        <f>SUM(T89:T104)</f>
        <v>4.2955499999999995</v>
      </c>
      <c r="U105" s="2">
        <f>SUM(U89:U104)</f>
        <v>8.93703</v>
      </c>
      <c r="V105" s="2">
        <f>SUM(V89:V104)</f>
        <v>11.02111</v>
      </c>
      <c r="W105" s="2">
        <f>SUM(W89:W104)</f>
        <v>6.6969800000000017</v>
      </c>
      <c r="X105" s="2">
        <f>SUM(X89:X104)</f>
        <v>4.2696299999999994</v>
      </c>
      <c r="Y105" s="2">
        <f>SUM(Y89:Y104)</f>
        <v>9.7357000000000014</v>
      </c>
      <c r="Z105" s="2">
        <f>SUM(Z89:Z104)</f>
        <v>7.3067799999999998</v>
      </c>
      <c r="AA105" s="2">
        <f>SUM(AA89:AA104)</f>
        <v>8.4905899999999974</v>
      </c>
      <c r="AB105" s="2">
        <f>SUM(AB89:AB104)</f>
        <v>11.915010000000001</v>
      </c>
      <c r="AC105" s="2">
        <f>SUM(AC89:AC104)</f>
        <v>6.7009000000000007</v>
      </c>
      <c r="AD105" s="2">
        <f>SUM(AD89:AD104)</f>
        <v>12.543049999999999</v>
      </c>
      <c r="AE105" s="2">
        <f>SUM(AE89:AE104)</f>
        <v>8.9599499999999992</v>
      </c>
      <c r="AF105" s="2">
        <f>SUM(AF89:AF104)</f>
        <v>10.282899999999998</v>
      </c>
      <c r="AG105" s="2">
        <f>SUM(AG89:AG104)</f>
        <v>9.9920500000000008</v>
      </c>
      <c r="AH105" s="2">
        <f>SUM(AH89:AH104)</f>
        <v>10.187609999999999</v>
      </c>
      <c r="AI105" s="2">
        <f>SUM(AI89:AI104)</f>
        <v>10.796149999999995</v>
      </c>
      <c r="AJ105" s="2"/>
      <c r="AK105" s="2">
        <f>SUM(AK89:AK104)</f>
        <v>113.96140000000001</v>
      </c>
      <c r="AL105" s="2">
        <f>SUM(AL89:AL104)</f>
        <v>103.58166000000001</v>
      </c>
      <c r="AM105" s="2">
        <f>SUM(AM89:AM104)</f>
        <v>111.18031999999999</v>
      </c>
      <c r="AN105" s="2"/>
      <c r="AO105" s="5">
        <f>IFERROR(AK105/AK$15%,0)</f>
        <v>1.4901937667461675</v>
      </c>
      <c r="AP105" s="5">
        <f>IFERROR(AL105/AL$15%,0)</f>
        <v>1.5280345531963739</v>
      </c>
      <c r="AQ105" s="5">
        <f>IFERROR(AM105/AM$15%,0)</f>
        <v>1.5140140003486606</v>
      </c>
    </row>
    <row r="106" spans="3:43" ht="6" hidden="1" customHeight="1" outlineLevel="1" x14ac:dyDescent="0.2">
      <c r="D106" s="4"/>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5"/>
      <c r="AP106" s="5"/>
      <c r="AQ106" s="5"/>
    </row>
    <row r="107" spans="3:43" ht="11.25" hidden="1" customHeight="1" outlineLevel="1" x14ac:dyDescent="0.2">
      <c r="C107" t="s">
        <v>250</v>
      </c>
      <c r="D107" s="4"/>
      <c r="E107" s="2">
        <f>SUMIFS(TB!K:K,TB!$J:$J,$C107)</f>
        <v>1.57836</v>
      </c>
      <c r="F107" s="2">
        <f>SUMIFS(TB!L:L,TB!$J:$J,$C107)</f>
        <v>2.9856900000000004</v>
      </c>
      <c r="G107" s="2">
        <f>SUMIFS(TB!M:M,TB!$J:$J,$C107)</f>
        <v>2.8152499999999998</v>
      </c>
      <c r="H107" s="2">
        <f>SUMIFS(TB!N:N,TB!$J:$J,$C107)</f>
        <v>2.6212599999999995</v>
      </c>
      <c r="I107" s="2">
        <f>SUMIFS(TB!O:O,TB!$J:$J,$C107)</f>
        <v>1.7925200000000003</v>
      </c>
      <c r="J107" s="2">
        <f>SUMIFS(TB!P:P,TB!$J:$J,$C107)</f>
        <v>2.2490100000000002</v>
      </c>
      <c r="K107" s="2">
        <f>SUMIFS(TB!Q:Q,TB!$J:$J,$C107)</f>
        <v>1.0511000000000004</v>
      </c>
      <c r="L107" s="2">
        <f>SUMIFS(TB!R:R,TB!$J:$J,$C107)</f>
        <v>0.8970100000000002</v>
      </c>
      <c r="M107" s="2">
        <f>SUMIFS(TB!S:S,TB!$J:$J,$C107)</f>
        <v>0</v>
      </c>
      <c r="N107" s="2">
        <f>SUMIFS(TB!T:T,TB!$J:$J,$C107)</f>
        <v>0</v>
      </c>
      <c r="O107" s="2">
        <f>SUMIFS(TB!U:U,TB!$J:$J,$C107)</f>
        <v>0.3</v>
      </c>
      <c r="P107" s="2">
        <f>SUMIFS(TB!V:V,TB!$J:$J,$C107)</f>
        <v>3.315869999999999</v>
      </c>
      <c r="Q107" s="2">
        <f>SUMIFS(TB!W:W,TB!$J:$J,$C107)</f>
        <v>1.99953</v>
      </c>
      <c r="R107" s="2">
        <f>SUMIFS(TB!X:X,TB!$J:$J,$C107)</f>
        <v>1.51753</v>
      </c>
      <c r="S107" s="2">
        <f>SUMIFS(TB!Y:Y,TB!$J:$J,$C107)</f>
        <v>1.3881200000000002</v>
      </c>
      <c r="T107" s="2">
        <f>SUMIFS(TB!Z:Z,TB!$J:$J,$C107)</f>
        <v>0.96660999999999964</v>
      </c>
      <c r="U107" s="2">
        <f>SUMIFS(TB!AA:AA,TB!$J:$J,$C107)</f>
        <v>1.24871</v>
      </c>
      <c r="V107" s="2">
        <f>SUMIFS(TB!AB:AB,TB!$J:$J,$C107)</f>
        <v>1.7532900000000009</v>
      </c>
      <c r="W107" s="2">
        <f>SUMIFS(TB!AC:AC,TB!$J:$J,$C107)</f>
        <v>0</v>
      </c>
      <c r="X107" s="2">
        <f>SUMIFS(TB!AD:AD,TB!$J:$J,$C107)</f>
        <v>0</v>
      </c>
      <c r="Y107" s="2">
        <f>SUMIFS(TB!AE:AE,TB!$J:$J,$C107)</f>
        <v>0</v>
      </c>
      <c r="Z107" s="2">
        <f>SUMIFS(TB!AF:AF,TB!$J:$J,$C107)</f>
        <v>0.47084999999999855</v>
      </c>
      <c r="AA107" s="2">
        <f>SUMIFS(TB!AG:AG,TB!$J:$J,$C107)</f>
        <v>2.7432800000000008</v>
      </c>
      <c r="AB107" s="2">
        <f>SUMIFS(TB!AH:AH,TB!$J:$J,$C107)</f>
        <v>1.0668299999999999</v>
      </c>
      <c r="AC107" s="2">
        <f>SUMIFS(TB!AI:AI,TB!$J:$J,$C107)</f>
        <v>2.17293</v>
      </c>
      <c r="AD107" s="2">
        <f>SUMIFS(TB!AJ:AJ,TB!$J:$J,$C107)</f>
        <v>1.6931700000000001</v>
      </c>
      <c r="AE107" s="2">
        <f>SUMIFS(TB!AK:AK,TB!$J:$J,$C107)</f>
        <v>2.9389500000000002</v>
      </c>
      <c r="AF107" s="2">
        <f>SUMIFS(TB!AL:AL,TB!$J:$J,$C107)</f>
        <v>2.7929700000000004</v>
      </c>
      <c r="AG107" s="2">
        <f>SUMIFS(TB!AM:AM,TB!$J:$J,$C107)</f>
        <v>8.8343800000000012</v>
      </c>
      <c r="AH107" s="2">
        <f>SUMIFS(TB!AN:AN,TB!$J:$J,$C107)</f>
        <v>0.88951999999999676</v>
      </c>
      <c r="AI107" s="2">
        <f>SUMIFS(TB!AO:AO,TB!$J:$J,$C107)</f>
        <v>0.25565000000000143</v>
      </c>
      <c r="AJ107" s="2"/>
      <c r="AK107" s="2">
        <f>SUM(E107:P107)</f>
        <v>19.606069999999999</v>
      </c>
      <c r="AL107" s="2">
        <f>SUM(Q107:AB107)</f>
        <v>13.154749999999998</v>
      </c>
      <c r="AM107" s="2">
        <f>SUM(X107:AI107)</f>
        <v>23.858530000000002</v>
      </c>
      <c r="AN107" s="2"/>
      <c r="AO107" s="5">
        <f>IFERROR(AK107/AK$15%,0)</f>
        <v>0.25637490680519043</v>
      </c>
      <c r="AP107" s="5">
        <f>IFERROR(AL107/AL$15%,0)</f>
        <v>0.19405860592174323</v>
      </c>
      <c r="AQ107" s="5">
        <f>IFERROR(AM107/AM$15%,0)</f>
        <v>0.32489696420858055</v>
      </c>
    </row>
    <row r="108" spans="3:43" ht="11.25" hidden="1" customHeight="1" outlineLevel="1" x14ac:dyDescent="0.2">
      <c r="C108" t="s">
        <v>249</v>
      </c>
      <c r="D108" s="4"/>
      <c r="E108" s="2">
        <f>SUMIFS(TB!K:K,TB!$J:$J,$C108)</f>
        <v>-0.15536000000000003</v>
      </c>
      <c r="F108" s="2">
        <f>SUMIFS(TB!L:L,TB!$J:$J,$C108)</f>
        <v>0.12235000000000003</v>
      </c>
      <c r="G108" s="2">
        <f>SUMIFS(TB!M:M,TB!$J:$J,$C108)</f>
        <v>1.6294200000000001</v>
      </c>
      <c r="H108" s="2">
        <f>SUMIFS(TB!N:N,TB!$J:$J,$C108)</f>
        <v>0</v>
      </c>
      <c r="I108" s="2">
        <f>SUMIFS(TB!O:O,TB!$J:$J,$C108)</f>
        <v>0.23817999999999984</v>
      </c>
      <c r="J108" s="2">
        <f>SUMIFS(TB!P:P,TB!$J:$J,$C108)</f>
        <v>0.19016000000000008</v>
      </c>
      <c r="K108" s="2">
        <f>SUMIFS(TB!Q:Q,TB!$J:$J,$C108)</f>
        <v>-0.24021000000000003</v>
      </c>
      <c r="L108" s="2">
        <f>SUMIFS(TB!R:R,TB!$J:$J,$C108)</f>
        <v>-2.730000000000018E-3</v>
      </c>
      <c r="M108" s="2">
        <f>SUMIFS(TB!S:S,TB!$J:$J,$C108)</f>
        <v>0.16400000000000001</v>
      </c>
      <c r="N108" s="2">
        <f>SUMIFS(TB!T:T,TB!$J:$J,$C108)</f>
        <v>3.660000000000082E-3</v>
      </c>
      <c r="O108" s="2">
        <f>SUMIFS(TB!U:U,TB!$J:$J,$C108)</f>
        <v>2.5000000000000001E-2</v>
      </c>
      <c r="P108" s="2">
        <f>SUMIFS(TB!V:V,TB!$J:$J,$C108)</f>
        <v>0.84264000000000006</v>
      </c>
      <c r="Q108" s="2">
        <f>SUMIFS(TB!W:W,TB!$J:$J,$C108)</f>
        <v>1.8547199999999999</v>
      </c>
      <c r="R108" s="2">
        <f>SUMIFS(TB!X:X,TB!$J:$J,$C108)</f>
        <v>2.0361400000000001</v>
      </c>
      <c r="S108" s="2">
        <f>SUMIFS(TB!Y:Y,TB!$J:$J,$C108)</f>
        <v>0</v>
      </c>
      <c r="T108" s="2">
        <f>SUMIFS(TB!Z:Z,TB!$J:$J,$C108)</f>
        <v>3.1599999999999906E-2</v>
      </c>
      <c r="U108" s="2">
        <f>SUMIFS(TB!AA:AA,TB!$J:$J,$C108)</f>
        <v>0</v>
      </c>
      <c r="V108" s="2">
        <f>SUMIFS(TB!AB:AB,TB!$J:$J,$C108)</f>
        <v>0.13811000000000012</v>
      </c>
      <c r="W108" s="2">
        <f>SUMIFS(TB!AC:AC,TB!$J:$J,$C108)</f>
        <v>0.36011999999999944</v>
      </c>
      <c r="X108" s="2">
        <f>SUMIFS(TB!AD:AD,TB!$J:$J,$C108)</f>
        <v>0</v>
      </c>
      <c r="Y108" s="2">
        <f>SUMIFS(TB!AE:AE,TB!$J:$J,$C108)</f>
        <v>4.2730000000000476E-2</v>
      </c>
      <c r="Z108" s="2">
        <f>SUMIFS(TB!AF:AF,TB!$J:$J,$C108)</f>
        <v>0.62273999999999974</v>
      </c>
      <c r="AA108" s="2">
        <f>SUMIFS(TB!AG:AG,TB!$J:$J,$C108)</f>
        <v>1.2434000000000005</v>
      </c>
      <c r="AB108" s="2">
        <f>SUMIFS(TB!AH:AH,TB!$J:$J,$C108)</f>
        <v>6.6199999999998907E-3</v>
      </c>
      <c r="AC108" s="2">
        <f>SUMIFS(TB!AI:AI,TB!$J:$J,$C108)</f>
        <v>2.6700399999999997</v>
      </c>
      <c r="AD108" s="2">
        <f>SUMIFS(TB!AJ:AJ,TB!$J:$J,$C108)</f>
        <v>0.49144000000000004</v>
      </c>
      <c r="AE108" s="2">
        <f>SUMIFS(TB!AK:AK,TB!$J:$J,$C108)</f>
        <v>1.3009699999999997</v>
      </c>
      <c r="AF108" s="2">
        <f>SUMIFS(TB!AL:AL,TB!$J:$J,$C108)</f>
        <v>0</v>
      </c>
      <c r="AG108" s="2">
        <f>SUMIFS(TB!AM:AM,TB!$J:$J,$C108)</f>
        <v>2.5000000000000001E-2</v>
      </c>
      <c r="AH108" s="2">
        <f>SUMIFS(TB!AN:AN,TB!$J:$J,$C108)</f>
        <v>2.5000000000000001E-2</v>
      </c>
      <c r="AI108" s="2">
        <f>SUMIFS(TB!AO:AO,TB!$J:$J,$C108)</f>
        <v>0</v>
      </c>
      <c r="AJ108" s="2"/>
      <c r="AK108" s="2">
        <f>SUM(E108:P108)</f>
        <v>2.8171099999999996</v>
      </c>
      <c r="AL108" s="2">
        <f>SUM(Q108:AB108)</f>
        <v>6.3361799999999997</v>
      </c>
      <c r="AM108" s="2">
        <f>SUM(X108:AI108)</f>
        <v>6.4279400000000004</v>
      </c>
      <c r="AN108" s="2"/>
      <c r="AO108" s="5">
        <f>IFERROR(AK108/AK$15%,0)</f>
        <v>3.6837383203771584E-2</v>
      </c>
      <c r="AP108" s="5">
        <f>IFERROR(AL108/AL$15%,0)</f>
        <v>9.3471199199470237E-2</v>
      </c>
      <c r="AQ108" s="5">
        <f>IFERROR(AM108/AM$15%,0)</f>
        <v>8.7533397577927191E-2</v>
      </c>
    </row>
    <row r="109" spans="3:43" ht="11.25" hidden="1" customHeight="1" outlineLevel="1" x14ac:dyDescent="0.2">
      <c r="C109" t="s">
        <v>248</v>
      </c>
      <c r="D109" s="4"/>
      <c r="E109" s="2">
        <f>SUMIFS(TB!K:K,TB!$J:$J,$C109)</f>
        <v>0.3014</v>
      </c>
      <c r="F109" s="2">
        <f>SUMIFS(TB!L:L,TB!$J:$J,$C109)</f>
        <v>0</v>
      </c>
      <c r="G109" s="2">
        <f>SUMIFS(TB!M:M,TB!$J:$J,$C109)</f>
        <v>6.2000000000000458E-3</v>
      </c>
      <c r="H109" s="2">
        <f>SUMIFS(TB!N:N,TB!$J:$J,$C109)</f>
        <v>0</v>
      </c>
      <c r="I109" s="2">
        <f>SUMIFS(TB!O:O,TB!$J:$J,$C109)</f>
        <v>0</v>
      </c>
      <c r="J109" s="2">
        <f>SUMIFS(TB!P:P,TB!$J:$J,$C109)</f>
        <v>0</v>
      </c>
      <c r="K109" s="2">
        <f>SUMIFS(TB!Q:Q,TB!$J:$J,$C109)</f>
        <v>0</v>
      </c>
      <c r="L109" s="2">
        <f>SUMIFS(TB!R:R,TB!$J:$J,$C109)</f>
        <v>0</v>
      </c>
      <c r="M109" s="2">
        <f>SUMIFS(TB!S:S,TB!$J:$J,$C109)</f>
        <v>0</v>
      </c>
      <c r="N109" s="2">
        <f>SUMIFS(TB!T:T,TB!$J:$J,$C109)</f>
        <v>0.12</v>
      </c>
      <c r="O109" s="2">
        <f>SUMIFS(TB!U:U,TB!$J:$J,$C109)</f>
        <v>0.23669999999999994</v>
      </c>
      <c r="P109" s="2">
        <f>SUMIFS(TB!V:V,TB!$J:$J,$C109)</f>
        <v>0</v>
      </c>
      <c r="Q109" s="2">
        <f>SUMIFS(TB!W:W,TB!$J:$J,$C109)</f>
        <v>0.33276</v>
      </c>
      <c r="R109" s="2">
        <f>SUMIFS(TB!X:X,TB!$J:$J,$C109)</f>
        <v>0.27124000000000004</v>
      </c>
      <c r="S109" s="2">
        <f>SUMIFS(TB!Y:Y,TB!$J:$J,$C109)</f>
        <v>3.230000000000018E-3</v>
      </c>
      <c r="T109" s="2">
        <f>SUMIFS(TB!Z:Z,TB!$J:$J,$C109)</f>
        <v>0</v>
      </c>
      <c r="U109" s="2">
        <f>SUMIFS(TB!AA:AA,TB!$J:$J,$C109)</f>
        <v>9.6449999999999939E-2</v>
      </c>
      <c r="V109" s="2">
        <f>SUMIFS(TB!AB:AB,TB!$J:$J,$C109)</f>
        <v>0</v>
      </c>
      <c r="W109" s="2">
        <f>SUMIFS(TB!AC:AC,TB!$J:$J,$C109)</f>
        <v>0</v>
      </c>
      <c r="X109" s="2">
        <f>SUMIFS(TB!AD:AD,TB!$J:$J,$C109)</f>
        <v>0</v>
      </c>
      <c r="Y109" s="2">
        <f>SUMIFS(TB!AE:AE,TB!$J:$J,$C109)</f>
        <v>0</v>
      </c>
      <c r="Z109" s="2">
        <f>SUMIFS(TB!AF:AF,TB!$J:$J,$C109)</f>
        <v>0</v>
      </c>
      <c r="AA109" s="2">
        <f>SUMIFS(TB!AG:AG,TB!$J:$J,$C109)</f>
        <v>0.2</v>
      </c>
      <c r="AB109" s="2">
        <f>SUMIFS(TB!AH:AH,TB!$J:$J,$C109)</f>
        <v>0</v>
      </c>
      <c r="AC109" s="2">
        <f>SUMIFS(TB!AI:AI,TB!$J:$J,$C109)</f>
        <v>0</v>
      </c>
      <c r="AD109" s="2">
        <f>SUMIFS(TB!AJ:AJ,TB!$J:$J,$C109)</f>
        <v>0.15</v>
      </c>
      <c r="AE109" s="2">
        <f>SUMIFS(TB!AK:AK,TB!$J:$J,$C109)</f>
        <v>4.2949999999999988E-2</v>
      </c>
      <c r="AF109" s="2">
        <f>SUMIFS(TB!AL:AL,TB!$J:$J,$C109)</f>
        <v>0.33855000000000002</v>
      </c>
      <c r="AG109" s="2">
        <f>SUMIFS(TB!AM:AM,TB!$J:$J,$C109)</f>
        <v>0</v>
      </c>
      <c r="AH109" s="2">
        <f>SUMIFS(TB!AN:AN,TB!$J:$J,$C109)</f>
        <v>0</v>
      </c>
      <c r="AI109" s="2">
        <f>SUMIFS(TB!AO:AO,TB!$J:$J,$C109)</f>
        <v>0</v>
      </c>
      <c r="AJ109" s="2"/>
      <c r="AK109" s="2">
        <f>SUM(E109:P109)</f>
        <v>0.6643</v>
      </c>
      <c r="AL109" s="2">
        <f>SUM(Q109:AB109)</f>
        <v>0.90368000000000004</v>
      </c>
      <c r="AM109" s="2">
        <f>SUM(X109:AI109)</f>
        <v>0.73150000000000004</v>
      </c>
      <c r="AN109" s="2"/>
      <c r="AO109" s="5">
        <f>IFERROR(AK109/AK$15%,0)</f>
        <v>8.6865879082696339E-3</v>
      </c>
      <c r="AP109" s="5">
        <f>IFERROR(AL109/AL$15%,0)</f>
        <v>1.3331069081461902E-2</v>
      </c>
      <c r="AQ109" s="5">
        <f>IFERROR(AM109/AM$15%,0)</f>
        <v>9.9613064727196807E-3</v>
      </c>
    </row>
    <row r="110" spans="3:43" ht="11.25" hidden="1" customHeight="1" outlineLevel="1" x14ac:dyDescent="0.2">
      <c r="C110" s="17" t="s">
        <v>247</v>
      </c>
      <c r="D110" s="15"/>
      <c r="E110" s="14">
        <f>SUMIFS(TB!K:K,TB!$J:$J,$C110)</f>
        <v>0</v>
      </c>
      <c r="F110" s="14">
        <f>SUMIFS(TB!L:L,TB!$J:$J,$C110)</f>
        <v>0</v>
      </c>
      <c r="G110" s="14">
        <f>SUMIFS(TB!M:M,TB!$J:$J,$C110)</f>
        <v>0</v>
      </c>
      <c r="H110" s="14">
        <f>SUMIFS(TB!N:N,TB!$J:$J,$C110)</f>
        <v>0</v>
      </c>
      <c r="I110" s="14">
        <f>SUMIFS(TB!O:O,TB!$J:$J,$C110)</f>
        <v>5.4679999999999999E-2</v>
      </c>
      <c r="J110" s="14">
        <f>SUMIFS(TB!P:P,TB!$J:$J,$C110)</f>
        <v>0.22570999999999997</v>
      </c>
      <c r="K110" s="14">
        <f>SUMIFS(TB!Q:Q,TB!$J:$J,$C110)</f>
        <v>0</v>
      </c>
      <c r="L110" s="14">
        <f>SUMIFS(TB!R:R,TB!$J:$J,$C110)</f>
        <v>0</v>
      </c>
      <c r="M110" s="14">
        <f>SUMIFS(TB!S:S,TB!$J:$J,$C110)</f>
        <v>0</v>
      </c>
      <c r="N110" s="14">
        <f>SUMIFS(TB!T:T,TB!$J:$J,$C110)</f>
        <v>0</v>
      </c>
      <c r="O110" s="14">
        <f>SUMIFS(TB!U:U,TB!$J:$J,$C110)</f>
        <v>0</v>
      </c>
      <c r="P110" s="14">
        <f>SUMIFS(TB!V:V,TB!$J:$J,$C110)</f>
        <v>0</v>
      </c>
      <c r="Q110" s="14">
        <f>SUMIFS(TB!W:W,TB!$J:$J,$C110)</f>
        <v>0</v>
      </c>
      <c r="R110" s="14">
        <f>SUMIFS(TB!X:X,TB!$J:$J,$C110)</f>
        <v>0</v>
      </c>
      <c r="S110" s="14">
        <f>SUMIFS(TB!Y:Y,TB!$J:$J,$C110)</f>
        <v>0</v>
      </c>
      <c r="T110" s="14">
        <f>SUMIFS(TB!Z:Z,TB!$J:$J,$C110)</f>
        <v>0</v>
      </c>
      <c r="U110" s="14">
        <f>SUMIFS(TB!AA:AA,TB!$J:$J,$C110)</f>
        <v>0</v>
      </c>
      <c r="V110" s="14">
        <f>SUMIFS(TB!AB:AB,TB!$J:$J,$C110)</f>
        <v>0</v>
      </c>
      <c r="W110" s="14">
        <f>SUMIFS(TB!AC:AC,TB!$J:$J,$C110)</f>
        <v>0</v>
      </c>
      <c r="X110" s="14">
        <f>SUMIFS(TB!AD:AD,TB!$J:$J,$C110)</f>
        <v>0</v>
      </c>
      <c r="Y110" s="14">
        <f>SUMIFS(TB!AE:AE,TB!$J:$J,$C110)</f>
        <v>0</v>
      </c>
      <c r="Z110" s="14">
        <f>SUMIFS(TB!AF:AF,TB!$J:$J,$C110)</f>
        <v>0</v>
      </c>
      <c r="AA110" s="14">
        <f>SUMIFS(TB!AG:AG,TB!$J:$J,$C110)</f>
        <v>0</v>
      </c>
      <c r="AB110" s="14">
        <f>SUMIFS(TB!AH:AH,TB!$J:$J,$C110)</f>
        <v>4.972E-2</v>
      </c>
      <c r="AC110" s="14">
        <f>SUMIFS(TB!AI:AI,TB!$J:$J,$C110)</f>
        <v>0</v>
      </c>
      <c r="AD110" s="14">
        <f>SUMIFS(TB!AJ:AJ,TB!$J:$J,$C110)</f>
        <v>0</v>
      </c>
      <c r="AE110" s="14">
        <f>SUMIFS(TB!AK:AK,TB!$J:$J,$C110)</f>
        <v>0</v>
      </c>
      <c r="AF110" s="14">
        <f>SUMIFS(TB!AL:AL,TB!$J:$J,$C110)</f>
        <v>0</v>
      </c>
      <c r="AG110" s="14">
        <f>SUMIFS(TB!AM:AM,TB!$J:$J,$C110)</f>
        <v>0</v>
      </c>
      <c r="AH110" s="14">
        <f>SUMIFS(TB!AN:AN,TB!$J:$J,$C110)</f>
        <v>0</v>
      </c>
      <c r="AI110" s="14">
        <f>SUMIFS(TB!AO:AO,TB!$J:$J,$C110)</f>
        <v>0</v>
      </c>
      <c r="AJ110" s="14"/>
      <c r="AK110" s="14">
        <f>SUM(E110:P110)</f>
        <v>0.28038999999999997</v>
      </c>
      <c r="AL110" s="14">
        <f>SUM(Q110:AB110)</f>
        <v>4.972E-2</v>
      </c>
      <c r="AM110" s="14">
        <f>SUM(X110:AI110)</f>
        <v>4.972E-2</v>
      </c>
      <c r="AN110" s="14"/>
      <c r="AO110" s="13">
        <f>IFERROR(AK110/AK$15%,0)</f>
        <v>3.6664645244614217E-3</v>
      </c>
      <c r="AP110" s="13">
        <f>IFERROR(AL110/AL$15%,0)</f>
        <v>7.3346843432441316E-4</v>
      </c>
      <c r="AQ110" s="13">
        <f>IFERROR(AM110/AM$15%,0)</f>
        <v>6.770692519803452E-4</v>
      </c>
    </row>
    <row r="111" spans="3:43" ht="11.25" customHeight="1" collapsed="1" x14ac:dyDescent="0.2">
      <c r="C111" s="17" t="s">
        <v>19</v>
      </c>
      <c r="D111" s="15"/>
      <c r="E111" s="14">
        <f>SUM(E107:E110)</f>
        <v>1.7244000000000002</v>
      </c>
      <c r="F111" s="14">
        <f>SUM(F107:F110)</f>
        <v>3.1080400000000004</v>
      </c>
      <c r="G111" s="14">
        <f>SUM(G107:G110)</f>
        <v>4.4508700000000001</v>
      </c>
      <c r="H111" s="14">
        <f>SUM(H107:H110)</f>
        <v>2.6212599999999995</v>
      </c>
      <c r="I111" s="14">
        <f>SUM(I107:I110)</f>
        <v>2.0853800000000002</v>
      </c>
      <c r="J111" s="14">
        <f>SUM(J107:J110)</f>
        <v>2.6648800000000001</v>
      </c>
      <c r="K111" s="14">
        <f>SUM(K107:K110)</f>
        <v>0.81089000000000033</v>
      </c>
      <c r="L111" s="14">
        <f>SUM(L107:L110)</f>
        <v>0.89428000000000019</v>
      </c>
      <c r="M111" s="14">
        <f>SUM(M107:M110)</f>
        <v>0.16400000000000001</v>
      </c>
      <c r="N111" s="14">
        <f>SUM(N107:N110)</f>
        <v>0.12366000000000008</v>
      </c>
      <c r="O111" s="14">
        <f>SUM(O107:O110)</f>
        <v>0.56169999999999998</v>
      </c>
      <c r="P111" s="14">
        <f>SUM(P107:P110)</f>
        <v>4.1585099999999988</v>
      </c>
      <c r="Q111" s="14">
        <f>SUM(Q107:Q110)</f>
        <v>4.1870099999999999</v>
      </c>
      <c r="R111" s="14">
        <f>SUM(R107:R110)</f>
        <v>3.8249100000000005</v>
      </c>
      <c r="S111" s="14">
        <f>SUM(S107:S110)</f>
        <v>1.3913500000000003</v>
      </c>
      <c r="T111" s="14">
        <f>SUM(T107:T110)</f>
        <v>0.9982099999999996</v>
      </c>
      <c r="U111" s="14">
        <f>SUM(U107:U110)</f>
        <v>1.3451599999999999</v>
      </c>
      <c r="V111" s="14">
        <f>SUM(V107:V110)</f>
        <v>1.8914000000000011</v>
      </c>
      <c r="W111" s="14">
        <f>SUM(W107:W110)</f>
        <v>0.36011999999999944</v>
      </c>
      <c r="X111" s="14">
        <f>SUM(X107:X110)</f>
        <v>0</v>
      </c>
      <c r="Y111" s="14">
        <f>SUM(Y107:Y110)</f>
        <v>4.2730000000000476E-2</v>
      </c>
      <c r="Z111" s="14">
        <f>SUM(Z107:Z110)</f>
        <v>1.0935899999999983</v>
      </c>
      <c r="AA111" s="14">
        <f>SUM(AA107:AA110)</f>
        <v>4.1866800000000017</v>
      </c>
      <c r="AB111" s="14">
        <f>SUM(AB107:AB110)</f>
        <v>1.1231699999999998</v>
      </c>
      <c r="AC111" s="14">
        <f>SUM(AC107:AC110)</f>
        <v>4.8429699999999993</v>
      </c>
      <c r="AD111" s="14">
        <f>SUM(AD107:AD110)</f>
        <v>2.3346100000000001</v>
      </c>
      <c r="AE111" s="14">
        <f>SUM(AE107:AE110)</f>
        <v>4.28287</v>
      </c>
      <c r="AF111" s="14">
        <f>SUM(AF107:AF110)</f>
        <v>3.1315200000000005</v>
      </c>
      <c r="AG111" s="14">
        <f>SUM(AG107:AG110)</f>
        <v>8.8593800000000016</v>
      </c>
      <c r="AH111" s="14">
        <f>SUM(AH107:AH110)</f>
        <v>0.91451999999999678</v>
      </c>
      <c r="AI111" s="14">
        <f>SUM(AI107:AI110)</f>
        <v>0.25565000000000143</v>
      </c>
      <c r="AJ111" s="14"/>
      <c r="AK111" s="14">
        <f>SUM(AK107:AK110)</f>
        <v>23.36787</v>
      </c>
      <c r="AL111" s="14">
        <f>SUM(AL107:AL110)</f>
        <v>20.444330000000001</v>
      </c>
      <c r="AM111" s="14">
        <f>SUM(AM107:AM110)</f>
        <v>31.067690000000002</v>
      </c>
      <c r="AN111" s="14"/>
      <c r="AO111" s="13">
        <f>IFERROR(AK111/AK$15%,0)</f>
        <v>0.30556534244169309</v>
      </c>
      <c r="AP111" s="13">
        <f>IFERROR(AL111/AL$15%,0)</f>
        <v>0.3015943426369998</v>
      </c>
      <c r="AQ111" s="13">
        <f>IFERROR(AM111/AM$15%,0)</f>
        <v>0.42306873751120777</v>
      </c>
    </row>
    <row r="112" spans="3:43" ht="11.25" customHeight="1" x14ac:dyDescent="0.2">
      <c r="C112" s="17" t="s">
        <v>18</v>
      </c>
      <c r="D112" s="15"/>
      <c r="E112" s="14">
        <f>SUM(E45,E67,E83,E87,E105,E111)</f>
        <v>501.62028000000004</v>
      </c>
      <c r="F112" s="14">
        <f>SUM(F45,F67,F83,F87,F105,F111)</f>
        <v>536.03161</v>
      </c>
      <c r="G112" s="14">
        <f>SUM(G45,G67,G83,G87,G105,G111)</f>
        <v>567.48325</v>
      </c>
      <c r="H112" s="14">
        <f>SUM(H45,H67,H83,H87,H105,H111)</f>
        <v>466.99545000000001</v>
      </c>
      <c r="I112" s="14">
        <f>SUM(I45,I67,I83,I87,I105,I111)</f>
        <v>514.5730299999999</v>
      </c>
      <c r="J112" s="14">
        <f>SUM(J45,J67,J83,J87,J105,J111)</f>
        <v>518.78140000000008</v>
      </c>
      <c r="K112" s="14">
        <f>SUM(K45,K67,K83,K87,K105,K111)</f>
        <v>580.92053999999985</v>
      </c>
      <c r="L112" s="14">
        <f>SUM(L45,L67,L83,L87,L105,L111)</f>
        <v>592.93060999999989</v>
      </c>
      <c r="M112" s="14">
        <f>SUM(M45,M67,M83,M87,M105,M111)</f>
        <v>460.04145000000005</v>
      </c>
      <c r="N112" s="14">
        <f>SUM(N45,N67,N83,N87,N105,N111)</f>
        <v>484.39767999999992</v>
      </c>
      <c r="O112" s="14">
        <f>SUM(O45,O67,O83,O87,O105,O111)</f>
        <v>659.81619000000012</v>
      </c>
      <c r="P112" s="14">
        <f>SUM(P45,P67,P83,P87,P105,P111)</f>
        <v>621.95644000000004</v>
      </c>
      <c r="Q112" s="14">
        <f>SUM(Q45,Q67,Q83,Q87,Q105,Q111)</f>
        <v>498.70060999999993</v>
      </c>
      <c r="R112" s="14">
        <f>SUM(R45,R67,R83,R87,R105,R111)</f>
        <v>441.31925000000001</v>
      </c>
      <c r="S112" s="14">
        <f>SUM(S45,S67,S83,S87,S105,S111)</f>
        <v>520.37555000000009</v>
      </c>
      <c r="T112" s="14">
        <f>SUM(T45,T67,T83,T87,T105,T111)</f>
        <v>495.55203</v>
      </c>
      <c r="U112" s="14">
        <f>SUM(U45,U67,U83,U87,U105,U111)</f>
        <v>522.09446000000003</v>
      </c>
      <c r="V112" s="14">
        <f>SUM(V45,V67,V83,V87,V105,V111)</f>
        <v>469.77301000000006</v>
      </c>
      <c r="W112" s="14">
        <f>SUM(W45,W67,W83,W87,W105,W111)</f>
        <v>534.29615000000001</v>
      </c>
      <c r="X112" s="14">
        <f>SUM(X45,X67,X83,X87,X105,X111)</f>
        <v>525.67833999999993</v>
      </c>
      <c r="Y112" s="14">
        <f>SUM(Y45,Y67,Y83,Y87,Y105,Y111)</f>
        <v>517.73645999999985</v>
      </c>
      <c r="Z112" s="14">
        <f>SUM(Z45,Z67,Z83,Z87,Z105,Z111)</f>
        <v>87.993160000000316</v>
      </c>
      <c r="AA112" s="14">
        <f>SUM(AA45,AA67,AA83,AA87,AA105,AA111)</f>
        <v>406.2532999999998</v>
      </c>
      <c r="AB112" s="14">
        <f>SUM(AB45,AB67,AB83,AB87,AB105,AB111)</f>
        <v>526.93153000000007</v>
      </c>
      <c r="AC112" s="14">
        <f>SUM(AC45,AC67,AC83,AC87,AC105,AC111)</f>
        <v>456.45871999999991</v>
      </c>
      <c r="AD112" s="14">
        <f>SUM(AD45,AD67,AD83,AD87,AD105,AD111)</f>
        <v>539.78719000000001</v>
      </c>
      <c r="AE112" s="14">
        <f>SUM(AE45,AE67,AE83,AE87,AE105,AE111)</f>
        <v>570.38994000000014</v>
      </c>
      <c r="AF112" s="14">
        <f>SUM(AF45,AF67,AF83,AF87,AF105,AF111)</f>
        <v>448.12103000000002</v>
      </c>
      <c r="AG112" s="14">
        <f>SUM(AG45,AG67,AG83,AG87,AG105,AG111)</f>
        <v>516.98306000000002</v>
      </c>
      <c r="AH112" s="14">
        <f>SUM(AH45,AH67,AH83,AH87,AH105,AH111)</f>
        <v>525.17485000000011</v>
      </c>
      <c r="AI112" s="14">
        <f>SUM(AI45,AI67,AI83,AI87,AI105,AI111)</f>
        <v>525.3996199999998</v>
      </c>
      <c r="AJ112" s="14"/>
      <c r="AK112" s="14">
        <f>SUM(AK45,AK67,AK83,AK87,AK105,AK111)</f>
        <v>6505.5479300000006</v>
      </c>
      <c r="AL112" s="14">
        <f>SUM(AL45,AL67,AL83,AL87,AL105,AL111)</f>
        <v>5546.7038500000008</v>
      </c>
      <c r="AM112" s="14">
        <f>SUM(AM45,AM67,AM83,AM87,AM105,AM111)</f>
        <v>5646.9072000000006</v>
      </c>
      <c r="AN112" s="14"/>
      <c r="AO112" s="13">
        <f>IFERROR(AK112/AK$15%,0)</f>
        <v>85.068514203532359</v>
      </c>
      <c r="AP112" s="13">
        <f>IFERROR(AL112/AL$15%,0)</f>
        <v>81.824863003232011</v>
      </c>
      <c r="AQ112" s="13">
        <f>IFERROR(AM112/AM$15%,0)</f>
        <v>76.897571076154989</v>
      </c>
    </row>
    <row r="113" spans="3:43" ht="11.25" customHeight="1" x14ac:dyDescent="0.25">
      <c r="C113" s="21" t="s">
        <v>17</v>
      </c>
      <c r="D113" s="20"/>
      <c r="E113" s="19">
        <f>E20-E112</f>
        <v>-308.49328000000003</v>
      </c>
      <c r="F113" s="19">
        <f>F20-F112</f>
        <v>-106.58811000000003</v>
      </c>
      <c r="G113" s="19">
        <f>G20-G112</f>
        <v>164.33174999999994</v>
      </c>
      <c r="H113" s="19">
        <f>H20-H112</f>
        <v>-36.640450000000044</v>
      </c>
      <c r="I113" s="19">
        <f>I20-I112</f>
        <v>108.85597000000007</v>
      </c>
      <c r="J113" s="19">
        <f>J20-J112</f>
        <v>-37.950400000000059</v>
      </c>
      <c r="K113" s="19">
        <f>K20-K112</f>
        <v>107.54746000000011</v>
      </c>
      <c r="L113" s="19">
        <f>L20-L112</f>
        <v>674.4688900000001</v>
      </c>
      <c r="M113" s="19">
        <f>M20-M112</f>
        <v>816.1345500000001</v>
      </c>
      <c r="N113" s="19">
        <f>N20-N112</f>
        <v>-245.69617999999994</v>
      </c>
      <c r="O113" s="19">
        <f>O20-O112</f>
        <v>-108.92309000000012</v>
      </c>
      <c r="P113" s="19">
        <f>P20-P112</f>
        <v>114.82655999999986</v>
      </c>
      <c r="Q113" s="19">
        <f>Q20-Q112</f>
        <v>-76.656609999999944</v>
      </c>
      <c r="R113" s="19">
        <f>R20-R112</f>
        <v>84.330749999999966</v>
      </c>
      <c r="S113" s="19">
        <f>S20-S112</f>
        <v>-149.02755000000013</v>
      </c>
      <c r="T113" s="19">
        <f>T20-T112</f>
        <v>-113.91802999999999</v>
      </c>
      <c r="U113" s="19">
        <f>U20-U112</f>
        <v>15.084539999999947</v>
      </c>
      <c r="V113" s="19">
        <f>V20-V112</f>
        <v>-112.86901000000006</v>
      </c>
      <c r="W113" s="19">
        <f>W20-W112</f>
        <v>-168.68214999999998</v>
      </c>
      <c r="X113" s="19">
        <f>X20-X112</f>
        <v>606.72365999999988</v>
      </c>
      <c r="Y113" s="19">
        <f>Y20-Y112</f>
        <v>617.43368000000032</v>
      </c>
      <c r="Z113" s="19">
        <f>Z20-Z112</f>
        <v>241.65784999999966</v>
      </c>
      <c r="AA113" s="19">
        <f>AA20-AA112</f>
        <v>401.67570000000018</v>
      </c>
      <c r="AB113" s="19">
        <f>AB20-AB112</f>
        <v>-113.70552000000032</v>
      </c>
      <c r="AC113" s="19">
        <f>AC20-AC112</f>
        <v>-104.9857199999999</v>
      </c>
      <c r="AD113" s="19">
        <f>AD20-AD112</f>
        <v>3.8198099999999613</v>
      </c>
      <c r="AE113" s="19">
        <f>AE20-AE112</f>
        <v>166.17516000000001</v>
      </c>
      <c r="AF113" s="19">
        <f>AF20-AF112</f>
        <v>-22.474030000000027</v>
      </c>
      <c r="AG113" s="19">
        <f>AG20-AG112</f>
        <v>-232.79306000000003</v>
      </c>
      <c r="AH113" s="19">
        <f>AH20-AH112</f>
        <v>235.19114999999988</v>
      </c>
      <c r="AI113" s="19">
        <f>AI20-AI112</f>
        <v>-102.21161999999981</v>
      </c>
      <c r="AJ113" s="19"/>
      <c r="AK113" s="19">
        <f>AK20-AK112</f>
        <v>1141.8736699999981</v>
      </c>
      <c r="AL113" s="19">
        <f>AL20-AL112</f>
        <v>1232.047309999999</v>
      </c>
      <c r="AM113" s="19">
        <f>AM20-AM112</f>
        <v>1696.507059999999</v>
      </c>
      <c r="AN113" s="19"/>
      <c r="AO113" s="18">
        <f>IFERROR(AK113/AK$15%,0)</f>
        <v>14.931485796467641</v>
      </c>
      <c r="AP113" s="18">
        <f>IFERROR(AL113/AL$15%,0)</f>
        <v>18.175136996767986</v>
      </c>
      <c r="AQ113" s="18">
        <f>IFERROR(AM113/AM$15%,0)</f>
        <v>23.102428923845011</v>
      </c>
    </row>
    <row r="114" spans="3:43" ht="6" customHeight="1" x14ac:dyDescent="0.2">
      <c r="C114" s="7"/>
      <c r="D114" s="4"/>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2"/>
      <c r="AK114" s="5"/>
      <c r="AL114" s="5"/>
      <c r="AM114" s="5"/>
      <c r="AN114" s="2"/>
      <c r="AO114" s="5"/>
      <c r="AP114" s="5"/>
      <c r="AQ114" s="5"/>
    </row>
    <row r="115" spans="3:43" ht="11.25" customHeight="1" outlineLevel="1" x14ac:dyDescent="0.2">
      <c r="C115" t="s">
        <v>246</v>
      </c>
      <c r="D115" s="4"/>
      <c r="E115" s="2">
        <f>SUMIFS(TB!K:K,TB!$J:$J,$C115)</f>
        <v>0</v>
      </c>
      <c r="F115" s="2">
        <f>SUMIFS(TB!L:L,TB!$J:$J,$C115)</f>
        <v>0</v>
      </c>
      <c r="G115" s="2">
        <f>SUMIFS(TB!M:M,TB!$J:$J,$C115)</f>
        <v>0</v>
      </c>
      <c r="H115" s="2">
        <f>SUMIFS(TB!N:N,TB!$J:$J,$C115)</f>
        <v>0</v>
      </c>
      <c r="I115" s="2">
        <f>SUMIFS(TB!O:O,TB!$J:$J,$C115)</f>
        <v>0</v>
      </c>
      <c r="J115" s="2">
        <f>SUMIFS(TB!P:P,TB!$J:$J,$C115)</f>
        <v>0</v>
      </c>
      <c r="K115" s="2">
        <f>SUMIFS(TB!Q:Q,TB!$J:$J,$C115)</f>
        <v>0</v>
      </c>
      <c r="L115" s="2">
        <f>SUMIFS(TB!R:R,TB!$J:$J,$C115)</f>
        <v>0</v>
      </c>
      <c r="M115" s="2">
        <f>SUMIFS(TB!S:S,TB!$J:$J,$C115)</f>
        <v>0</v>
      </c>
      <c r="N115" s="2">
        <f>SUMIFS(TB!T:T,TB!$J:$J,$C115)</f>
        <v>0</v>
      </c>
      <c r="O115" s="2">
        <f>SUMIFS(TB!U:U,TB!$J:$J,$C115)</f>
        <v>0</v>
      </c>
      <c r="P115" s="2">
        <f>SUMIFS(TB!V:V,TB!$J:$J,$C115)</f>
        <v>0</v>
      </c>
      <c r="Q115" s="2">
        <f>SUMIFS(TB!W:W,TB!$J:$J,$C115)</f>
        <v>0</v>
      </c>
      <c r="R115" s="2">
        <f>SUMIFS(TB!X:X,TB!$J:$J,$C115)</f>
        <v>0</v>
      </c>
      <c r="S115" s="2">
        <f>SUMIFS(TB!Y:Y,TB!$J:$J,$C115)</f>
        <v>0</v>
      </c>
      <c r="T115" s="2">
        <f>SUMIFS(TB!Z:Z,TB!$J:$J,$C115)</f>
        <v>0</v>
      </c>
      <c r="U115" s="2">
        <f>SUMIFS(TB!AA:AA,TB!$J:$J,$C115)</f>
        <v>0</v>
      </c>
      <c r="V115" s="2">
        <f>SUMIFS(TB!AB:AB,TB!$J:$J,$C115)</f>
        <v>58</v>
      </c>
      <c r="W115" s="2">
        <f>SUMIFS(TB!AC:AC,TB!$J:$J,$C115)</f>
        <v>0</v>
      </c>
      <c r="X115" s="2">
        <f>SUMIFS(TB!AD:AD,TB!$J:$J,$C115)</f>
        <v>0</v>
      </c>
      <c r="Y115" s="2">
        <f>SUMIFS(TB!AE:AE,TB!$J:$J,$C115)</f>
        <v>120.971</v>
      </c>
      <c r="Z115" s="2">
        <f>SUMIFS(TB!AF:AF,TB!$J:$J,$C115)</f>
        <v>0</v>
      </c>
      <c r="AA115" s="2">
        <f>SUMIFS(TB!AG:AG,TB!$J:$J,$C115)</f>
        <v>0</v>
      </c>
      <c r="AB115" s="2">
        <f>SUMIFS(TB!AH:AH,TB!$J:$J,$C115)</f>
        <v>0</v>
      </c>
      <c r="AC115" s="2">
        <f>SUMIFS(TB!AI:AI,TB!$J:$J,$C115)</f>
        <v>29</v>
      </c>
      <c r="AD115" s="2">
        <f>SUMIFS(TB!AJ:AJ,TB!$J:$J,$C115)</f>
        <v>0</v>
      </c>
      <c r="AE115" s="2">
        <f>SUMIFS(TB!AK:AK,TB!$J:$J,$C115)</f>
        <v>0</v>
      </c>
      <c r="AF115" s="2">
        <f>SUMIFS(TB!AL:AL,TB!$J:$J,$C115)</f>
        <v>0</v>
      </c>
      <c r="AG115" s="2">
        <f>SUMIFS(TB!AM:AM,TB!$J:$J,$C115)</f>
        <v>0</v>
      </c>
      <c r="AH115" s="2">
        <f>SUMIFS(TB!AN:AN,TB!$J:$J,$C115)</f>
        <v>15.176</v>
      </c>
      <c r="AI115" s="2">
        <f>SUMIFS(TB!AO:AO,TB!$J:$J,$C115)</f>
        <v>0</v>
      </c>
      <c r="AJ115" s="2"/>
      <c r="AK115" s="2">
        <f>SUM(E115:P115)</f>
        <v>0</v>
      </c>
      <c r="AL115" s="2">
        <f>SUM(Q115:AB115)</f>
        <v>178.971</v>
      </c>
      <c r="AM115" s="2">
        <f>SUM(X115:AI115)</f>
        <v>165.14699999999999</v>
      </c>
      <c r="AN115" s="2"/>
      <c r="AO115" s="5">
        <f>IFERROR(AK115/AK$15%,0)</f>
        <v>0</v>
      </c>
      <c r="AP115" s="5">
        <f>IFERROR(AL115/AL$15%,0)</f>
        <v>2.64017657199265</v>
      </c>
      <c r="AQ115" s="5">
        <f>IFERROR(AM115/AM$15%,0)</f>
        <v>2.2489130280932836</v>
      </c>
    </row>
    <row r="116" spans="3:43" ht="11.25" customHeight="1" outlineLevel="1" x14ac:dyDescent="0.2">
      <c r="C116" s="17" t="s">
        <v>245</v>
      </c>
      <c r="D116" s="15"/>
      <c r="E116" s="14">
        <f>SUMIFS(TB!K:K,TB!$J:$J,$C116)</f>
        <v>0</v>
      </c>
      <c r="F116" s="14">
        <f>SUMIFS(TB!L:L,TB!$J:$J,$C116)</f>
        <v>0</v>
      </c>
      <c r="G116" s="14">
        <f>SUMIFS(TB!M:M,TB!$J:$J,$C116)</f>
        <v>0.375</v>
      </c>
      <c r="H116" s="14">
        <f>SUMIFS(TB!N:N,TB!$J:$J,$C116)</f>
        <v>0</v>
      </c>
      <c r="I116" s="14">
        <f>SUMIFS(TB!O:O,TB!$J:$J,$C116)</f>
        <v>0</v>
      </c>
      <c r="J116" s="14">
        <f>SUMIFS(TB!P:P,TB!$J:$J,$C116)</f>
        <v>0.375</v>
      </c>
      <c r="K116" s="14">
        <f>SUMIFS(TB!Q:Q,TB!$J:$J,$C116)</f>
        <v>0</v>
      </c>
      <c r="L116" s="14">
        <f>SUMIFS(TB!R:R,TB!$J:$J,$C116)</f>
        <v>0</v>
      </c>
      <c r="M116" s="14">
        <f>SUMIFS(TB!S:S,TB!$J:$J,$C116)</f>
        <v>0.375</v>
      </c>
      <c r="N116" s="14">
        <f>SUMIFS(TB!T:T,TB!$J:$J,$C116)</f>
        <v>0</v>
      </c>
      <c r="O116" s="14">
        <f>SUMIFS(TB!U:U,TB!$J:$J,$C116)</f>
        <v>0</v>
      </c>
      <c r="P116" s="14">
        <f>SUMIFS(TB!V:V,TB!$J:$J,$C116)</f>
        <v>0.375</v>
      </c>
      <c r="Q116" s="14">
        <f>SUMIFS(TB!W:W,TB!$J:$J,$C116)</f>
        <v>0</v>
      </c>
      <c r="R116" s="14">
        <f>SUMIFS(TB!X:X,TB!$J:$J,$C116)</f>
        <v>0</v>
      </c>
      <c r="S116" s="14">
        <f>SUMIFS(TB!Y:Y,TB!$J:$J,$C116)</f>
        <v>0</v>
      </c>
      <c r="T116" s="14">
        <f>SUMIFS(TB!Z:Z,TB!$J:$J,$C116)</f>
        <v>0</v>
      </c>
      <c r="U116" s="14">
        <f>SUMIFS(TB!AA:AA,TB!$J:$J,$C116)</f>
        <v>0</v>
      </c>
      <c r="V116" s="14">
        <f>SUMIFS(TB!AB:AB,TB!$J:$J,$C116)</f>
        <v>1.1299999999999999</v>
      </c>
      <c r="W116" s="14">
        <f>SUMIFS(TB!AC:AC,TB!$J:$J,$C116)</f>
        <v>0</v>
      </c>
      <c r="X116" s="14">
        <f>SUMIFS(TB!AD:AD,TB!$J:$J,$C116)</f>
        <v>0</v>
      </c>
      <c r="Y116" s="14">
        <f>SUMIFS(TB!AE:AE,TB!$J:$J,$C116)</f>
        <v>1.3979999999999999</v>
      </c>
      <c r="Z116" s="14">
        <f>SUMIFS(TB!AF:AF,TB!$J:$J,$C116)</f>
        <v>0</v>
      </c>
      <c r="AA116" s="14">
        <f>SUMIFS(TB!AG:AG,TB!$J:$J,$C116)</f>
        <v>0</v>
      </c>
      <c r="AB116" s="14">
        <f>SUMIFS(TB!AH:AH,TB!$J:$J,$C116)</f>
        <v>0.56499999999999995</v>
      </c>
      <c r="AC116" s="14">
        <f>SUMIFS(TB!AI:AI,TB!$J:$J,$C116)</f>
        <v>0</v>
      </c>
      <c r="AD116" s="14">
        <f>SUMIFS(TB!AJ:AJ,TB!$J:$J,$C116)</f>
        <v>0</v>
      </c>
      <c r="AE116" s="14">
        <f>SUMIFS(TB!AK:AK,TB!$J:$J,$C116)</f>
        <v>0</v>
      </c>
      <c r="AF116" s="14">
        <f>SUMIFS(TB!AL:AL,TB!$J:$J,$C116)</f>
        <v>0</v>
      </c>
      <c r="AG116" s="14">
        <f>SUMIFS(TB!AM:AM,TB!$J:$J,$C116)</f>
        <v>0</v>
      </c>
      <c r="AH116" s="14">
        <f>SUMIFS(TB!AN:AN,TB!$J:$J,$C116)</f>
        <v>0</v>
      </c>
      <c r="AI116" s="14">
        <f>SUMIFS(TB!AO:AO,TB!$J:$J,$C116)</f>
        <v>0</v>
      </c>
      <c r="AJ116" s="14"/>
      <c r="AK116" s="14">
        <f>SUM(E116:P116)</f>
        <v>1.5</v>
      </c>
      <c r="AL116" s="14">
        <f>SUM(Q116:AB116)</f>
        <v>3.0929999999999995</v>
      </c>
      <c r="AM116" s="14">
        <f>SUM(X116:AI116)</f>
        <v>1.9629999999999999</v>
      </c>
      <c r="AN116" s="14"/>
      <c r="AO116" s="13">
        <f>IFERROR(AK116/AK$15%,0)</f>
        <v>1.9614454105681845E-2</v>
      </c>
      <c r="AP116" s="13">
        <f>IFERROR(AL116/AL$15%,0)</f>
        <v>4.5627873438564157E-2</v>
      </c>
      <c r="AQ116" s="13">
        <f>IFERROR(AM116/AM$15%,0)</f>
        <v>2.6731434868009201E-2</v>
      </c>
    </row>
    <row r="117" spans="3:43" ht="11.25" customHeight="1" x14ac:dyDescent="0.2">
      <c r="C117" t="s">
        <v>16</v>
      </c>
      <c r="D117" s="4"/>
      <c r="E117" s="2">
        <f>SUM(E115:E116)</f>
        <v>0</v>
      </c>
      <c r="F117" s="2">
        <f>SUM(F115:F116)</f>
        <v>0</v>
      </c>
      <c r="G117" s="2">
        <f>SUM(G115:G116)</f>
        <v>0.375</v>
      </c>
      <c r="H117" s="2">
        <f>SUM(H115:H116)</f>
        <v>0</v>
      </c>
      <c r="I117" s="2">
        <f>SUM(I115:I116)</f>
        <v>0</v>
      </c>
      <c r="J117" s="2">
        <f>SUM(J115:J116)</f>
        <v>0.375</v>
      </c>
      <c r="K117" s="2">
        <f>SUM(K115:K116)</f>
        <v>0</v>
      </c>
      <c r="L117" s="2">
        <f>SUM(L115:L116)</f>
        <v>0</v>
      </c>
      <c r="M117" s="2">
        <f>SUM(M115:M116)</f>
        <v>0.375</v>
      </c>
      <c r="N117" s="2">
        <f>SUM(N115:N116)</f>
        <v>0</v>
      </c>
      <c r="O117" s="2">
        <f>SUM(O115:O116)</f>
        <v>0</v>
      </c>
      <c r="P117" s="2">
        <f>SUM(P115:P116)</f>
        <v>0.375</v>
      </c>
      <c r="Q117" s="2">
        <f>SUM(Q115:Q116)</f>
        <v>0</v>
      </c>
      <c r="R117" s="2">
        <f>SUM(R115:R116)</f>
        <v>0</v>
      </c>
      <c r="S117" s="2">
        <f>SUM(S115:S116)</f>
        <v>0</v>
      </c>
      <c r="T117" s="2">
        <f>SUM(T115:T116)</f>
        <v>0</v>
      </c>
      <c r="U117" s="2">
        <f>SUM(U115:U116)</f>
        <v>0</v>
      </c>
      <c r="V117" s="2">
        <f>SUM(V115:V116)</f>
        <v>59.13</v>
      </c>
      <c r="W117" s="2">
        <f>SUM(W115:W116)</f>
        <v>0</v>
      </c>
      <c r="X117" s="2">
        <f>SUM(X115:X116)</f>
        <v>0</v>
      </c>
      <c r="Y117" s="2">
        <f>SUM(Y115:Y116)</f>
        <v>122.369</v>
      </c>
      <c r="Z117" s="2">
        <f>SUM(Z115:Z116)</f>
        <v>0</v>
      </c>
      <c r="AA117" s="2">
        <f>SUM(AA115:AA116)</f>
        <v>0</v>
      </c>
      <c r="AB117" s="2">
        <f>SUM(AB115:AB116)</f>
        <v>0.56499999999999995</v>
      </c>
      <c r="AC117" s="2">
        <f>SUM(AC115:AC116)</f>
        <v>29</v>
      </c>
      <c r="AD117" s="2">
        <f>SUM(AD115:AD116)</f>
        <v>0</v>
      </c>
      <c r="AE117" s="2">
        <f>SUM(AE115:AE116)</f>
        <v>0</v>
      </c>
      <c r="AF117" s="2">
        <f>SUM(AF115:AF116)</f>
        <v>0</v>
      </c>
      <c r="AG117" s="2">
        <f>SUM(AG115:AG116)</f>
        <v>0</v>
      </c>
      <c r="AH117" s="2">
        <f>SUM(AH115:AH116)</f>
        <v>15.176</v>
      </c>
      <c r="AI117" s="2">
        <f>SUM(AI115:AI116)</f>
        <v>0</v>
      </c>
      <c r="AJ117" s="2"/>
      <c r="AK117" s="2">
        <f>SUM(AK115:AK116)</f>
        <v>1.5</v>
      </c>
      <c r="AL117" s="2">
        <f>SUM(AL115:AL116)</f>
        <v>182.06399999999999</v>
      </c>
      <c r="AM117" s="2">
        <f>SUM(AM115:AM116)</f>
        <v>167.10999999999999</v>
      </c>
      <c r="AN117" s="2"/>
      <c r="AO117" s="5">
        <f>IFERROR(AK117/AK$15%,0)</f>
        <v>1.9614454105681845E-2</v>
      </c>
      <c r="AP117" s="5">
        <f>IFERROR(AL117/AL$15%,0)</f>
        <v>2.6858044454312142</v>
      </c>
      <c r="AQ117" s="5">
        <f>IFERROR(AM117/AM$15%,0)</f>
        <v>2.2756444629612926</v>
      </c>
    </row>
    <row r="118" spans="3:43" ht="6" customHeight="1" outlineLevel="1" x14ac:dyDescent="0.2">
      <c r="D118" s="4"/>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5"/>
      <c r="AP118" s="5"/>
      <c r="AQ118" s="5"/>
    </row>
    <row r="119" spans="3:43" ht="11.25" customHeight="1" outlineLevel="1" x14ac:dyDescent="0.2">
      <c r="C119" s="17" t="s">
        <v>244</v>
      </c>
      <c r="D119" s="15"/>
      <c r="E119" s="14">
        <f>SUMIFS(TB!K:K,TB!$J:$J,$C119)</f>
        <v>0</v>
      </c>
      <c r="F119" s="14">
        <f>SUMIFS(TB!L:L,TB!$J:$J,$C119)</f>
        <v>0</v>
      </c>
      <c r="G119" s="14">
        <f>SUMIFS(TB!M:M,TB!$J:$J,$C119)</f>
        <v>0</v>
      </c>
      <c r="H119" s="14">
        <f>SUMIFS(TB!N:N,TB!$J:$J,$C119)</f>
        <v>0</v>
      </c>
      <c r="I119" s="14">
        <f>SUMIFS(TB!O:O,TB!$J:$J,$C119)</f>
        <v>0</v>
      </c>
      <c r="J119" s="14">
        <f>SUMIFS(TB!P:P,TB!$J:$J,$C119)</f>
        <v>0</v>
      </c>
      <c r="K119" s="14">
        <f>SUMIFS(TB!Q:Q,TB!$J:$J,$C119)</f>
        <v>0</v>
      </c>
      <c r="L119" s="14">
        <f>SUMIFS(TB!R:R,TB!$J:$J,$C119)</f>
        <v>0</v>
      </c>
      <c r="M119" s="14">
        <f>SUMIFS(TB!S:S,TB!$J:$J,$C119)</f>
        <v>0</v>
      </c>
      <c r="N119" s="14">
        <f>SUMIFS(TB!T:T,TB!$J:$J,$C119)</f>
        <v>0</v>
      </c>
      <c r="O119" s="14">
        <f>SUMIFS(TB!U:U,TB!$J:$J,$C119)</f>
        <v>0</v>
      </c>
      <c r="P119" s="14">
        <f>SUMIFS(TB!V:V,TB!$J:$J,$C119)</f>
        <v>4.4480000000000004</v>
      </c>
      <c r="Q119" s="14">
        <f>SUMIFS(TB!W:W,TB!$J:$J,$C119)</f>
        <v>0</v>
      </c>
      <c r="R119" s="14">
        <f>SUMIFS(TB!X:X,TB!$J:$J,$C119)</f>
        <v>0</v>
      </c>
      <c r="S119" s="14">
        <f>SUMIFS(TB!Y:Y,TB!$J:$J,$C119)</f>
        <v>0</v>
      </c>
      <c r="T119" s="14">
        <f>SUMIFS(TB!Z:Z,TB!$J:$J,$C119)</f>
        <v>0</v>
      </c>
      <c r="U119" s="14">
        <f>SUMIFS(TB!AA:AA,TB!$J:$J,$C119)</f>
        <v>0</v>
      </c>
      <c r="V119" s="14">
        <f>SUMIFS(TB!AB:AB,TB!$J:$J,$C119)</f>
        <v>0</v>
      </c>
      <c r="W119" s="14">
        <f>SUMIFS(TB!AC:AC,TB!$J:$J,$C119)</f>
        <v>0</v>
      </c>
      <c r="X119" s="14">
        <f>SUMIFS(TB!AD:AD,TB!$J:$J,$C119)</f>
        <v>0</v>
      </c>
      <c r="Y119" s="14">
        <f>SUMIFS(TB!AE:AE,TB!$J:$J,$C119)</f>
        <v>0</v>
      </c>
      <c r="Z119" s="14">
        <f>SUMIFS(TB!AF:AF,TB!$J:$J,$C119)</f>
        <v>0</v>
      </c>
      <c r="AA119" s="14">
        <f>SUMIFS(TB!AG:AG,TB!$J:$J,$C119)</f>
        <v>0</v>
      </c>
      <c r="AB119" s="14">
        <f>SUMIFS(TB!AH:AH,TB!$J:$J,$C119)</f>
        <v>3.516</v>
      </c>
      <c r="AC119" s="14">
        <f>SUMIFS(TB!AI:AI,TB!$J:$J,$C119)</f>
        <v>0</v>
      </c>
      <c r="AD119" s="14">
        <f>SUMIFS(TB!AJ:AJ,TB!$J:$J,$C119)</f>
        <v>0</v>
      </c>
      <c r="AE119" s="14">
        <f>SUMIFS(TB!AK:AK,TB!$J:$J,$C119)</f>
        <v>0</v>
      </c>
      <c r="AF119" s="14">
        <f>SUMIFS(TB!AL:AL,TB!$J:$J,$C119)</f>
        <v>0</v>
      </c>
      <c r="AG119" s="14">
        <f>SUMIFS(TB!AM:AM,TB!$J:$J,$C119)</f>
        <v>0</v>
      </c>
      <c r="AH119" s="14">
        <f>SUMIFS(TB!AN:AN,TB!$J:$J,$C119)</f>
        <v>0</v>
      </c>
      <c r="AI119" s="14">
        <f>SUMIFS(TB!AO:AO,TB!$J:$J,$C119)</f>
        <v>0</v>
      </c>
      <c r="AJ119" s="14"/>
      <c r="AK119" s="14">
        <f>SUM(E119:P119)</f>
        <v>4.4480000000000004</v>
      </c>
      <c r="AL119" s="14">
        <f>SUM(Q119:AB119)</f>
        <v>3.516</v>
      </c>
      <c r="AM119" s="14">
        <f>SUM(X119:AI119)</f>
        <v>3.516</v>
      </c>
      <c r="AN119" s="14"/>
      <c r="AO119" s="13">
        <f>IFERROR(AK119/AK$15%,0)</f>
        <v>5.8163394574715241E-2</v>
      </c>
      <c r="AP119" s="13">
        <f>IFERROR(AL119/AL$15%,0)</f>
        <v>5.1867960882635497E-2</v>
      </c>
      <c r="AQ119" s="13">
        <f>IFERROR(AM119/AM$15%,0)</f>
        <v>4.7879635759511131E-2</v>
      </c>
    </row>
    <row r="120" spans="3:43" ht="11.25" customHeight="1" x14ac:dyDescent="0.2">
      <c r="C120" t="s">
        <v>15</v>
      </c>
      <c r="D120" s="4"/>
      <c r="E120" s="2">
        <f>SUM(E119:E119)</f>
        <v>0</v>
      </c>
      <c r="F120" s="2">
        <f>SUM(F119:F119)</f>
        <v>0</v>
      </c>
      <c r="G120" s="2">
        <f>SUM(G119:G119)</f>
        <v>0</v>
      </c>
      <c r="H120" s="2">
        <f>SUM(H119:H119)</f>
        <v>0</v>
      </c>
      <c r="I120" s="2">
        <f>SUM(I119:I119)</f>
        <v>0</v>
      </c>
      <c r="J120" s="2">
        <f>SUM(J119:J119)</f>
        <v>0</v>
      </c>
      <c r="K120" s="2">
        <f>SUM(K119:K119)</f>
        <v>0</v>
      </c>
      <c r="L120" s="2">
        <f>SUM(L119:L119)</f>
        <v>0</v>
      </c>
      <c r="M120" s="2">
        <f>SUM(M119:M119)</f>
        <v>0</v>
      </c>
      <c r="N120" s="2">
        <f>SUM(N119:N119)</f>
        <v>0</v>
      </c>
      <c r="O120" s="2">
        <f>SUM(O119:O119)</f>
        <v>0</v>
      </c>
      <c r="P120" s="2">
        <f>SUM(P119:P119)</f>
        <v>4.4480000000000004</v>
      </c>
      <c r="Q120" s="2">
        <f>SUM(Q119:Q119)</f>
        <v>0</v>
      </c>
      <c r="R120" s="2">
        <f>SUM(R119:R119)</f>
        <v>0</v>
      </c>
      <c r="S120" s="2">
        <f>SUM(S119:S119)</f>
        <v>0</v>
      </c>
      <c r="T120" s="2">
        <f>SUM(T119:T119)</f>
        <v>0</v>
      </c>
      <c r="U120" s="2">
        <f>SUM(U119:U119)</f>
        <v>0</v>
      </c>
      <c r="V120" s="2">
        <f>SUM(V119:V119)</f>
        <v>0</v>
      </c>
      <c r="W120" s="2">
        <f>SUM(W119:W119)</f>
        <v>0</v>
      </c>
      <c r="X120" s="2">
        <f>SUM(X119:X119)</f>
        <v>0</v>
      </c>
      <c r="Y120" s="2">
        <f>SUM(Y119:Y119)</f>
        <v>0</v>
      </c>
      <c r="Z120" s="2">
        <f>SUM(Z119:Z119)</f>
        <v>0</v>
      </c>
      <c r="AA120" s="2">
        <f>SUM(AA119:AA119)</f>
        <v>0</v>
      </c>
      <c r="AB120" s="2">
        <f>SUM(AB119:AB119)</f>
        <v>3.516</v>
      </c>
      <c r="AC120" s="2">
        <f>SUM(AC119:AC119)</f>
        <v>0</v>
      </c>
      <c r="AD120" s="2">
        <f>SUM(AD119:AD119)</f>
        <v>0</v>
      </c>
      <c r="AE120" s="2">
        <f>SUM(AE119:AE119)</f>
        <v>0</v>
      </c>
      <c r="AF120" s="2">
        <f>SUM(AF119:AF119)</f>
        <v>0</v>
      </c>
      <c r="AG120" s="2">
        <f>SUM(AG119:AG119)</f>
        <v>0</v>
      </c>
      <c r="AH120" s="2">
        <f>SUM(AH119:AH119)</f>
        <v>0</v>
      </c>
      <c r="AI120" s="2">
        <f>SUM(AI119:AI119)</f>
        <v>0</v>
      </c>
      <c r="AJ120" s="2"/>
      <c r="AK120" s="2">
        <f>SUM(AK119:AK119)</f>
        <v>4.4480000000000004</v>
      </c>
      <c r="AL120" s="2">
        <f>SUM(AL119:AL119)</f>
        <v>3.516</v>
      </c>
      <c r="AM120" s="2">
        <f>SUM(AM119:AM119)</f>
        <v>3.516</v>
      </c>
      <c r="AN120" s="2"/>
      <c r="AO120" s="5">
        <f>IFERROR(AK120/AK$15%,0)</f>
        <v>5.8163394574715241E-2</v>
      </c>
      <c r="AP120" s="5">
        <f>IFERROR(AL120/AL$15%,0)</f>
        <v>5.1867960882635497E-2</v>
      </c>
      <c r="AQ120" s="5">
        <f>IFERROR(AM120/AM$15%,0)</f>
        <v>4.7879635759511131E-2</v>
      </c>
    </row>
    <row r="121" spans="3:43" ht="6" hidden="1" customHeight="1" outlineLevel="1" x14ac:dyDescent="0.2">
      <c r="D121" s="4"/>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5"/>
      <c r="AP121" s="5"/>
      <c r="AQ121" s="5"/>
    </row>
    <row r="122" spans="3:43" ht="11.25" hidden="1" customHeight="1" outlineLevel="1" x14ac:dyDescent="0.2">
      <c r="C122" t="s">
        <v>243</v>
      </c>
      <c r="D122" s="4"/>
      <c r="E122" s="2">
        <f>SUMIFS(TB!K:K,TB!$J:$J,$C122)</f>
        <v>0.4</v>
      </c>
      <c r="F122" s="2">
        <f>SUMIFS(TB!L:L,TB!$J:$J,$C122)</f>
        <v>0.4</v>
      </c>
      <c r="G122" s="2">
        <f>SUMIFS(TB!M:M,TB!$J:$J,$C122)</f>
        <v>0.4</v>
      </c>
      <c r="H122" s="2">
        <f>SUMIFS(TB!N:N,TB!$J:$J,$C122)</f>
        <v>0.4</v>
      </c>
      <c r="I122" s="2">
        <f>SUMIFS(TB!O:O,TB!$J:$J,$C122)</f>
        <v>0.4</v>
      </c>
      <c r="J122" s="2">
        <f>SUMIFS(TB!P:P,TB!$J:$J,$C122)</f>
        <v>-2</v>
      </c>
      <c r="K122" s="2">
        <f>SUMIFS(TB!Q:Q,TB!$J:$J,$C122)</f>
        <v>0</v>
      </c>
      <c r="L122" s="2">
        <f>SUMIFS(TB!R:R,TB!$J:$J,$C122)</f>
        <v>0.1</v>
      </c>
      <c r="M122" s="2">
        <f>SUMIFS(TB!S:S,TB!$J:$J,$C122)</f>
        <v>0</v>
      </c>
      <c r="N122" s="2">
        <f>SUMIFS(TB!T:T,TB!$J:$J,$C122)</f>
        <v>0</v>
      </c>
      <c r="O122" s="2">
        <f>SUMIFS(TB!U:U,TB!$J:$J,$C122)</f>
        <v>0</v>
      </c>
      <c r="P122" s="2">
        <f>SUMIFS(TB!V:V,TB!$J:$J,$C122)</f>
        <v>0</v>
      </c>
      <c r="Q122" s="2">
        <f>SUMIFS(TB!W:W,TB!$J:$J,$C122)</f>
        <v>0</v>
      </c>
      <c r="R122" s="2">
        <f>SUMIFS(TB!X:X,TB!$J:$J,$C122)</f>
        <v>0</v>
      </c>
      <c r="S122" s="2">
        <f>SUMIFS(TB!Y:Y,TB!$J:$J,$C122)</f>
        <v>0</v>
      </c>
      <c r="T122" s="2">
        <f>SUMIFS(TB!Z:Z,TB!$J:$J,$C122)</f>
        <v>0</v>
      </c>
      <c r="U122" s="2">
        <f>SUMIFS(TB!AA:AA,TB!$J:$J,$C122)</f>
        <v>0</v>
      </c>
      <c r="V122" s="2">
        <f>SUMIFS(TB!AB:AB,TB!$J:$J,$C122)</f>
        <v>0</v>
      </c>
      <c r="W122" s="2">
        <f>SUMIFS(TB!AC:AC,TB!$J:$J,$C122)</f>
        <v>0</v>
      </c>
      <c r="X122" s="2">
        <f>SUMIFS(TB!AD:AD,TB!$J:$J,$C122)</f>
        <v>0</v>
      </c>
      <c r="Y122" s="2">
        <f>SUMIFS(TB!AE:AE,TB!$J:$J,$C122)</f>
        <v>0</v>
      </c>
      <c r="Z122" s="2">
        <f>SUMIFS(TB!AF:AF,TB!$J:$J,$C122)</f>
        <v>0</v>
      </c>
      <c r="AA122" s="2">
        <f>SUMIFS(TB!AG:AG,TB!$J:$J,$C122)</f>
        <v>0</v>
      </c>
      <c r="AB122" s="2">
        <f>SUMIFS(TB!AH:AH,TB!$J:$J,$C122)</f>
        <v>0</v>
      </c>
      <c r="AC122" s="2">
        <f>SUMIFS(TB!AI:AI,TB!$J:$J,$C122)</f>
        <v>0</v>
      </c>
      <c r="AD122" s="2">
        <f>SUMIFS(TB!AJ:AJ,TB!$J:$J,$C122)</f>
        <v>0</v>
      </c>
      <c r="AE122" s="2">
        <f>SUMIFS(TB!AK:AK,TB!$J:$J,$C122)</f>
        <v>0</v>
      </c>
      <c r="AF122" s="2">
        <f>SUMIFS(TB!AL:AL,TB!$J:$J,$C122)</f>
        <v>0</v>
      </c>
      <c r="AG122" s="2">
        <f>SUMIFS(TB!AM:AM,TB!$J:$J,$C122)</f>
        <v>0</v>
      </c>
      <c r="AH122" s="2">
        <f>SUMIFS(TB!AN:AN,TB!$J:$J,$C122)</f>
        <v>0</v>
      </c>
      <c r="AI122" s="2">
        <f>SUMIFS(TB!AO:AO,TB!$J:$J,$C122)</f>
        <v>0.10556</v>
      </c>
      <c r="AJ122" s="2"/>
      <c r="AK122" s="2">
        <f>SUM(E122:P122)</f>
        <v>0.1</v>
      </c>
      <c r="AL122" s="2">
        <f>SUM(Q122:AB122)</f>
        <v>0</v>
      </c>
      <c r="AM122" s="2">
        <f>SUM(X122:AI122)</f>
        <v>0.10556</v>
      </c>
      <c r="AN122" s="2"/>
      <c r="AO122" s="5">
        <f>IFERROR(AK122/AK$15%,0)</f>
        <v>1.3076302737121232E-3</v>
      </c>
      <c r="AP122" s="5">
        <f>IFERROR(AL122/AL$15%,0)</f>
        <v>0</v>
      </c>
      <c r="AQ122" s="5">
        <f>IFERROR(AM122/AM$15%,0)</f>
        <v>1.4374784842929452E-3</v>
      </c>
    </row>
    <row r="123" spans="3:43" ht="11.25" hidden="1" customHeight="1" outlineLevel="1" x14ac:dyDescent="0.2">
      <c r="C123" t="s">
        <v>242</v>
      </c>
      <c r="D123" s="4"/>
      <c r="E123" s="2">
        <f>SUMIFS(TB!K:K,TB!$J:$J,$C123)</f>
        <v>0</v>
      </c>
      <c r="F123" s="2">
        <f>SUMIFS(TB!L:L,TB!$J:$J,$C123)</f>
        <v>0</v>
      </c>
      <c r="G123" s="2">
        <f>SUMIFS(TB!M:M,TB!$J:$J,$C123)</f>
        <v>0</v>
      </c>
      <c r="H123" s="2">
        <f>SUMIFS(TB!N:N,TB!$J:$J,$C123)</f>
        <v>0</v>
      </c>
      <c r="I123" s="2">
        <f>SUMIFS(TB!O:O,TB!$J:$J,$C123)</f>
        <v>0</v>
      </c>
      <c r="J123" s="2">
        <f>SUMIFS(TB!P:P,TB!$J:$J,$C123)</f>
        <v>0</v>
      </c>
      <c r="K123" s="2">
        <f>SUMIFS(TB!Q:Q,TB!$J:$J,$C123)</f>
        <v>0</v>
      </c>
      <c r="L123" s="2">
        <f>SUMIFS(TB!R:R,TB!$J:$J,$C123)</f>
        <v>0</v>
      </c>
      <c r="M123" s="2">
        <f>SUMIFS(TB!S:S,TB!$J:$J,$C123)</f>
        <v>0</v>
      </c>
      <c r="N123" s="2">
        <f>SUMIFS(TB!T:T,TB!$J:$J,$C123)</f>
        <v>0</v>
      </c>
      <c r="O123" s="2">
        <f>SUMIFS(TB!U:U,TB!$J:$J,$C123)</f>
        <v>0</v>
      </c>
      <c r="P123" s="2">
        <f>SUMIFS(TB!V:V,TB!$J:$J,$C123)</f>
        <v>-76.400000000000006</v>
      </c>
      <c r="Q123" s="2">
        <f>SUMIFS(TB!W:W,TB!$J:$J,$C123)</f>
        <v>0</v>
      </c>
      <c r="R123" s="2">
        <f>SUMIFS(TB!X:X,TB!$J:$J,$C123)</f>
        <v>0</v>
      </c>
      <c r="S123" s="2">
        <f>SUMIFS(TB!Y:Y,TB!$J:$J,$C123)</f>
        <v>0</v>
      </c>
      <c r="T123" s="2">
        <f>SUMIFS(TB!Z:Z,TB!$J:$J,$C123)</f>
        <v>0</v>
      </c>
      <c r="U123" s="2">
        <f>SUMIFS(TB!AA:AA,TB!$J:$J,$C123)</f>
        <v>0</v>
      </c>
      <c r="V123" s="2">
        <f>SUMIFS(TB!AB:AB,TB!$J:$J,$C123)</f>
        <v>0</v>
      </c>
      <c r="W123" s="2">
        <f>SUMIFS(TB!AC:AC,TB!$J:$J,$C123)</f>
        <v>0</v>
      </c>
      <c r="X123" s="2">
        <f>SUMIFS(TB!AD:AD,TB!$J:$J,$C123)</f>
        <v>0</v>
      </c>
      <c r="Y123" s="2">
        <f>SUMIFS(TB!AE:AE,TB!$J:$J,$C123)</f>
        <v>0</v>
      </c>
      <c r="Z123" s="2">
        <f>SUMIFS(TB!AF:AF,TB!$J:$J,$C123)</f>
        <v>0</v>
      </c>
      <c r="AA123" s="2">
        <f>SUMIFS(TB!AG:AG,TB!$J:$J,$C123)</f>
        <v>0</v>
      </c>
      <c r="AB123" s="2">
        <f>SUMIFS(TB!AH:AH,TB!$J:$J,$C123)</f>
        <v>0</v>
      </c>
      <c r="AC123" s="2">
        <f>SUMIFS(TB!AI:AI,TB!$J:$J,$C123)</f>
        <v>0</v>
      </c>
      <c r="AD123" s="2">
        <f>SUMIFS(TB!AJ:AJ,TB!$J:$J,$C123)</f>
        <v>0</v>
      </c>
      <c r="AE123" s="2">
        <f>SUMIFS(TB!AK:AK,TB!$J:$J,$C123)</f>
        <v>0</v>
      </c>
      <c r="AF123" s="2">
        <f>SUMIFS(TB!AL:AL,TB!$J:$J,$C123)</f>
        <v>0</v>
      </c>
      <c r="AG123" s="2">
        <f>SUMIFS(TB!AM:AM,TB!$J:$J,$C123)</f>
        <v>0</v>
      </c>
      <c r="AH123" s="2">
        <f>SUMIFS(TB!AN:AN,TB!$J:$J,$C123)</f>
        <v>0</v>
      </c>
      <c r="AI123" s="2">
        <f>SUMIFS(TB!AO:AO,TB!$J:$J,$C123)</f>
        <v>0</v>
      </c>
      <c r="AJ123" s="2"/>
      <c r="AK123" s="2">
        <f>SUM(E123:P123)</f>
        <v>-76.400000000000006</v>
      </c>
      <c r="AL123" s="2">
        <f>SUM(Q123:AB123)</f>
        <v>0</v>
      </c>
      <c r="AM123" s="2">
        <f>SUM(X123:AI123)</f>
        <v>0</v>
      </c>
      <c r="AN123" s="2"/>
      <c r="AO123" s="5">
        <f>IFERROR(AK123/AK$15%,0)</f>
        <v>-0.99902952911606213</v>
      </c>
      <c r="AP123" s="5">
        <f>IFERROR(AL123/AL$15%,0)</f>
        <v>0</v>
      </c>
      <c r="AQ123" s="5">
        <f>IFERROR(AM123/AM$15%,0)</f>
        <v>0</v>
      </c>
    </row>
    <row r="124" spans="3:43" ht="11.25" hidden="1" customHeight="1" outlineLevel="1" x14ac:dyDescent="0.2">
      <c r="C124" t="s">
        <v>241</v>
      </c>
      <c r="D124" s="4"/>
      <c r="E124" s="2">
        <f>SUMIFS(TB!K:K,TB!$J:$J,$C124)</f>
        <v>0</v>
      </c>
      <c r="F124" s="2">
        <f>SUMIFS(TB!L:L,TB!$J:$J,$C124)</f>
        <v>0</v>
      </c>
      <c r="G124" s="2">
        <f>SUMIFS(TB!M:M,TB!$J:$J,$C124)</f>
        <v>0</v>
      </c>
      <c r="H124" s="2">
        <f>SUMIFS(TB!N:N,TB!$J:$J,$C124)</f>
        <v>-355.54434999999995</v>
      </c>
      <c r="I124" s="2">
        <f>SUMIFS(TB!O:O,TB!$J:$J,$C124)</f>
        <v>0</v>
      </c>
      <c r="J124" s="2">
        <f>SUMIFS(TB!P:P,TB!$J:$J,$C124)</f>
        <v>0</v>
      </c>
      <c r="K124" s="2">
        <f>SUMIFS(TB!Q:Q,TB!$J:$J,$C124)</f>
        <v>0</v>
      </c>
      <c r="L124" s="2">
        <f>SUMIFS(TB!R:R,TB!$J:$J,$C124)</f>
        <v>0</v>
      </c>
      <c r="M124" s="2">
        <f>SUMIFS(TB!S:S,TB!$J:$J,$C124)</f>
        <v>0</v>
      </c>
      <c r="N124" s="2">
        <f>SUMIFS(TB!T:T,TB!$J:$J,$C124)</f>
        <v>0</v>
      </c>
      <c r="O124" s="2">
        <f>SUMIFS(TB!U:U,TB!$J:$J,$C124)</f>
        <v>0</v>
      </c>
      <c r="P124" s="2">
        <f>SUMIFS(TB!V:V,TB!$J:$J,$C124)</f>
        <v>0</v>
      </c>
      <c r="Q124" s="2">
        <f>SUMIFS(TB!W:W,TB!$J:$J,$C124)</f>
        <v>0</v>
      </c>
      <c r="R124" s="2">
        <f>SUMIFS(TB!X:X,TB!$J:$J,$C124)</f>
        <v>0</v>
      </c>
      <c r="S124" s="2">
        <f>SUMIFS(TB!Y:Y,TB!$J:$J,$C124)</f>
        <v>0</v>
      </c>
      <c r="T124" s="2">
        <f>SUMIFS(TB!Z:Z,TB!$J:$J,$C124)</f>
        <v>0</v>
      </c>
      <c r="U124" s="2">
        <f>SUMIFS(TB!AA:AA,TB!$J:$J,$C124)</f>
        <v>0</v>
      </c>
      <c r="V124" s="2">
        <f>SUMIFS(TB!AB:AB,TB!$J:$J,$C124)</f>
        <v>0</v>
      </c>
      <c r="W124" s="2">
        <f>SUMIFS(TB!AC:AC,TB!$J:$J,$C124)</f>
        <v>0</v>
      </c>
      <c r="X124" s="2">
        <f>SUMIFS(TB!AD:AD,TB!$J:$J,$C124)</f>
        <v>0</v>
      </c>
      <c r="Y124" s="2">
        <f>SUMIFS(TB!AE:AE,TB!$J:$J,$C124)</f>
        <v>0</v>
      </c>
      <c r="Z124" s="2">
        <f>SUMIFS(TB!AF:AF,TB!$J:$J,$C124)</f>
        <v>0</v>
      </c>
      <c r="AA124" s="2">
        <f>SUMIFS(TB!AG:AG,TB!$J:$J,$C124)</f>
        <v>0</v>
      </c>
      <c r="AB124" s="2">
        <f>SUMIFS(TB!AH:AH,TB!$J:$J,$C124)</f>
        <v>0</v>
      </c>
      <c r="AC124" s="2">
        <f>SUMIFS(TB!AI:AI,TB!$J:$J,$C124)</f>
        <v>0</v>
      </c>
      <c r="AD124" s="2">
        <f>SUMIFS(TB!AJ:AJ,TB!$J:$J,$C124)</f>
        <v>0</v>
      </c>
      <c r="AE124" s="2">
        <f>SUMIFS(TB!AK:AK,TB!$J:$J,$C124)</f>
        <v>0</v>
      </c>
      <c r="AF124" s="2">
        <f>SUMIFS(TB!AL:AL,TB!$J:$J,$C124)</f>
        <v>0</v>
      </c>
      <c r="AG124" s="2">
        <f>SUMIFS(TB!AM:AM,TB!$J:$J,$C124)</f>
        <v>0</v>
      </c>
      <c r="AH124" s="2">
        <f>SUMIFS(TB!AN:AN,TB!$J:$J,$C124)</f>
        <v>0</v>
      </c>
      <c r="AI124" s="2">
        <f>SUMIFS(TB!AO:AO,TB!$J:$J,$C124)</f>
        <v>0</v>
      </c>
      <c r="AJ124" s="2"/>
      <c r="AK124" s="2">
        <f>SUM(E124:P124)</f>
        <v>-355.54434999999995</v>
      </c>
      <c r="AL124" s="2">
        <f>SUM(Q124:AB124)</f>
        <v>0</v>
      </c>
      <c r="AM124" s="2">
        <f>SUM(X124:AI124)</f>
        <v>0</v>
      </c>
      <c r="AN124" s="2"/>
      <c r="AO124" s="5">
        <f>IFERROR(AK124/AK$15%,0)</f>
        <v>-4.649205557072988</v>
      </c>
      <c r="AP124" s="5">
        <f>IFERROR(AL124/AL$15%,0)</f>
        <v>0</v>
      </c>
      <c r="AQ124" s="5">
        <f>IFERROR(AM124/AM$15%,0)</f>
        <v>0</v>
      </c>
    </row>
    <row r="125" spans="3:43" ht="11.25" hidden="1" customHeight="1" outlineLevel="1" x14ac:dyDescent="0.2">
      <c r="C125" t="s">
        <v>240</v>
      </c>
      <c r="D125" s="4"/>
      <c r="E125" s="2">
        <f>SUMIFS(TB!K:K,TB!$J:$J,$C125)</f>
        <v>0</v>
      </c>
      <c r="F125" s="2">
        <f>SUMIFS(TB!L:L,TB!$J:$J,$C125)</f>
        <v>0</v>
      </c>
      <c r="G125" s="2">
        <f>SUMIFS(TB!M:M,TB!$J:$J,$C125)</f>
        <v>0</v>
      </c>
      <c r="H125" s="2">
        <f>SUMIFS(TB!N:N,TB!$J:$J,$C125)</f>
        <v>0</v>
      </c>
      <c r="I125" s="2">
        <f>SUMIFS(TB!O:O,TB!$J:$J,$C125)</f>
        <v>0</v>
      </c>
      <c r="J125" s="2">
        <f>SUMIFS(TB!P:P,TB!$J:$J,$C125)</f>
        <v>0</v>
      </c>
      <c r="K125" s="2">
        <f>SUMIFS(TB!Q:Q,TB!$J:$J,$C125)</f>
        <v>0</v>
      </c>
      <c r="L125" s="2">
        <f>SUMIFS(TB!R:R,TB!$J:$J,$C125)</f>
        <v>0</v>
      </c>
      <c r="M125" s="2">
        <f>SUMIFS(TB!S:S,TB!$J:$J,$C125)</f>
        <v>0</v>
      </c>
      <c r="N125" s="2">
        <f>SUMIFS(TB!T:T,TB!$J:$J,$C125)</f>
        <v>0</v>
      </c>
      <c r="O125" s="2">
        <f>SUMIFS(TB!U:U,TB!$J:$J,$C125)</f>
        <v>0</v>
      </c>
      <c r="P125" s="2">
        <f>SUMIFS(TB!V:V,TB!$J:$J,$C125)</f>
        <v>0</v>
      </c>
      <c r="Q125" s="2">
        <f>SUMIFS(TB!W:W,TB!$J:$J,$C125)</f>
        <v>0</v>
      </c>
      <c r="R125" s="2">
        <f>SUMIFS(TB!X:X,TB!$J:$J,$C125)</f>
        <v>0</v>
      </c>
      <c r="S125" s="2">
        <f>SUMIFS(TB!Y:Y,TB!$J:$J,$C125)</f>
        <v>0</v>
      </c>
      <c r="T125" s="2">
        <f>SUMIFS(TB!Z:Z,TB!$J:$J,$C125)</f>
        <v>0</v>
      </c>
      <c r="U125" s="2">
        <f>SUMIFS(TB!AA:AA,TB!$J:$J,$C125)</f>
        <v>0</v>
      </c>
      <c r="V125" s="2">
        <f>SUMIFS(TB!AB:AB,TB!$J:$J,$C125)</f>
        <v>0</v>
      </c>
      <c r="W125" s="2">
        <f>SUMIFS(TB!AC:AC,TB!$J:$J,$C125)</f>
        <v>0</v>
      </c>
      <c r="X125" s="2">
        <f>SUMIFS(TB!AD:AD,TB!$J:$J,$C125)</f>
        <v>0</v>
      </c>
      <c r="Y125" s="2">
        <f>SUMIFS(TB!AE:AE,TB!$J:$J,$C125)</f>
        <v>-2.2640199999999999</v>
      </c>
      <c r="Z125" s="2">
        <f>SUMIFS(TB!AF:AF,TB!$J:$J,$C125)</f>
        <v>0</v>
      </c>
      <c r="AA125" s="2">
        <f>SUMIFS(TB!AG:AG,TB!$J:$J,$C125)</f>
        <v>0</v>
      </c>
      <c r="AB125" s="2">
        <f>SUMIFS(TB!AH:AH,TB!$J:$J,$C125)</f>
        <v>0</v>
      </c>
      <c r="AC125" s="2">
        <f>SUMIFS(TB!AI:AI,TB!$J:$J,$C125)</f>
        <v>0</v>
      </c>
      <c r="AD125" s="2">
        <f>SUMIFS(TB!AJ:AJ,TB!$J:$J,$C125)</f>
        <v>0</v>
      </c>
      <c r="AE125" s="2">
        <f>SUMIFS(TB!AK:AK,TB!$J:$J,$C125)</f>
        <v>0</v>
      </c>
      <c r="AF125" s="2">
        <f>SUMIFS(TB!AL:AL,TB!$J:$J,$C125)</f>
        <v>0</v>
      </c>
      <c r="AG125" s="2">
        <f>SUMIFS(TB!AM:AM,TB!$J:$J,$C125)</f>
        <v>0</v>
      </c>
      <c r="AH125" s="2">
        <f>SUMIFS(TB!AN:AN,TB!$J:$J,$C125)</f>
        <v>0</v>
      </c>
      <c r="AI125" s="2">
        <f>SUMIFS(TB!AO:AO,TB!$J:$J,$C125)</f>
        <v>0</v>
      </c>
      <c r="AJ125" s="2"/>
      <c r="AK125" s="2">
        <f>SUM(E125:P125)</f>
        <v>0</v>
      </c>
      <c r="AL125" s="2">
        <f>SUM(Q125:AB125)</f>
        <v>-2.2640199999999999</v>
      </c>
      <c r="AM125" s="2">
        <f>SUM(X125:AI125)</f>
        <v>-2.2640199999999999</v>
      </c>
      <c r="AN125" s="2"/>
      <c r="AO125" s="5">
        <f>IFERROR(AK125/AK$15%,0)</f>
        <v>0</v>
      </c>
      <c r="AP125" s="5">
        <f>IFERROR(AL125/AL$15%,0)</f>
        <v>-3.3398777246161665E-2</v>
      </c>
      <c r="AQ125" s="5">
        <f>IFERROR(AM125/AM$15%,0)</f>
        <v>-3.0830618018273151E-2</v>
      </c>
    </row>
    <row r="126" spans="3:43" ht="11.25" hidden="1" customHeight="1" outlineLevel="1" x14ac:dyDescent="0.2">
      <c r="C126" s="17" t="s">
        <v>239</v>
      </c>
      <c r="D126" s="15"/>
      <c r="E126" s="14">
        <f>SUMIFS(TB!K:K,TB!$J:$J,$C126)</f>
        <v>0</v>
      </c>
      <c r="F126" s="14">
        <f>SUMIFS(TB!L:L,TB!$J:$J,$C126)</f>
        <v>0</v>
      </c>
      <c r="G126" s="14">
        <f>SUMIFS(TB!M:M,TB!$J:$J,$C126)</f>
        <v>0</v>
      </c>
      <c r="H126" s="14">
        <f>SUMIFS(TB!N:N,TB!$J:$J,$C126)</f>
        <v>0</v>
      </c>
      <c r="I126" s="14">
        <f>SUMIFS(TB!O:O,TB!$J:$J,$C126)</f>
        <v>0</v>
      </c>
      <c r="J126" s="14">
        <f>SUMIFS(TB!P:P,TB!$J:$J,$C126)</f>
        <v>0</v>
      </c>
      <c r="K126" s="14">
        <f>SUMIFS(TB!Q:Q,TB!$J:$J,$C126)</f>
        <v>0</v>
      </c>
      <c r="L126" s="14">
        <f>SUMIFS(TB!R:R,TB!$J:$J,$C126)</f>
        <v>0</v>
      </c>
      <c r="M126" s="14">
        <f>SUMIFS(TB!S:S,TB!$J:$J,$C126)</f>
        <v>0</v>
      </c>
      <c r="N126" s="14">
        <f>SUMIFS(TB!T:T,TB!$J:$J,$C126)</f>
        <v>0</v>
      </c>
      <c r="O126" s="14">
        <f>SUMIFS(TB!U:U,TB!$J:$J,$C126)</f>
        <v>0</v>
      </c>
      <c r="P126" s="14">
        <f>SUMIFS(TB!V:V,TB!$J:$J,$C126)</f>
        <v>0</v>
      </c>
      <c r="Q126" s="14">
        <f>SUMIFS(TB!W:W,TB!$J:$J,$C126)</f>
        <v>0</v>
      </c>
      <c r="R126" s="14">
        <f>SUMIFS(TB!X:X,TB!$J:$J,$C126)</f>
        <v>0</v>
      </c>
      <c r="S126" s="14">
        <f>SUMIFS(TB!Y:Y,TB!$J:$J,$C126)</f>
        <v>0</v>
      </c>
      <c r="T126" s="14">
        <f>SUMIFS(TB!Z:Z,TB!$J:$J,$C126)</f>
        <v>0</v>
      </c>
      <c r="U126" s="14">
        <f>SUMIFS(TB!AA:AA,TB!$J:$J,$C126)</f>
        <v>0</v>
      </c>
      <c r="V126" s="14">
        <f>SUMIFS(TB!AB:AB,TB!$J:$J,$C126)</f>
        <v>0</v>
      </c>
      <c r="W126" s="14">
        <f>SUMIFS(TB!AC:AC,TB!$J:$J,$C126)</f>
        <v>0</v>
      </c>
      <c r="X126" s="14">
        <f>SUMIFS(TB!AD:AD,TB!$J:$J,$C126)</f>
        <v>-50</v>
      </c>
      <c r="Y126" s="14">
        <f>SUMIFS(TB!AE:AE,TB!$J:$J,$C126)</f>
        <v>0</v>
      </c>
      <c r="Z126" s="14">
        <f>SUMIFS(TB!AF:AF,TB!$J:$J,$C126)</f>
        <v>0</v>
      </c>
      <c r="AA126" s="14">
        <f>SUMIFS(TB!AG:AG,TB!$J:$J,$C126)</f>
        <v>0</v>
      </c>
      <c r="AB126" s="14">
        <f>SUMIFS(TB!AH:AH,TB!$J:$J,$C126)</f>
        <v>0</v>
      </c>
      <c r="AC126" s="14">
        <f>SUMIFS(TB!AI:AI,TB!$J:$J,$C126)</f>
        <v>0</v>
      </c>
      <c r="AD126" s="14">
        <f>SUMIFS(TB!AJ:AJ,TB!$J:$J,$C126)</f>
        <v>0</v>
      </c>
      <c r="AE126" s="14">
        <f>SUMIFS(TB!AK:AK,TB!$J:$J,$C126)</f>
        <v>0</v>
      </c>
      <c r="AF126" s="14">
        <f>SUMIFS(TB!AL:AL,TB!$J:$J,$C126)</f>
        <v>0</v>
      </c>
      <c r="AG126" s="14">
        <f>SUMIFS(TB!AM:AM,TB!$J:$J,$C126)</f>
        <v>0</v>
      </c>
      <c r="AH126" s="14">
        <f>SUMIFS(TB!AN:AN,TB!$J:$J,$C126)</f>
        <v>0</v>
      </c>
      <c r="AI126" s="14">
        <f>SUMIFS(TB!AO:AO,TB!$J:$J,$C126)</f>
        <v>0</v>
      </c>
      <c r="AJ126" s="14"/>
      <c r="AK126" s="14">
        <f>SUM(E126:P126)</f>
        <v>0</v>
      </c>
      <c r="AL126" s="14">
        <f>SUM(Q126:AB126)</f>
        <v>-50</v>
      </c>
      <c r="AM126" s="14">
        <f>SUM(X126:AI126)</f>
        <v>-50</v>
      </c>
      <c r="AN126" s="14"/>
      <c r="AO126" s="13">
        <f>IFERROR(AK126/AK$15%,0)</f>
        <v>0</v>
      </c>
      <c r="AP126" s="13">
        <f>IFERROR(AL126/AL$15%,0)</f>
        <v>-0.73759898866091433</v>
      </c>
      <c r="AQ126" s="13">
        <f>IFERROR(AM126/AM$15%,0)</f>
        <v>-0.68088219225698432</v>
      </c>
    </row>
    <row r="127" spans="3:43" ht="11.25" customHeight="1" collapsed="1" x14ac:dyDescent="0.2">
      <c r="C127" s="17" t="s">
        <v>14</v>
      </c>
      <c r="D127" s="15"/>
      <c r="E127" s="14">
        <f>SUM(E122:E126)</f>
        <v>0.4</v>
      </c>
      <c r="F127" s="14">
        <f>SUM(F122:F126)</f>
        <v>0.4</v>
      </c>
      <c r="G127" s="14">
        <f>SUM(G122:G126)</f>
        <v>0.4</v>
      </c>
      <c r="H127" s="14">
        <f>SUM(H122:H126)</f>
        <v>-355.14434999999997</v>
      </c>
      <c r="I127" s="14">
        <f>SUM(I122:I126)</f>
        <v>0.4</v>
      </c>
      <c r="J127" s="14">
        <f>SUM(J122:J126)</f>
        <v>-2</v>
      </c>
      <c r="K127" s="14">
        <f>SUM(K122:K126)</f>
        <v>0</v>
      </c>
      <c r="L127" s="14">
        <f>SUM(L122:L126)</f>
        <v>0.1</v>
      </c>
      <c r="M127" s="14">
        <f>SUM(M122:M126)</f>
        <v>0</v>
      </c>
      <c r="N127" s="14">
        <f>SUM(N122:N126)</f>
        <v>0</v>
      </c>
      <c r="O127" s="14">
        <f>SUM(O122:O126)</f>
        <v>0</v>
      </c>
      <c r="P127" s="14">
        <f>SUM(P122:P126)</f>
        <v>-76.400000000000006</v>
      </c>
      <c r="Q127" s="14">
        <f>SUM(Q122:Q126)</f>
        <v>0</v>
      </c>
      <c r="R127" s="14">
        <f>SUM(R122:R126)</f>
        <v>0</v>
      </c>
      <c r="S127" s="14">
        <f>SUM(S122:S126)</f>
        <v>0</v>
      </c>
      <c r="T127" s="14">
        <f>SUM(T122:T126)</f>
        <v>0</v>
      </c>
      <c r="U127" s="14">
        <f>SUM(U122:U126)</f>
        <v>0</v>
      </c>
      <c r="V127" s="14">
        <f>SUM(V122:V126)</f>
        <v>0</v>
      </c>
      <c r="W127" s="14">
        <f>SUM(W122:W126)</f>
        <v>0</v>
      </c>
      <c r="X127" s="14">
        <f>SUM(X122:X126)</f>
        <v>-50</v>
      </c>
      <c r="Y127" s="14">
        <f>SUM(Y122:Y126)</f>
        <v>-2.2640199999999999</v>
      </c>
      <c r="Z127" s="14">
        <f>SUM(Z122:Z126)</f>
        <v>0</v>
      </c>
      <c r="AA127" s="14">
        <f>SUM(AA122:AA126)</f>
        <v>0</v>
      </c>
      <c r="AB127" s="14">
        <f>SUM(AB122:AB126)</f>
        <v>0</v>
      </c>
      <c r="AC127" s="14">
        <f>SUM(AC122:AC126)</f>
        <v>0</v>
      </c>
      <c r="AD127" s="14">
        <f>SUM(AD122:AD126)</f>
        <v>0</v>
      </c>
      <c r="AE127" s="14">
        <f>SUM(AE122:AE126)</f>
        <v>0</v>
      </c>
      <c r="AF127" s="14">
        <f>SUM(AF122:AF126)</f>
        <v>0</v>
      </c>
      <c r="AG127" s="14">
        <f>SUM(AG122:AG126)</f>
        <v>0</v>
      </c>
      <c r="AH127" s="14">
        <f>SUM(AH122:AH126)</f>
        <v>0</v>
      </c>
      <c r="AI127" s="14">
        <f>SUM(AI122:AI126)</f>
        <v>0.10556</v>
      </c>
      <c r="AJ127" s="14"/>
      <c r="AK127" s="14">
        <f>SUM(AK122:AK126)</f>
        <v>-431.84434999999996</v>
      </c>
      <c r="AL127" s="14">
        <f>SUM(AL122:AL126)</f>
        <v>-52.264020000000002</v>
      </c>
      <c r="AM127" s="14">
        <f>SUM(AM122:AM126)</f>
        <v>-52.158459999999998</v>
      </c>
      <c r="AN127" s="14"/>
      <c r="AO127" s="13">
        <f>IFERROR(AK127/AK$15%,0)</f>
        <v>-5.6469274559153382</v>
      </c>
      <c r="AP127" s="13">
        <f>IFERROR(AL127/AL$15%,0)</f>
        <v>-0.77099776590707603</v>
      </c>
      <c r="AQ127" s="13">
        <f>IFERROR(AM127/AM$15%,0)</f>
        <v>-0.71027533179096447</v>
      </c>
    </row>
    <row r="128" spans="3:43" ht="11.25" customHeight="1" x14ac:dyDescent="0.2">
      <c r="C128" s="16" t="s">
        <v>13</v>
      </c>
      <c r="D128" s="15"/>
      <c r="E128" s="14">
        <f>SUM(E117,E120,E127)</f>
        <v>0.4</v>
      </c>
      <c r="F128" s="14">
        <f>SUM(F117,F120,F127)</f>
        <v>0.4</v>
      </c>
      <c r="G128" s="14">
        <f>SUM(G117,G120,G127)</f>
        <v>0.77500000000000002</v>
      </c>
      <c r="H128" s="14">
        <f>SUM(H117,H120,H127)</f>
        <v>-355.14434999999997</v>
      </c>
      <c r="I128" s="14">
        <f>SUM(I117,I120,I127)</f>
        <v>0.4</v>
      </c>
      <c r="J128" s="14">
        <f>SUM(J117,J120,J127)</f>
        <v>-1.625</v>
      </c>
      <c r="K128" s="14">
        <f>SUM(K117,K120,K127)</f>
        <v>0</v>
      </c>
      <c r="L128" s="14">
        <f>SUM(L117,L120,L127)</f>
        <v>0.1</v>
      </c>
      <c r="M128" s="14">
        <f>SUM(M117,M120,M127)</f>
        <v>0.375</v>
      </c>
      <c r="N128" s="14">
        <f>SUM(N117,N120,N127)</f>
        <v>0</v>
      </c>
      <c r="O128" s="14">
        <f>SUM(O117,O120,O127)</f>
        <v>0</v>
      </c>
      <c r="P128" s="14">
        <f>SUM(P117,P120,P127)</f>
        <v>-71.576999999999998</v>
      </c>
      <c r="Q128" s="14">
        <f>SUM(Q117,Q120,Q127)</f>
        <v>0</v>
      </c>
      <c r="R128" s="14">
        <f>SUM(R117,R120,R127)</f>
        <v>0</v>
      </c>
      <c r="S128" s="14">
        <f>SUM(S117,S120,S127)</f>
        <v>0</v>
      </c>
      <c r="T128" s="14">
        <f>SUM(T117,T120,T127)</f>
        <v>0</v>
      </c>
      <c r="U128" s="14">
        <f>SUM(U117,U120,U127)</f>
        <v>0</v>
      </c>
      <c r="V128" s="14">
        <f>SUM(V117,V120,V127)</f>
        <v>59.13</v>
      </c>
      <c r="W128" s="14">
        <f>SUM(W117,W120,W127)</f>
        <v>0</v>
      </c>
      <c r="X128" s="14">
        <f>SUM(X117,X120,X127)</f>
        <v>-50</v>
      </c>
      <c r="Y128" s="14">
        <f>SUM(Y117,Y120,Y127)</f>
        <v>120.10498</v>
      </c>
      <c r="Z128" s="14">
        <f>SUM(Z117,Z120,Z127)</f>
        <v>0</v>
      </c>
      <c r="AA128" s="14">
        <f>SUM(AA117,AA120,AA127)</f>
        <v>0</v>
      </c>
      <c r="AB128" s="14">
        <f>SUM(AB117,AB120,AB127)</f>
        <v>4.0809999999999995</v>
      </c>
      <c r="AC128" s="14">
        <f>SUM(AC117,AC120,AC127)</f>
        <v>29</v>
      </c>
      <c r="AD128" s="14">
        <f>SUM(AD117,AD120,AD127)</f>
        <v>0</v>
      </c>
      <c r="AE128" s="14">
        <f>SUM(AE117,AE120,AE127)</f>
        <v>0</v>
      </c>
      <c r="AF128" s="14">
        <f>SUM(AF117,AF120,AF127)</f>
        <v>0</v>
      </c>
      <c r="AG128" s="14">
        <f>SUM(AG117,AG120,AG127)</f>
        <v>0</v>
      </c>
      <c r="AH128" s="14">
        <f>SUM(AH117,AH120,AH127)</f>
        <v>15.176</v>
      </c>
      <c r="AI128" s="14">
        <f>SUM(AI117,AI120,AI127)</f>
        <v>0.10556</v>
      </c>
      <c r="AJ128" s="14"/>
      <c r="AK128" s="14">
        <f>SUM(AK117,AK120,AK127)</f>
        <v>-425.89634999999998</v>
      </c>
      <c r="AL128" s="14">
        <f>SUM(AL117,AL120,AL127)</f>
        <v>133.31597999999997</v>
      </c>
      <c r="AM128" s="14">
        <f>SUM(AM117,AM120,AM127)</f>
        <v>118.46753999999999</v>
      </c>
      <c r="AN128" s="14"/>
      <c r="AO128" s="13">
        <f>IFERROR(AK128/AK$15%,0)</f>
        <v>-5.5691496072349418</v>
      </c>
      <c r="AP128" s="13">
        <f>IFERROR(AL128/AL$15%,0)</f>
        <v>1.9666746404067732</v>
      </c>
      <c r="AQ128" s="13">
        <f>IFERROR(AM128/AM$15%,0)</f>
        <v>1.6132487669298392</v>
      </c>
    </row>
    <row r="129" spans="3:43" ht="12" customHeight="1" thickBot="1" x14ac:dyDescent="0.3">
      <c r="C129" s="12" t="s">
        <v>119</v>
      </c>
      <c r="D129" s="11"/>
      <c r="E129" s="9">
        <f>E113-E128</f>
        <v>-308.89328</v>
      </c>
      <c r="F129" s="9">
        <f>F113-F128</f>
        <v>-106.98811000000003</v>
      </c>
      <c r="G129" s="9">
        <f>G113-G128</f>
        <v>163.55674999999994</v>
      </c>
      <c r="H129" s="9">
        <f>H113-H128</f>
        <v>318.50389999999993</v>
      </c>
      <c r="I129" s="9">
        <f>I113-I128</f>
        <v>108.45597000000006</v>
      </c>
      <c r="J129" s="9">
        <f>J113-J128</f>
        <v>-36.325400000000059</v>
      </c>
      <c r="K129" s="9">
        <f>K113-K128</f>
        <v>107.54746000000011</v>
      </c>
      <c r="L129" s="9">
        <f>L113-L128</f>
        <v>674.36889000000008</v>
      </c>
      <c r="M129" s="9">
        <f>M113-M128</f>
        <v>815.7595500000001</v>
      </c>
      <c r="N129" s="9">
        <f>N113-N128</f>
        <v>-245.69617999999994</v>
      </c>
      <c r="O129" s="9">
        <f>O113-O128</f>
        <v>-108.92309000000012</v>
      </c>
      <c r="P129" s="9">
        <f>P113-P128</f>
        <v>186.40355999999986</v>
      </c>
      <c r="Q129" s="9">
        <f>Q113-Q128</f>
        <v>-76.656609999999944</v>
      </c>
      <c r="R129" s="9">
        <f>R113-R128</f>
        <v>84.330749999999966</v>
      </c>
      <c r="S129" s="9">
        <f>S113-S128</f>
        <v>-149.02755000000013</v>
      </c>
      <c r="T129" s="9">
        <f>T113-T128</f>
        <v>-113.91802999999999</v>
      </c>
      <c r="U129" s="9">
        <f>U113-U128</f>
        <v>15.084539999999947</v>
      </c>
      <c r="V129" s="9">
        <f>V113-V128</f>
        <v>-171.99901000000006</v>
      </c>
      <c r="W129" s="9">
        <f>W113-W128</f>
        <v>-168.68214999999998</v>
      </c>
      <c r="X129" s="9">
        <f>X113-X128</f>
        <v>656.72365999999988</v>
      </c>
      <c r="Y129" s="9">
        <f>Y113-Y128</f>
        <v>497.32870000000031</v>
      </c>
      <c r="Z129" s="9">
        <f>Z113-Z128</f>
        <v>241.65784999999966</v>
      </c>
      <c r="AA129" s="9">
        <f>AA113-AA128</f>
        <v>401.67570000000018</v>
      </c>
      <c r="AB129" s="9">
        <f>AB113-AB128</f>
        <v>-117.78652000000032</v>
      </c>
      <c r="AC129" s="9">
        <f>AC113-AC128</f>
        <v>-133.9857199999999</v>
      </c>
      <c r="AD129" s="9">
        <f>AD113-AD128</f>
        <v>3.8198099999999613</v>
      </c>
      <c r="AE129" s="9">
        <f>AE113-AE128</f>
        <v>166.17516000000001</v>
      </c>
      <c r="AF129" s="9">
        <f>AF113-AF128</f>
        <v>-22.474030000000027</v>
      </c>
      <c r="AG129" s="9">
        <f>AG113-AG128</f>
        <v>-232.79306000000003</v>
      </c>
      <c r="AH129" s="9">
        <f>AH113-AH128</f>
        <v>220.01514999999989</v>
      </c>
      <c r="AI129" s="9">
        <f>AI113-AI128</f>
        <v>-102.31717999999981</v>
      </c>
      <c r="AJ129" s="9"/>
      <c r="AK129" s="9">
        <f>AK113-AK128</f>
        <v>1567.7700199999981</v>
      </c>
      <c r="AL129" s="9">
        <f>AL113-AL128</f>
        <v>1098.7313299999992</v>
      </c>
      <c r="AM129" s="9">
        <f>AM113-AM128</f>
        <v>1578.0395199999989</v>
      </c>
      <c r="AN129" s="9"/>
      <c r="AO129" s="8">
        <f>IFERROR(AK129/AK$15%,0)</f>
        <v>20.500635403702582</v>
      </c>
      <c r="AP129" s="8">
        <f>IFERROR(AL129/AL$15%,0)</f>
        <v>16.208462356361213</v>
      </c>
      <c r="AQ129" s="8">
        <f>IFERROR(AM129/AM$15%,0)</f>
        <v>21.489180156915168</v>
      </c>
    </row>
    <row r="130" spans="3:43" ht="6" customHeight="1" x14ac:dyDescent="0.2">
      <c r="D130" s="4"/>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5"/>
      <c r="AP130" s="5"/>
      <c r="AQ130" s="5"/>
    </row>
    <row r="131" spans="3:43" ht="11.25" customHeight="1" x14ac:dyDescent="0.2">
      <c r="C131" s="7" t="s">
        <v>234</v>
      </c>
      <c r="D131" s="4"/>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5"/>
      <c r="AP131" s="5"/>
      <c r="AQ131" s="5"/>
    </row>
    <row r="132" spans="3:43" ht="11.25" customHeight="1" x14ac:dyDescent="0.2">
      <c r="C132" t="s">
        <v>118</v>
      </c>
      <c r="D132" s="4"/>
      <c r="E132" s="2">
        <v>0</v>
      </c>
      <c r="F132" s="2">
        <v>0</v>
      </c>
      <c r="G132" s="2">
        <v>0</v>
      </c>
      <c r="H132" s="2">
        <v>0</v>
      </c>
      <c r="I132" s="2">
        <v>0</v>
      </c>
      <c r="J132" s="2">
        <v>0</v>
      </c>
      <c r="K132" s="2">
        <v>0</v>
      </c>
      <c r="L132" s="2">
        <v>0</v>
      </c>
      <c r="M132" s="2">
        <v>0</v>
      </c>
      <c r="N132" s="2">
        <v>0</v>
      </c>
      <c r="O132" s="2">
        <v>0</v>
      </c>
      <c r="P132" s="2">
        <v>0</v>
      </c>
      <c r="Q132" s="2">
        <v>0</v>
      </c>
      <c r="R132" s="2">
        <v>0</v>
      </c>
      <c r="S132" s="2">
        <v>0</v>
      </c>
      <c r="T132" s="2">
        <v>0</v>
      </c>
      <c r="U132" s="2">
        <v>0</v>
      </c>
      <c r="V132" s="2">
        <v>0</v>
      </c>
      <c r="W132" s="2">
        <v>0</v>
      </c>
      <c r="X132" s="2">
        <v>0</v>
      </c>
      <c r="Y132" s="2">
        <v>0</v>
      </c>
      <c r="Z132" s="2">
        <v>0</v>
      </c>
      <c r="AA132" s="2">
        <v>0</v>
      </c>
      <c r="AB132" s="2">
        <v>0</v>
      </c>
      <c r="AC132" s="2">
        <v>0</v>
      </c>
      <c r="AD132" s="2">
        <v>0</v>
      </c>
      <c r="AE132" s="2">
        <v>0</v>
      </c>
      <c r="AF132" s="2">
        <v>0</v>
      </c>
      <c r="AG132" s="2">
        <v>0</v>
      </c>
      <c r="AH132" s="2">
        <v>0</v>
      </c>
      <c r="AI132" s="2">
        <v>0</v>
      </c>
      <c r="AJ132" s="2"/>
      <c r="AK132" s="2">
        <f>SUM(E132:P132)</f>
        <v>0</v>
      </c>
      <c r="AL132" s="2">
        <f>SUM(Q132:AB132)</f>
        <v>0</v>
      </c>
      <c r="AM132" s="2">
        <f>SUM(X132:AI132)</f>
        <v>0</v>
      </c>
      <c r="AN132" s="2"/>
      <c r="AO132" s="5">
        <f>IFERROR(AK132/AK$15%,0)</f>
        <v>0</v>
      </c>
      <c r="AP132" s="5">
        <f>IFERROR(AL132/AL$15%,0)</f>
        <v>0</v>
      </c>
      <c r="AQ132" s="5">
        <f>IFERROR(AM132/AM$15%,0)</f>
        <v>0</v>
      </c>
    </row>
    <row r="133" spans="3:43" ht="11.25" customHeight="1" x14ac:dyDescent="0.2">
      <c r="C133" t="s">
        <v>16</v>
      </c>
      <c r="D133" s="4"/>
      <c r="E133" s="2">
        <f>E117</f>
        <v>0</v>
      </c>
      <c r="F133" s="2">
        <f>F117</f>
        <v>0</v>
      </c>
      <c r="G133" s="2">
        <f>G117</f>
        <v>0.375</v>
      </c>
      <c r="H133" s="2">
        <f>H117</f>
        <v>0</v>
      </c>
      <c r="I133" s="2">
        <f>I117</f>
        <v>0</v>
      </c>
      <c r="J133" s="2">
        <f>J117</f>
        <v>0.375</v>
      </c>
      <c r="K133" s="2">
        <f>K117</f>
        <v>0</v>
      </c>
      <c r="L133" s="2">
        <f>L117</f>
        <v>0</v>
      </c>
      <c r="M133" s="2">
        <f>M117</f>
        <v>0.375</v>
      </c>
      <c r="N133" s="2">
        <f>N117</f>
        <v>0</v>
      </c>
      <c r="O133" s="2">
        <f>O117</f>
        <v>0</v>
      </c>
      <c r="P133" s="2">
        <f>P117</f>
        <v>0.375</v>
      </c>
      <c r="Q133" s="2">
        <f>Q117</f>
        <v>0</v>
      </c>
      <c r="R133" s="2">
        <f>R117</f>
        <v>0</v>
      </c>
      <c r="S133" s="2">
        <f>S117</f>
        <v>0</v>
      </c>
      <c r="T133" s="2">
        <f>T117</f>
        <v>0</v>
      </c>
      <c r="U133" s="2">
        <f>U117</f>
        <v>0</v>
      </c>
      <c r="V133" s="2">
        <f>V117</f>
        <v>59.13</v>
      </c>
      <c r="W133" s="2">
        <f>W117</f>
        <v>0</v>
      </c>
      <c r="X133" s="2">
        <f>X117</f>
        <v>0</v>
      </c>
      <c r="Y133" s="2">
        <f>Y117</f>
        <v>122.369</v>
      </c>
      <c r="Z133" s="2">
        <f>Z117</f>
        <v>0</v>
      </c>
      <c r="AA133" s="2">
        <f>AA117</f>
        <v>0</v>
      </c>
      <c r="AB133" s="2">
        <f>AB117</f>
        <v>0.56499999999999995</v>
      </c>
      <c r="AC133" s="2">
        <f>AC117</f>
        <v>29</v>
      </c>
      <c r="AD133" s="2">
        <f>AD117</f>
        <v>0</v>
      </c>
      <c r="AE133" s="2">
        <f>AE117</f>
        <v>0</v>
      </c>
      <c r="AF133" s="2">
        <f>AF117</f>
        <v>0</v>
      </c>
      <c r="AG133" s="2">
        <f>AG117</f>
        <v>0</v>
      </c>
      <c r="AH133" s="2">
        <f>AH117</f>
        <v>15.176</v>
      </c>
      <c r="AI133" s="2">
        <f>AI117</f>
        <v>0</v>
      </c>
      <c r="AJ133" s="2"/>
      <c r="AK133" s="2">
        <f>SUM(E133:P133)</f>
        <v>1.5</v>
      </c>
      <c r="AL133" s="2">
        <f>SUM(Q133:AB133)</f>
        <v>182.06399999999999</v>
      </c>
      <c r="AM133" s="2">
        <f>SUM(X133:AI133)</f>
        <v>167.10999999999999</v>
      </c>
      <c r="AN133" s="2"/>
      <c r="AO133" s="5">
        <f>IFERROR(AK133/AK$15%,0)</f>
        <v>1.9614454105681845E-2</v>
      </c>
      <c r="AP133" s="5">
        <f>IFERROR(AL133/AL$15%,0)</f>
        <v>2.6858044454312142</v>
      </c>
      <c r="AQ133" s="5">
        <f>IFERROR(AM133/AM$15%,0)</f>
        <v>2.2756444629612926</v>
      </c>
    </row>
    <row r="134" spans="3:43" ht="11.25" customHeight="1" x14ac:dyDescent="0.2">
      <c r="C134" t="s">
        <v>15</v>
      </c>
      <c r="D134" s="4"/>
      <c r="E134" s="2">
        <f>E120</f>
        <v>0</v>
      </c>
      <c r="F134" s="2">
        <f>F120</f>
        <v>0</v>
      </c>
      <c r="G134" s="2">
        <f>G120</f>
        <v>0</v>
      </c>
      <c r="H134" s="2">
        <f>H120</f>
        <v>0</v>
      </c>
      <c r="I134" s="2">
        <f>I120</f>
        <v>0</v>
      </c>
      <c r="J134" s="2">
        <f>J120</f>
        <v>0</v>
      </c>
      <c r="K134" s="2">
        <f>K120</f>
        <v>0</v>
      </c>
      <c r="L134" s="2">
        <f>L120</f>
        <v>0</v>
      </c>
      <c r="M134" s="2">
        <f>M120</f>
        <v>0</v>
      </c>
      <c r="N134" s="2">
        <f>N120</f>
        <v>0</v>
      </c>
      <c r="O134" s="2">
        <f>O120</f>
        <v>0</v>
      </c>
      <c r="P134" s="2">
        <f>P120</f>
        <v>4.4480000000000004</v>
      </c>
      <c r="Q134" s="2">
        <f>Q120</f>
        <v>0</v>
      </c>
      <c r="R134" s="2">
        <f>R120</f>
        <v>0</v>
      </c>
      <c r="S134" s="2">
        <f>S120</f>
        <v>0</v>
      </c>
      <c r="T134" s="2">
        <f>T120</f>
        <v>0</v>
      </c>
      <c r="U134" s="2">
        <f>U120</f>
        <v>0</v>
      </c>
      <c r="V134" s="2">
        <f>V120</f>
        <v>0</v>
      </c>
      <c r="W134" s="2">
        <f>W120</f>
        <v>0</v>
      </c>
      <c r="X134" s="2">
        <f>X120</f>
        <v>0</v>
      </c>
      <c r="Y134" s="2">
        <f>Y120</f>
        <v>0</v>
      </c>
      <c r="Z134" s="2">
        <f>Z120</f>
        <v>0</v>
      </c>
      <c r="AA134" s="2">
        <f>AA120</f>
        <v>0</v>
      </c>
      <c r="AB134" s="2">
        <f>AB120</f>
        <v>3.516</v>
      </c>
      <c r="AC134" s="2">
        <f>AC120</f>
        <v>0</v>
      </c>
      <c r="AD134" s="2">
        <f>AD120</f>
        <v>0</v>
      </c>
      <c r="AE134" s="2">
        <f>AE120</f>
        <v>0</v>
      </c>
      <c r="AF134" s="2">
        <f>AF120</f>
        <v>0</v>
      </c>
      <c r="AG134" s="2">
        <f>AG120</f>
        <v>0</v>
      </c>
      <c r="AH134" s="2">
        <f>AH120</f>
        <v>0</v>
      </c>
      <c r="AI134" s="2">
        <f>AI120</f>
        <v>0</v>
      </c>
      <c r="AJ134" s="2"/>
      <c r="AK134" s="2">
        <f>SUM(E134:P134)</f>
        <v>4.4480000000000004</v>
      </c>
      <c r="AL134" s="2">
        <f>SUM(Q134:AB134)</f>
        <v>3.516</v>
      </c>
      <c r="AM134" s="2">
        <f>SUM(X134:AI134)</f>
        <v>3.516</v>
      </c>
      <c r="AN134" s="2"/>
      <c r="AO134" s="5">
        <f>IFERROR(AK134/AK$15%,0)</f>
        <v>5.8163394574715241E-2</v>
      </c>
      <c r="AP134" s="5">
        <f>IFERROR(AL134/AL$15%,0)</f>
        <v>5.1867960882635497E-2</v>
      </c>
      <c r="AQ134" s="5">
        <f>IFERROR(AM134/AM$15%,0)</f>
        <v>4.7879635759511131E-2</v>
      </c>
    </row>
    <row r="135" spans="3:43" ht="12" customHeight="1" thickBot="1" x14ac:dyDescent="0.3">
      <c r="C135" s="40" t="s">
        <v>117</v>
      </c>
      <c r="D135" s="76"/>
      <c r="E135" s="39">
        <f>SUM(E129:E134)</f>
        <v>-308.89328</v>
      </c>
      <c r="F135" s="39">
        <f>SUM(F129:F134)</f>
        <v>-106.98811000000003</v>
      </c>
      <c r="G135" s="39">
        <f>SUM(G129:G134)</f>
        <v>163.93174999999994</v>
      </c>
      <c r="H135" s="39">
        <f>SUM(H129:H134)</f>
        <v>318.50389999999993</v>
      </c>
      <c r="I135" s="39">
        <f>SUM(I129:I134)</f>
        <v>108.45597000000006</v>
      </c>
      <c r="J135" s="39">
        <f>SUM(J129:J134)</f>
        <v>-35.950400000000059</v>
      </c>
      <c r="K135" s="39">
        <f>SUM(K129:K134)</f>
        <v>107.54746000000011</v>
      </c>
      <c r="L135" s="39">
        <f>SUM(L129:L134)</f>
        <v>674.36889000000008</v>
      </c>
      <c r="M135" s="39">
        <f>SUM(M129:M134)</f>
        <v>816.1345500000001</v>
      </c>
      <c r="N135" s="39">
        <f>SUM(N129:N134)</f>
        <v>-245.69617999999994</v>
      </c>
      <c r="O135" s="39">
        <f>SUM(O129:O134)</f>
        <v>-108.92309000000012</v>
      </c>
      <c r="P135" s="39">
        <f>SUM(P129:P134)</f>
        <v>191.22655999999986</v>
      </c>
      <c r="Q135" s="39">
        <f>SUM(Q129:Q134)</f>
        <v>-76.656609999999944</v>
      </c>
      <c r="R135" s="39">
        <f>SUM(R129:R134)</f>
        <v>84.330749999999966</v>
      </c>
      <c r="S135" s="39">
        <f>SUM(S129:S134)</f>
        <v>-149.02755000000013</v>
      </c>
      <c r="T135" s="39">
        <f>SUM(T129:T134)</f>
        <v>-113.91802999999999</v>
      </c>
      <c r="U135" s="39">
        <f>SUM(U129:U134)</f>
        <v>15.084539999999947</v>
      </c>
      <c r="V135" s="39">
        <f>SUM(V129:V134)</f>
        <v>-112.86901000000006</v>
      </c>
      <c r="W135" s="39">
        <f>SUM(W129:W134)</f>
        <v>-168.68214999999998</v>
      </c>
      <c r="X135" s="39">
        <f>SUM(X129:X134)</f>
        <v>656.72365999999988</v>
      </c>
      <c r="Y135" s="39">
        <f>SUM(Y129:Y134)</f>
        <v>619.69770000000028</v>
      </c>
      <c r="Z135" s="39">
        <f>SUM(Z129:Z134)</f>
        <v>241.65784999999966</v>
      </c>
      <c r="AA135" s="39">
        <f>SUM(AA129:AA134)</f>
        <v>401.67570000000018</v>
      </c>
      <c r="AB135" s="39">
        <f>SUM(AB129:AB134)</f>
        <v>-113.70552000000032</v>
      </c>
      <c r="AC135" s="39">
        <f>SUM(AC129:AC134)</f>
        <v>-104.9857199999999</v>
      </c>
      <c r="AD135" s="39">
        <f>SUM(AD129:AD134)</f>
        <v>3.8198099999999613</v>
      </c>
      <c r="AE135" s="39">
        <f>SUM(AE129:AE134)</f>
        <v>166.17516000000001</v>
      </c>
      <c r="AF135" s="39">
        <f>SUM(AF129:AF134)</f>
        <v>-22.474030000000027</v>
      </c>
      <c r="AG135" s="39">
        <f>SUM(AG129:AG134)</f>
        <v>-232.79306000000003</v>
      </c>
      <c r="AH135" s="39">
        <f>SUM(AH129:AH134)</f>
        <v>235.19114999999988</v>
      </c>
      <c r="AI135" s="39">
        <f>SUM(AI129:AI134)</f>
        <v>-102.31717999999981</v>
      </c>
      <c r="AJ135" s="39"/>
      <c r="AK135" s="39">
        <f>SUM(AK129:AK134)</f>
        <v>1573.7180199999982</v>
      </c>
      <c r="AL135" s="39">
        <f>SUM(AL129:AL134)</f>
        <v>1284.3113299999993</v>
      </c>
      <c r="AM135" s="39">
        <f>SUM(AM129:AM134)</f>
        <v>1748.6655199999989</v>
      </c>
      <c r="AN135" s="51"/>
      <c r="AO135" s="75">
        <f>IFERROR(AK135/AK$15%,0)</f>
        <v>20.57841325238298</v>
      </c>
      <c r="AP135" s="75">
        <f>IFERROR(AL135/AL$15%,0)</f>
        <v>18.946134762675065</v>
      </c>
      <c r="AQ135" s="75">
        <f>IFERROR(AM135/AM$15%,0)</f>
        <v>23.812704255635971</v>
      </c>
    </row>
    <row r="136" spans="3:43" ht="6" customHeight="1" x14ac:dyDescent="0.2">
      <c r="D136" s="4"/>
    </row>
    <row r="137" spans="3:43" ht="11.25" hidden="1" customHeight="1" outlineLevel="1" x14ac:dyDescent="0.2">
      <c r="C137" s="7" t="s">
        <v>233</v>
      </c>
      <c r="D137" s="4"/>
      <c r="E137" s="5">
        <f>IFERROR(E20/E$15%,0)</f>
        <v>100</v>
      </c>
      <c r="F137" s="5">
        <f>IFERROR(F20/F$15%,0)</f>
        <v>100</v>
      </c>
      <c r="G137" s="5">
        <f>IFERROR(G20/G$15%,0)</f>
        <v>100</v>
      </c>
      <c r="H137" s="5">
        <f>IFERROR(H20/H$15%,0)</f>
        <v>100</v>
      </c>
      <c r="I137" s="5">
        <f>IFERROR(I20/I$15%,0)</f>
        <v>100</v>
      </c>
      <c r="J137" s="5">
        <f>IFERROR(J20/J$15%,0)</f>
        <v>99.999999999999986</v>
      </c>
      <c r="K137" s="5">
        <f>IFERROR(K20/K$15%,0)</f>
        <v>100</v>
      </c>
      <c r="L137" s="5">
        <f>IFERROR(L20/L$15%,0)</f>
        <v>100</v>
      </c>
      <c r="M137" s="5">
        <f>IFERROR(M20/M$15%,0)</f>
        <v>100</v>
      </c>
      <c r="N137" s="5">
        <f>IFERROR(N20/N$15%,0)</f>
        <v>100</v>
      </c>
      <c r="O137" s="5">
        <f>IFERROR(O20/O$15%,0)</f>
        <v>99.999999999999986</v>
      </c>
      <c r="P137" s="5">
        <f>IFERROR(P20/P$15%,0)</f>
        <v>100</v>
      </c>
      <c r="Q137" s="5">
        <f>IFERROR(Q20/Q$15%,0)</f>
        <v>100</v>
      </c>
      <c r="R137" s="5">
        <f>IFERROR(R20/R$15%,0)</f>
        <v>100</v>
      </c>
      <c r="S137" s="5">
        <f>IFERROR(S20/S$15%,0)</f>
        <v>100</v>
      </c>
      <c r="T137" s="5">
        <f>IFERROR(T20/T$15%,0)</f>
        <v>100</v>
      </c>
      <c r="U137" s="5">
        <f>IFERROR(U20/U$15%,0)</f>
        <v>100</v>
      </c>
      <c r="V137" s="5">
        <f>IFERROR(V20/V$15%,0)</f>
        <v>100</v>
      </c>
      <c r="W137" s="5">
        <f>IFERROR(W20/W$15%,0)</f>
        <v>100</v>
      </c>
      <c r="X137" s="5">
        <f>IFERROR(X20/X$15%,0)</f>
        <v>100.00000000000001</v>
      </c>
      <c r="Y137" s="5">
        <f>IFERROR(Y20/Y$15%,0)</f>
        <v>100</v>
      </c>
      <c r="Z137" s="5">
        <f>IFERROR(Z20/Z$15%,0)</f>
        <v>100</v>
      </c>
      <c r="AA137" s="5">
        <f>IFERROR(AA20/AA$15%,0)</f>
        <v>100</v>
      </c>
      <c r="AB137" s="5">
        <f>IFERROR(AB20/AB$15%,0)</f>
        <v>100</v>
      </c>
      <c r="AC137" s="5">
        <f>IFERROR(AC20/AC$15%,0)</f>
        <v>100</v>
      </c>
      <c r="AD137" s="5">
        <f>IFERROR(AD20/AD$15%,0)</f>
        <v>100</v>
      </c>
      <c r="AE137" s="5">
        <f>IFERROR(AE20/AE$15%,0)</f>
        <v>100</v>
      </c>
      <c r="AF137" s="5">
        <f>IFERROR(AF20/AF$15%,0)</f>
        <v>100</v>
      </c>
      <c r="AG137" s="5">
        <f>IFERROR(AG20/AG$15%,0)</f>
        <v>100</v>
      </c>
      <c r="AH137" s="5">
        <f>IFERROR(AH20/AH$15%,0)</f>
        <v>100</v>
      </c>
      <c r="AI137" s="5">
        <f>IFERROR(AI20/AI$15%,0)</f>
        <v>99.999999999999986</v>
      </c>
      <c r="AJ137" s="2"/>
      <c r="AK137" s="5">
        <f>IFERROR(AK20/AK$15%,0)</f>
        <v>100</v>
      </c>
      <c r="AL137" s="5">
        <f>IFERROR(AL20/AL$15%,0)</f>
        <v>100</v>
      </c>
      <c r="AM137" s="5">
        <f>IFERROR(AM20/AM$15%,0)</f>
        <v>99.999999999999986</v>
      </c>
      <c r="AN137" s="2"/>
      <c r="AO137" s="5"/>
      <c r="AP137" s="5"/>
      <c r="AQ137" s="5"/>
    </row>
    <row r="138" spans="3:43" ht="11.25" hidden="1" customHeight="1" outlineLevel="1" x14ac:dyDescent="0.2">
      <c r="C138" s="7" t="s">
        <v>232</v>
      </c>
      <c r="D138" s="4"/>
      <c r="E138" s="5">
        <f>IFERROR(E113/E$15%,0)</f>
        <v>-159.73596648837295</v>
      </c>
      <c r="F138" s="5">
        <f>IFERROR(F113/F$15%,0)</f>
        <v>-24.820054326122069</v>
      </c>
      <c r="G138" s="5">
        <f>IFERROR(G113/G$15%,0)</f>
        <v>22.455367818369393</v>
      </c>
      <c r="H138" s="5">
        <f>IFERROR(H113/H$15%,0)</f>
        <v>-8.514005878867458</v>
      </c>
      <c r="I138" s="5">
        <f>IFERROR(I113/I$15%,0)</f>
        <v>17.460844779437608</v>
      </c>
      <c r="J138" s="5">
        <f>IFERROR(J113/J$15%,0)</f>
        <v>-7.8926691498676362</v>
      </c>
      <c r="K138" s="5">
        <f>IFERROR(K113/K$15%,0)</f>
        <v>15.621272157892614</v>
      </c>
      <c r="L138" s="5">
        <f>IFERROR(L113/L$15%,0)</f>
        <v>53.21675525357238</v>
      </c>
      <c r="M138" s="5">
        <f>IFERROR(M113/M$15%,0)</f>
        <v>63.951567025237892</v>
      </c>
      <c r="N138" s="5">
        <f>IFERROR(N113/N$15%,0)</f>
        <v>-102.93030416650082</v>
      </c>
      <c r="O138" s="5">
        <f>IFERROR(O113/O$15%,0)</f>
        <v>-19.772091899499216</v>
      </c>
      <c r="P138" s="5">
        <f>IFERROR(P113/P$15%,0)</f>
        <v>15.58485469941623</v>
      </c>
      <c r="Q138" s="5">
        <f>IFERROR(Q113/Q$15%,0)</f>
        <v>-18.163179668470573</v>
      </c>
      <c r="R138" s="5">
        <f>IFERROR(R113/R$15%,0)</f>
        <v>16.043137068391509</v>
      </c>
      <c r="S138" s="5">
        <f>IFERROR(S113/S$15%,0)</f>
        <v>-40.131507373137907</v>
      </c>
      <c r="T138" s="5">
        <f>IFERROR(T113/T$15%,0)</f>
        <v>-29.850073630756164</v>
      </c>
      <c r="U138" s="5">
        <f>IFERROR(U113/U$15%,0)</f>
        <v>2.8081030717879791</v>
      </c>
      <c r="V138" s="5">
        <f>IFERROR(V113/V$15%,0)</f>
        <v>-31.624473247708085</v>
      </c>
      <c r="W138" s="5">
        <f>IFERROR(W113/W$15%,0)</f>
        <v>-46.136676932502574</v>
      </c>
      <c r="X138" s="5">
        <f>IFERROR(X113/X$15%,0)</f>
        <v>53.57846948345199</v>
      </c>
      <c r="Y138" s="5">
        <f>IFERROR(Y113/Y$15%,0)</f>
        <v>54.391289749746257</v>
      </c>
      <c r="Z138" s="5">
        <f>IFERROR(Z113/Z$15%,0)</f>
        <v>73.307177187171263</v>
      </c>
      <c r="AA138" s="5">
        <f>IFERROR(AA113/AA$15%,0)</f>
        <v>49.716707780015341</v>
      </c>
      <c r="AB138" s="5">
        <f>IFERROR(AB113/AB$15%,0)</f>
        <v>-27.516544759609975</v>
      </c>
      <c r="AC138" s="5">
        <f>IFERROR(AC113/AC$15%,0)</f>
        <v>-29.870209091452232</v>
      </c>
      <c r="AD138" s="5">
        <f>IFERROR(AD113/AD$15%,0)</f>
        <v>0.70267858949571316</v>
      </c>
      <c r="AE138" s="5">
        <f>IFERROR(AE113/AE$15%,0)</f>
        <v>22.560824562553936</v>
      </c>
      <c r="AF138" s="5">
        <f>IFERROR(AF113/AF$15%,0)</f>
        <v>-5.2799690823616814</v>
      </c>
      <c r="AG138" s="5">
        <f>IFERROR(AG113/AG$15%,0)</f>
        <v>-81.914585312642956</v>
      </c>
      <c r="AH138" s="5">
        <f>IFERROR(AH113/AH$15%,0)</f>
        <v>30.93130808058223</v>
      </c>
      <c r="AI138" s="5">
        <f>IFERROR(AI113/AI$15%,0)</f>
        <v>-24.152768982107197</v>
      </c>
      <c r="AJ138" s="2"/>
      <c r="AK138" s="5">
        <f>IFERROR(AK113/AK$15%,0)</f>
        <v>14.931485796467641</v>
      </c>
      <c r="AL138" s="5">
        <f>IFERROR(AL113/AL$15%,0)</f>
        <v>18.175136996767986</v>
      </c>
      <c r="AM138" s="5">
        <f>IFERROR(AM113/AM$15%,0)</f>
        <v>23.102428923845011</v>
      </c>
      <c r="AN138" s="2"/>
      <c r="AO138" s="5"/>
      <c r="AP138" s="5"/>
      <c r="AQ138" s="5"/>
    </row>
    <row r="139" spans="3:43" ht="11.25" hidden="1" customHeight="1" outlineLevel="1" x14ac:dyDescent="0.2">
      <c r="C139" s="7" t="s">
        <v>231</v>
      </c>
      <c r="D139" s="6"/>
      <c r="E139" s="5">
        <f>IFERROR(E135/E$15%,0)</f>
        <v>-159.94308408456612</v>
      </c>
      <c r="F139" s="5">
        <f>IFERROR(F135/F$15%,0)</f>
        <v>-24.913198127343886</v>
      </c>
      <c r="G139" s="5">
        <f>IFERROR(G135/G$15%,0)</f>
        <v>22.400709195630036</v>
      </c>
      <c r="H139" s="5">
        <f>IFERROR(H135/H$15%,0)</f>
        <v>74.009573491652233</v>
      </c>
      <c r="I139" s="5">
        <f>IFERROR(I135/I$15%,0)</f>
        <v>17.396683503654799</v>
      </c>
      <c r="J139" s="5">
        <f>IFERROR(J135/J$15%,0)</f>
        <v>-7.4767225906815602</v>
      </c>
      <c r="K139" s="5">
        <f>IFERROR(K135/K$15%,0)</f>
        <v>15.621272157892614</v>
      </c>
      <c r="L139" s="5">
        <f>IFERROR(L135/L$15%,0)</f>
        <v>53.208865081610028</v>
      </c>
      <c r="M139" s="5">
        <f>IFERROR(M135/M$15%,0)</f>
        <v>63.951567025237892</v>
      </c>
      <c r="N139" s="5">
        <f>IFERROR(N135/N$15%,0)</f>
        <v>-102.93030416650082</v>
      </c>
      <c r="O139" s="5">
        <f>IFERROR(O135/O$15%,0)</f>
        <v>-19.772091899499216</v>
      </c>
      <c r="P139" s="5">
        <f>IFERROR(P135/P$15%,0)</f>
        <v>25.95425790225886</v>
      </c>
      <c r="Q139" s="5">
        <f>IFERROR(Q135/Q$15%,0)</f>
        <v>-18.163179668470573</v>
      </c>
      <c r="R139" s="5">
        <f>IFERROR(R135/R$15%,0)</f>
        <v>16.043137068391509</v>
      </c>
      <c r="S139" s="5">
        <f>IFERROR(S135/S$15%,0)</f>
        <v>-40.131507373137907</v>
      </c>
      <c r="T139" s="5">
        <f>IFERROR(T135/T$15%,0)</f>
        <v>-29.850073630756164</v>
      </c>
      <c r="U139" s="5">
        <f>IFERROR(U135/U$15%,0)</f>
        <v>2.8081030717879791</v>
      </c>
      <c r="V139" s="5">
        <f>IFERROR(V135/V$15%,0)</f>
        <v>-31.624473247708085</v>
      </c>
      <c r="W139" s="5">
        <f>IFERROR(W135/W$15%,0)</f>
        <v>-46.136676932502574</v>
      </c>
      <c r="X139" s="5">
        <f>IFERROR(X135/X$15%,0)</f>
        <v>57.993862603563052</v>
      </c>
      <c r="Y139" s="5">
        <f>IFERROR(Y135/Y$15%,0)</f>
        <v>54.590732980344271</v>
      </c>
      <c r="Z139" s="5">
        <f>IFERROR(Z135/Z$15%,0)</f>
        <v>73.307177187171263</v>
      </c>
      <c r="AA139" s="5">
        <f>IFERROR(AA135/AA$15%,0)</f>
        <v>49.716707780015341</v>
      </c>
      <c r="AB139" s="5">
        <f>IFERROR(AB135/AB$15%,0)</f>
        <v>-27.516544759609975</v>
      </c>
      <c r="AC139" s="5">
        <f>IFERROR(AC135/AC$15%,0)</f>
        <v>-29.870209091452232</v>
      </c>
      <c r="AD139" s="5">
        <f>IFERROR(AD135/AD$15%,0)</f>
        <v>0.70267858949571316</v>
      </c>
      <c r="AE139" s="5">
        <f>IFERROR(AE135/AE$15%,0)</f>
        <v>22.560824562553936</v>
      </c>
      <c r="AF139" s="5">
        <f>IFERROR(AF135/AF$15%,0)</f>
        <v>-5.2799690823616814</v>
      </c>
      <c r="AG139" s="5">
        <f>IFERROR(AG135/AG$15%,0)</f>
        <v>-81.914585312642956</v>
      </c>
      <c r="AH139" s="5">
        <f>IFERROR(AH135/AH$15%,0)</f>
        <v>30.93130808058223</v>
      </c>
      <c r="AI139" s="5">
        <f>IFERROR(AI135/AI$15%,0)</f>
        <v>-24.177712978628836</v>
      </c>
      <c r="AJ139" s="5"/>
      <c r="AK139" s="5">
        <f>IFERROR(AK135/AK$15%,0)</f>
        <v>20.57841325238298</v>
      </c>
      <c r="AL139" s="5">
        <f>IFERROR(AL135/AL$15%,0)</f>
        <v>18.946134762675065</v>
      </c>
      <c r="AM139" s="5">
        <f>IFERROR(AM135/AM$15%,0)</f>
        <v>23.812704255635971</v>
      </c>
    </row>
    <row r="140" spans="3:43" ht="6" hidden="1" customHeight="1" outlineLevel="1" x14ac:dyDescent="0.2">
      <c r="D140" s="4"/>
    </row>
    <row r="141" spans="3:43" collapsed="1" x14ac:dyDescent="0.2"/>
    <row r="142" spans="3:43" ht="11.25" customHeight="1" x14ac:dyDescent="0.2">
      <c r="C142" t="s">
        <v>230</v>
      </c>
      <c r="E142" s="2">
        <f>TB!K129+E129</f>
        <v>0</v>
      </c>
      <c r="F142" s="2">
        <f>TB!L129+F129</f>
        <v>0</v>
      </c>
      <c r="G142" s="2">
        <f>TB!M129+G129</f>
        <v>0</v>
      </c>
      <c r="H142" s="2">
        <f>TB!N129+H129</f>
        <v>0</v>
      </c>
      <c r="I142" s="2">
        <f>TB!O129+I129</f>
        <v>0</v>
      </c>
      <c r="J142" s="2">
        <f>TB!P129+J129</f>
        <v>1.0658141036401503E-13</v>
      </c>
      <c r="K142" s="2">
        <f>TB!Q129+K129</f>
        <v>0</v>
      </c>
      <c r="L142" s="2">
        <f>TB!R129+L129</f>
        <v>0</v>
      </c>
      <c r="M142" s="2">
        <f>TB!S129+M129</f>
        <v>0</v>
      </c>
      <c r="N142" s="2">
        <f>TB!T129+N129</f>
        <v>0</v>
      </c>
      <c r="O142" s="2">
        <f>TB!U129+O129</f>
        <v>0</v>
      </c>
      <c r="P142" s="2">
        <f>TB!V129+P129</f>
        <v>0</v>
      </c>
      <c r="Q142" s="2">
        <f>TB!W129+Q129</f>
        <v>1.4210854715202004E-13</v>
      </c>
      <c r="R142" s="2">
        <f>TB!X129+R129</f>
        <v>0</v>
      </c>
      <c r="S142" s="2">
        <f>TB!Y129+S129</f>
        <v>0</v>
      </c>
      <c r="T142" s="2">
        <f>TB!Z129+T129</f>
        <v>0</v>
      </c>
      <c r="U142" s="2">
        <f>TB!AA129+U129</f>
        <v>-1.4210854715202004E-14</v>
      </c>
      <c r="V142" s="2">
        <f>TB!AB129+V129</f>
        <v>0</v>
      </c>
      <c r="W142" s="2">
        <f>TB!AC129+W129</f>
        <v>0</v>
      </c>
      <c r="X142" s="2">
        <f>TB!AD129+X129</f>
        <v>0</v>
      </c>
      <c r="Y142" s="2">
        <f>TB!AE129+Y129</f>
        <v>0</v>
      </c>
      <c r="Z142" s="2">
        <f>TB!AF129+Z129</f>
        <v>0</v>
      </c>
      <c r="AA142" s="2">
        <f>TB!AG129+AA129</f>
        <v>0</v>
      </c>
      <c r="AB142" s="2">
        <f>TB!AH129+AB129</f>
        <v>-3.979039320256561E-13</v>
      </c>
      <c r="AC142" s="2">
        <f>TB!AI129+AC129</f>
        <v>0</v>
      </c>
      <c r="AD142" s="2">
        <f>TB!AJ129+AD129</f>
        <v>-4.6185277824406512E-14</v>
      </c>
      <c r="AE142" s="2">
        <f>TB!AK129+AE129</f>
        <v>0</v>
      </c>
      <c r="AF142" s="2">
        <f>TB!AL129+AF129</f>
        <v>-1.2079226507921703E-13</v>
      </c>
      <c r="AG142" s="2">
        <f>TB!AM129+AG129</f>
        <v>0</v>
      </c>
      <c r="AH142" s="2">
        <f>TB!AN129+AH129</f>
        <v>0</v>
      </c>
      <c r="AI142" s="2">
        <f>TB!AO129+AI129</f>
        <v>0</v>
      </c>
      <c r="AK142" s="2">
        <f>SUM(E142:P142)</f>
        <v>1.0658141036401503E-13</v>
      </c>
      <c r="AL142" s="2">
        <f>SUM(Q142:AB142)</f>
        <v>-2.7000623958883807E-13</v>
      </c>
      <c r="AM142" s="2">
        <f>SUM(X142:AI142)</f>
        <v>-5.6488147492927965E-13</v>
      </c>
    </row>
    <row r="143" spans="3:43" x14ac:dyDescent="0.2">
      <c r="C143" t="s">
        <v>238</v>
      </c>
      <c r="E143" s="2">
        <f>'PL1'!E30-E129</f>
        <v>0</v>
      </c>
      <c r="F143" s="2">
        <f>'PL1'!F30-F129</f>
        <v>0</v>
      </c>
      <c r="G143" s="2">
        <f>'PL1'!G30-G129</f>
        <v>0</v>
      </c>
      <c r="H143" s="2">
        <f>'PL1'!H30-H129</f>
        <v>0</v>
      </c>
      <c r="I143" s="2">
        <f>'PL1'!I30-I129</f>
        <v>0</v>
      </c>
      <c r="J143" s="2">
        <f>'PL1'!J30-J129</f>
        <v>0</v>
      </c>
      <c r="K143" s="2">
        <f>'PL1'!K30-K129</f>
        <v>-1.1368683772161603E-13</v>
      </c>
      <c r="L143" s="2">
        <f>'PL1'!L30-L129</f>
        <v>0</v>
      </c>
      <c r="M143" s="2">
        <f>'PL1'!M30-M129</f>
        <v>0</v>
      </c>
      <c r="N143" s="2">
        <f>'PL1'!N30-N129</f>
        <v>0</v>
      </c>
      <c r="O143" s="2">
        <f>'PL1'!O30-O129</f>
        <v>0</v>
      </c>
      <c r="P143" s="2">
        <f>'PL1'!P30-P129</f>
        <v>0</v>
      </c>
      <c r="Q143" s="2">
        <f>'PL1'!Q30-Q129</f>
        <v>0</v>
      </c>
      <c r="R143" s="2">
        <f>'PL1'!R30-R129</f>
        <v>0</v>
      </c>
      <c r="S143" s="2">
        <f>'PL1'!S30-S129</f>
        <v>0</v>
      </c>
      <c r="T143" s="2">
        <f>'PL1'!T30-T129</f>
        <v>0</v>
      </c>
      <c r="U143" s="2">
        <f>'PL1'!U30-U129</f>
        <v>1.1368683772161603E-13</v>
      </c>
      <c r="V143" s="2">
        <f>'PL1'!V30-V129</f>
        <v>0</v>
      </c>
      <c r="W143" s="2">
        <f>'PL1'!W30-W129</f>
        <v>0</v>
      </c>
      <c r="X143" s="2">
        <f>'PL1'!X30-X129</f>
        <v>0</v>
      </c>
      <c r="Y143" s="2">
        <f>'PL1'!Y30-Y129</f>
        <v>0</v>
      </c>
      <c r="Z143" s="2">
        <f>'PL1'!Z30-Z129</f>
        <v>0</v>
      </c>
      <c r="AA143" s="2">
        <f>'PL1'!AA30-AA129</f>
        <v>0</v>
      </c>
      <c r="AB143" s="2">
        <f>'PL1'!AB30-AB129</f>
        <v>-6.2527760746888816E-13</v>
      </c>
      <c r="AC143" s="2">
        <f>'PL1'!AC30-AC129</f>
        <v>0</v>
      </c>
      <c r="AD143" s="2">
        <f>'PL1'!AD30-AD129</f>
        <v>0</v>
      </c>
      <c r="AE143" s="2">
        <f>'PL1'!AE30-AE129</f>
        <v>0</v>
      </c>
      <c r="AF143" s="2">
        <f>'PL1'!AF30-AF129</f>
        <v>1.1368683772161603E-13</v>
      </c>
      <c r="AG143" s="2">
        <f>'PL1'!AG30-AG129</f>
        <v>0</v>
      </c>
      <c r="AH143" s="2">
        <f>'PL1'!AH30-AH129</f>
        <v>0</v>
      </c>
      <c r="AI143" s="2">
        <f>'PL1'!AI30-AI129</f>
        <v>0</v>
      </c>
      <c r="AK143" s="2">
        <f>SUM(E143:P143)</f>
        <v>-1.1368683772161603E-13</v>
      </c>
      <c r="AL143" s="2">
        <f>SUM(Q143:AB143)</f>
        <v>-5.1159076974727213E-13</v>
      </c>
      <c r="AM143" s="2">
        <f>SUM(X143:AI143)</f>
        <v>-5.1159076974727213E-13</v>
      </c>
    </row>
    <row r="144" spans="3:43" x14ac:dyDescent="0.2">
      <c r="C144" t="s">
        <v>237</v>
      </c>
      <c r="E144" s="2">
        <f>'PL1'!E36-E135</f>
        <v>0</v>
      </c>
      <c r="F144" s="2">
        <f>'PL1'!F36-F135</f>
        <v>0</v>
      </c>
      <c r="G144" s="2">
        <f>'PL1'!G36-G135</f>
        <v>0</v>
      </c>
      <c r="H144" s="2">
        <f>'PL1'!H36-H135</f>
        <v>0</v>
      </c>
      <c r="I144" s="2">
        <f>'PL1'!I36-I135</f>
        <v>0</v>
      </c>
      <c r="J144" s="2">
        <f>'PL1'!J36-J135</f>
        <v>0</v>
      </c>
      <c r="K144" s="2">
        <f>'PL1'!K36-K135</f>
        <v>-1.1368683772161603E-13</v>
      </c>
      <c r="L144" s="2">
        <f>'PL1'!L36-L135</f>
        <v>0</v>
      </c>
      <c r="M144" s="2">
        <f>'PL1'!M36-M135</f>
        <v>0</v>
      </c>
      <c r="N144" s="2">
        <f>'PL1'!N36-N135</f>
        <v>0</v>
      </c>
      <c r="O144" s="2">
        <f>'PL1'!O36-O135</f>
        <v>0</v>
      </c>
      <c r="P144" s="2">
        <f>'PL1'!P36-P135</f>
        <v>0</v>
      </c>
      <c r="Q144" s="2">
        <f>'PL1'!Q36-Q135</f>
        <v>0</v>
      </c>
      <c r="R144" s="2">
        <f>'PL1'!R36-R135</f>
        <v>0</v>
      </c>
      <c r="S144" s="2">
        <f>'PL1'!S36-S135</f>
        <v>0</v>
      </c>
      <c r="T144" s="2">
        <f>'PL1'!T36-T135</f>
        <v>0</v>
      </c>
      <c r="U144" s="2">
        <f>'PL1'!U36-U135</f>
        <v>1.1368683772161603E-13</v>
      </c>
      <c r="V144" s="2">
        <f>'PL1'!V36-V135</f>
        <v>0</v>
      </c>
      <c r="W144" s="2">
        <f>'PL1'!W36-W135</f>
        <v>0</v>
      </c>
      <c r="X144" s="2">
        <f>'PL1'!X36-X135</f>
        <v>0</v>
      </c>
      <c r="Y144" s="2">
        <f>'PL1'!Y36-Y135</f>
        <v>0</v>
      </c>
      <c r="Z144" s="2">
        <f>'PL1'!Z36-Z135</f>
        <v>0</v>
      </c>
      <c r="AA144" s="2">
        <f>'PL1'!AA36-AA135</f>
        <v>0</v>
      </c>
      <c r="AB144" s="2">
        <f>'PL1'!AB36-AB135</f>
        <v>-6.2527760746888816E-13</v>
      </c>
      <c r="AC144" s="2">
        <f>'PL1'!AC36-AC135</f>
        <v>0</v>
      </c>
      <c r="AD144" s="2">
        <f>'PL1'!AD36-AD135</f>
        <v>0</v>
      </c>
      <c r="AE144" s="2">
        <f>'PL1'!AE36-AE135</f>
        <v>0</v>
      </c>
      <c r="AF144" s="2">
        <f>'PL1'!AF36-AF135</f>
        <v>1.1368683772161603E-13</v>
      </c>
      <c r="AG144" s="2">
        <f>'PL1'!AG36-AG135</f>
        <v>0</v>
      </c>
      <c r="AH144" s="2">
        <f>'PL1'!AH36-AH135</f>
        <v>0</v>
      </c>
      <c r="AI144" s="2">
        <f>'PL1'!AI36-AI135</f>
        <v>0</v>
      </c>
      <c r="AK144" s="2">
        <f>SUM(E144:P144)</f>
        <v>-1.1368683772161603E-13</v>
      </c>
      <c r="AL144" s="2">
        <f>SUM(Q144:AB144)</f>
        <v>-5.1159076974727213E-13</v>
      </c>
      <c r="AM144" s="2">
        <f>SUM(X144:AI144)</f>
        <v>-5.1159076974727213E-13</v>
      </c>
    </row>
  </sheetData>
  <pageMargins left="0.7" right="0.7" top="0.75" bottom="0.75" header="0.3" footer="0.3"/>
  <pageSetup scale="46" orientation="landscape" r:id="rId1"/>
  <extLst>
    <ext xmlns:x14="http://schemas.microsoft.com/office/spreadsheetml/2009/9/main" uri="{78C0D931-6437-407d-A8EE-F0AAD7539E65}">
      <x14:conditionalFormattings>
        <x14:conditionalFormatting xmlns:xm="http://schemas.microsoft.com/office/excel/2006/main">
          <x14:cfRule type="containsText" priority="1" operator="containsText" id="{DFCF8C21-993C-478E-BDA2-D44D86714436}">
            <xm:f>NOT(ISERROR(SEARCH("NO",A1)))</xm:f>
            <xm:f>"NO"</xm:f>
            <x14:dxf>
              <font>
                <b/>
                <i val="0"/>
                <color rgb="FFFF0000"/>
              </font>
            </x14:dxf>
          </x14:cfRule>
          <xm:sqref>A1:A2</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63F3F-C544-400D-B296-4F0E058F61CE}">
  <sheetPr>
    <tabColor rgb="FF0A2463"/>
    <pageSetUpPr fitToPage="1"/>
  </sheetPr>
  <dimension ref="D8:D10"/>
  <sheetViews>
    <sheetView showGridLines="0" view="pageBreakPreview" zoomScaleNormal="100" zoomScaleSheetLayoutView="100" workbookViewId="0">
      <selection activeCell="D8" sqref="D8"/>
    </sheetView>
  </sheetViews>
  <sheetFormatPr defaultRowHeight="10" x14ac:dyDescent="0.2"/>
  <sheetData>
    <row r="8" spans="4:4" ht="13" x14ac:dyDescent="0.3">
      <c r="D8" s="1" t="s">
        <v>451</v>
      </c>
    </row>
    <row r="9" spans="4:4" x14ac:dyDescent="0.2">
      <c r="D9" t="s">
        <v>450</v>
      </c>
    </row>
    <row r="10" spans="4:4" x14ac:dyDescent="0.2">
      <c r="D10" t="s">
        <v>329</v>
      </c>
    </row>
  </sheetData>
  <pageMargins left="0.7" right="0.7" top="0.75" bottom="0.75" header="0.3" footer="0.3"/>
  <pageSetup fitToHeight="0" orientation="landscape" r:id="rId1"/>
  <customProperties>
    <customPr name="OrphanNamesChecked" r:id="rId2"/>
  </customPropertie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E4C77-48A8-44A0-947C-FB893098BFF0}">
  <sheetPr>
    <tabColor rgb="FFFFFF00"/>
    <pageSetUpPr fitToPage="1"/>
  </sheetPr>
  <dimension ref="A1:AM55"/>
  <sheetViews>
    <sheetView showGridLines="0" view="pageBreakPreview" zoomScaleNormal="100" zoomScaleSheetLayoutView="100" workbookViewId="0">
      <pane xSplit="4" ySplit="8" topLeftCell="AK9" activePane="bottomRight" state="frozen"/>
      <selection pane="topRight"/>
      <selection pane="bottomLeft"/>
      <selection pane="bottomRight" activeCell="C2" sqref="C2"/>
    </sheetView>
  </sheetViews>
  <sheetFormatPr defaultRowHeight="10" outlineLevelCol="1" x14ac:dyDescent="0.2"/>
  <cols>
    <col min="1" max="1" width="9.33203125" hidden="1" customWidth="1" outlineLevel="1"/>
    <col min="2" max="2" width="1.77734375" customWidth="1" collapsed="1"/>
    <col min="3" max="3" width="26.77734375" bestFit="1" customWidth="1"/>
    <col min="4" max="4" width="4.33203125" hidden="1" customWidth="1" outlineLevel="1"/>
    <col min="5" max="35" width="7.77734375" hidden="1" customWidth="1" outlineLevel="1"/>
    <col min="36" max="36" width="1.77734375" hidden="1" customWidth="1" outlineLevel="1"/>
    <col min="37" max="37" width="8.77734375" customWidth="1" collapsed="1"/>
    <col min="38" max="39" width="8.77734375" customWidth="1"/>
    <col min="40" max="40" width="1.77734375" customWidth="1"/>
    <col min="41" max="44" width="7.6640625" customWidth="1"/>
  </cols>
  <sheetData>
    <row r="1" spans="1:39" ht="10.5" x14ac:dyDescent="0.25">
      <c r="A1" s="38" t="str">
        <f>IF(ROUND(SUM(E43:AN43),1)&lt;&gt;0,"NO","Yes")</f>
        <v>Yes</v>
      </c>
      <c r="C1" t="s">
        <v>451</v>
      </c>
    </row>
    <row r="2" spans="1:39" ht="10.5" x14ac:dyDescent="0.25">
      <c r="A2" s="38" t="str">
        <f>IF(COUNTIF(E43:AN43,"&gt;0.5")+COUNTIF(E43:AN43,"&lt;-0.5")&lt;1,"Yes","No")</f>
        <v>Yes</v>
      </c>
      <c r="C2" t="s">
        <v>450</v>
      </c>
    </row>
    <row r="3" spans="1:39" x14ac:dyDescent="0.2">
      <c r="A3">
        <f>2-COUNTIF(A1:A2,"Yes")</f>
        <v>0</v>
      </c>
      <c r="C3" t="s">
        <v>36</v>
      </c>
    </row>
    <row r="4" spans="1:39" x14ac:dyDescent="0.2">
      <c r="C4" t="s">
        <v>347</v>
      </c>
    </row>
    <row r="5" spans="1:39" x14ac:dyDescent="0.2">
      <c r="C5" s="37"/>
    </row>
    <row r="7" spans="1:39" ht="13.5" customHeight="1" x14ac:dyDescent="0.55000000000000004">
      <c r="C7" s="34" t="str">
        <f>C4</f>
        <v>Reported Balance Sheet</v>
      </c>
      <c r="D7" s="31"/>
      <c r="E7" s="36" t="s">
        <v>32</v>
      </c>
      <c r="F7" s="36"/>
      <c r="G7" s="36"/>
      <c r="H7" s="36"/>
      <c r="I7" s="36"/>
      <c r="J7" s="36"/>
      <c r="K7" s="36"/>
      <c r="L7" s="36"/>
      <c r="M7" s="36"/>
      <c r="N7" s="36"/>
      <c r="O7" s="36"/>
      <c r="P7" s="36"/>
      <c r="Q7" s="36" t="s">
        <v>31</v>
      </c>
      <c r="R7" s="36"/>
      <c r="S7" s="36"/>
      <c r="T7" s="36"/>
      <c r="U7" s="36"/>
      <c r="V7" s="36"/>
      <c r="W7" s="36"/>
      <c r="X7" s="36"/>
      <c r="Y7" s="36"/>
      <c r="Z7" s="36"/>
      <c r="AA7" s="36"/>
      <c r="AB7" s="36"/>
      <c r="AC7" s="36" t="s">
        <v>35</v>
      </c>
      <c r="AD7" s="36"/>
      <c r="AE7" s="36"/>
      <c r="AF7" s="36"/>
      <c r="AG7" s="36"/>
      <c r="AH7" s="36"/>
      <c r="AI7" s="36"/>
      <c r="AJ7" s="31"/>
      <c r="AK7" s="31"/>
      <c r="AL7" s="32"/>
      <c r="AM7" s="32"/>
    </row>
    <row r="8" spans="1:39" ht="10.5" x14ac:dyDescent="0.25">
      <c r="C8" s="34" t="str">
        <f>C3</f>
        <v>($ in 000s)</v>
      </c>
      <c r="D8" s="33" t="s">
        <v>33</v>
      </c>
      <c r="E8" s="32">
        <f>TB!K1</f>
        <v>45046</v>
      </c>
      <c r="F8" s="32">
        <f>TB!L1</f>
        <v>45077</v>
      </c>
      <c r="G8" s="32">
        <f>TB!M1</f>
        <v>45107</v>
      </c>
      <c r="H8" s="32">
        <f>TB!N1</f>
        <v>45138</v>
      </c>
      <c r="I8" s="32">
        <f>TB!O1</f>
        <v>45169</v>
      </c>
      <c r="J8" s="32">
        <f>TB!P1</f>
        <v>45199</v>
      </c>
      <c r="K8" s="32">
        <f>TB!Q1</f>
        <v>45230</v>
      </c>
      <c r="L8" s="32">
        <f>TB!R1</f>
        <v>45260</v>
      </c>
      <c r="M8" s="32">
        <f>TB!S1</f>
        <v>45291</v>
      </c>
      <c r="N8" s="32">
        <f>TB!T1</f>
        <v>45322</v>
      </c>
      <c r="O8" s="32">
        <f>TB!U1</f>
        <v>45351</v>
      </c>
      <c r="P8" s="32">
        <f>TB!V1</f>
        <v>45382</v>
      </c>
      <c r="Q8" s="32">
        <f>TB!W1</f>
        <v>45412</v>
      </c>
      <c r="R8" s="32">
        <f>TB!X1</f>
        <v>45443</v>
      </c>
      <c r="S8" s="32">
        <f>TB!Y1</f>
        <v>45473</v>
      </c>
      <c r="T8" s="32">
        <f>TB!Z1</f>
        <v>45504</v>
      </c>
      <c r="U8" s="32">
        <f>TB!AA1</f>
        <v>45535</v>
      </c>
      <c r="V8" s="32">
        <f>TB!AB1</f>
        <v>45565</v>
      </c>
      <c r="W8" s="32">
        <f>TB!AC1</f>
        <v>45596</v>
      </c>
      <c r="X8" s="32">
        <f>TB!AD1</f>
        <v>45626</v>
      </c>
      <c r="Y8" s="32">
        <f>TB!AE1</f>
        <v>45657</v>
      </c>
      <c r="Z8" s="32">
        <f>TB!AF1</f>
        <v>45688</v>
      </c>
      <c r="AA8" s="32">
        <f>TB!AG1</f>
        <v>45716</v>
      </c>
      <c r="AB8" s="32">
        <f>TB!AH1</f>
        <v>45747</v>
      </c>
      <c r="AC8" s="32">
        <f>TB!AI1</f>
        <v>45777</v>
      </c>
      <c r="AD8" s="32">
        <f>TB!AJ1</f>
        <v>45808</v>
      </c>
      <c r="AE8" s="32">
        <f>TB!AK1</f>
        <v>45838</v>
      </c>
      <c r="AF8" s="32">
        <f>TB!AL1</f>
        <v>45869</v>
      </c>
      <c r="AG8" s="32">
        <f>TB!AM1</f>
        <v>45900</v>
      </c>
      <c r="AH8" s="32">
        <f>TB!AN1</f>
        <v>45930</v>
      </c>
      <c r="AI8" s="32">
        <f>TB!AO1</f>
        <v>45961</v>
      </c>
      <c r="AJ8" s="31"/>
      <c r="AK8" s="32">
        <f>P8</f>
        <v>45382</v>
      </c>
      <c r="AL8" s="32">
        <f>AB8</f>
        <v>45747</v>
      </c>
      <c r="AM8" s="32">
        <f>AI8</f>
        <v>45961</v>
      </c>
    </row>
    <row r="9" spans="1:39" ht="11.25" customHeight="1" x14ac:dyDescent="0.2">
      <c r="C9" t="s">
        <v>146</v>
      </c>
      <c r="D9" s="4"/>
      <c r="E9" s="29">
        <f>SUMIFS(TB!K:K,TB!$H:$H,$C9)</f>
        <v>1634.4889000000001</v>
      </c>
      <c r="F9" s="29">
        <f>SUMIFS(TB!L:L,TB!$H:$H,$C9)</f>
        <v>1515.8343100000002</v>
      </c>
      <c r="G9" s="29">
        <f>SUMIFS(TB!M:M,TB!$H:$H,$C9)</f>
        <v>1285.8185500000002</v>
      </c>
      <c r="H9" s="29">
        <f>SUMIFS(TB!N:N,TB!$H:$H,$C9)</f>
        <v>1744.66732</v>
      </c>
      <c r="I9" s="29">
        <f>SUMIFS(TB!O:O,TB!$H:$H,$C9)</f>
        <v>1893.5655899999999</v>
      </c>
      <c r="J9" s="29">
        <f>SUMIFS(TB!P:P,TB!$H:$H,$C9)</f>
        <v>1712.3810799999999</v>
      </c>
      <c r="K9" s="29">
        <f>SUMIFS(TB!Q:Q,TB!$H:$H,$C9)</f>
        <v>1802.0490499999999</v>
      </c>
      <c r="L9" s="29">
        <f>SUMIFS(TB!R:R,TB!$H:$H,$C9)</f>
        <v>1828.55198</v>
      </c>
      <c r="M9" s="29">
        <f>SUMIFS(TB!S:S,TB!$H:$H,$C9)</f>
        <v>2956.0589800000002</v>
      </c>
      <c r="N9" s="29">
        <f>SUMIFS(TB!T:T,TB!$H:$H,$C9)</f>
        <v>3328.94526</v>
      </c>
      <c r="O9" s="29">
        <f>SUMIFS(TB!U:U,TB!$H:$H,$C9)</f>
        <v>3360.91174</v>
      </c>
      <c r="P9" s="29">
        <f>SUMIFS(TB!V:V,TB!$H:$H,$C9)</f>
        <v>2467.13717</v>
      </c>
      <c r="Q9" s="29">
        <f>SUMIFS(TB!W:W,TB!$H:$H,$C9)</f>
        <v>2552.3519000000001</v>
      </c>
      <c r="R9" s="29">
        <f>SUMIFS(TB!X:X,TB!$H:$H,$C9)</f>
        <v>2457.46513</v>
      </c>
      <c r="S9" s="29">
        <f>SUMIFS(TB!Y:Y,TB!$H:$H,$C9)</f>
        <v>2590.8992799999996</v>
      </c>
      <c r="T9" s="29">
        <f>SUMIFS(TB!Z:Z,TB!$H:$H,$C9)</f>
        <v>2431.6507199999996</v>
      </c>
      <c r="U9" s="29">
        <f>SUMIFS(TB!AA:AA,TB!$H:$H,$C9)</f>
        <v>2430.7370000000001</v>
      </c>
      <c r="V9" s="29">
        <f>SUMIFS(TB!AB:AB,TB!$H:$H,$C9)</f>
        <v>2168.6964600000001</v>
      </c>
      <c r="W9" s="29">
        <f>SUMIFS(TB!AC:AC,TB!$H:$H,$C9)</f>
        <v>2132.2815499999997</v>
      </c>
      <c r="X9" s="29">
        <f>SUMIFS(TB!AD:AD,TB!$H:$H,$C9)</f>
        <v>2394.8332499999997</v>
      </c>
      <c r="Y9" s="29">
        <f>SUMIFS(TB!AE:AE,TB!$H:$H,$C9)</f>
        <v>2701.4361799999997</v>
      </c>
      <c r="Z9" s="29">
        <f>SUMIFS(TB!AF:AF,TB!$H:$H,$C9)</f>
        <v>3318.5348999999997</v>
      </c>
      <c r="AA9" s="29">
        <f>SUMIFS(TB!AG:AG,TB!$H:$H,$C9)</f>
        <v>2791.1657299999997</v>
      </c>
      <c r="AB9" s="29">
        <f>SUMIFS(TB!AH:AH,TB!$H:$H,$C9)</f>
        <v>2857.098</v>
      </c>
      <c r="AC9" s="29">
        <f>SUMIFS(TB!AI:AI,TB!$H:$H,$C9)</f>
        <v>2540.75189</v>
      </c>
      <c r="AD9" s="29">
        <f>SUMIFS(TB!AJ:AJ,TB!$H:$H,$C9)</f>
        <v>2423.83347</v>
      </c>
      <c r="AE9" s="29">
        <f>SUMIFS(TB!AK:AK,TB!$H:$H,$C9)</f>
        <v>2106.0055499999999</v>
      </c>
      <c r="AF9" s="29">
        <f>SUMIFS(TB!AL:AL,TB!$H:$H,$C9)</f>
        <v>2154.0578599999999</v>
      </c>
      <c r="AG9" s="29">
        <f>SUMIFS(TB!AM:AM,TB!$H:$H,$C9)</f>
        <v>2093.9210800000001</v>
      </c>
      <c r="AH9" s="29">
        <f>SUMIFS(TB!AN:AN,TB!$H:$H,$C9)</f>
        <v>2007.01935</v>
      </c>
      <c r="AI9" s="29">
        <f>SUMIFS(TB!AO:AO,TB!$H:$H,$C9)</f>
        <v>1764.08347</v>
      </c>
      <c r="AJ9" s="29"/>
      <c r="AK9" s="29">
        <f>P9</f>
        <v>2467.13717</v>
      </c>
      <c r="AL9" s="29">
        <f>AB9</f>
        <v>2857.098</v>
      </c>
      <c r="AM9" s="29">
        <f>AI9</f>
        <v>1764.08347</v>
      </c>
    </row>
    <row r="10" spans="1:39" ht="11.25" customHeight="1" x14ac:dyDescent="0.2">
      <c r="C10" t="s">
        <v>175</v>
      </c>
      <c r="D10" s="4"/>
      <c r="E10" s="2">
        <f>SUMIFS(TB!K:K,TB!$H:$H,$C10)</f>
        <v>298.09100000000001</v>
      </c>
      <c r="F10" s="2">
        <f>SUMIFS(TB!L:L,TB!$H:$H,$C10)</f>
        <v>347.89449999999999</v>
      </c>
      <c r="G10" s="2">
        <f>SUMIFS(TB!M:M,TB!$H:$H,$C10)</f>
        <v>766.23199999999997</v>
      </c>
      <c r="H10" s="2">
        <f>SUMIFS(TB!N:N,TB!$H:$H,$C10)</f>
        <v>528.95699999999999</v>
      </c>
      <c r="I10" s="2">
        <f>SUMIFS(TB!O:O,TB!$H:$H,$C10)</f>
        <v>459.32799999999997</v>
      </c>
      <c r="J10" s="2">
        <f>SUMIFS(TB!P:P,TB!$H:$H,$C10)</f>
        <v>637.95600000000002</v>
      </c>
      <c r="K10" s="2">
        <f>SUMIFS(TB!Q:Q,TB!$H:$H,$C10)</f>
        <v>751.57500000000005</v>
      </c>
      <c r="L10" s="2">
        <f>SUMIFS(TB!R:R,TB!$H:$H,$C10)</f>
        <v>1371.4255000000001</v>
      </c>
      <c r="M10" s="2">
        <f>SUMIFS(TB!S:S,TB!$H:$H,$C10)</f>
        <v>911.52850000000001</v>
      </c>
      <c r="N10" s="2">
        <f>SUMIFS(TB!T:T,TB!$H:$H,$C10)</f>
        <v>371.55950000000001</v>
      </c>
      <c r="O10" s="2">
        <f>SUMIFS(TB!U:U,TB!$H:$H,$C10)</f>
        <v>371.72050000000002</v>
      </c>
      <c r="P10" s="2">
        <f>SUMIFS(TB!V:V,TB!$H:$H,$C10)</f>
        <v>636.87599999999998</v>
      </c>
      <c r="Q10" s="2">
        <f>SUMIFS(TB!W:W,TB!$H:$H,$C10)</f>
        <v>542.14649999999995</v>
      </c>
      <c r="R10" s="2">
        <f>SUMIFS(TB!X:X,TB!$H:$H,$C10)</f>
        <v>717.08450000000005</v>
      </c>
      <c r="S10" s="2">
        <f>SUMIFS(TB!Y:Y,TB!$H:$H,$C10)</f>
        <v>468.52699999999999</v>
      </c>
      <c r="T10" s="2">
        <f>SUMIFS(TB!Z:Z,TB!$H:$H,$C10)</f>
        <v>427.88400000000001</v>
      </c>
      <c r="U10" s="2">
        <f>SUMIFS(TB!AA:AA,TB!$H:$H,$C10)</f>
        <v>521.29499999999996</v>
      </c>
      <c r="V10" s="2">
        <f>SUMIFS(TB!AB:AB,TB!$H:$H,$C10)</f>
        <v>547.44899999999996</v>
      </c>
      <c r="W10" s="2">
        <f>SUMIFS(TB!AC:AC,TB!$H:$H,$C10)</f>
        <v>471.65699999999998</v>
      </c>
      <c r="X10" s="2">
        <f>SUMIFS(TB!AD:AD,TB!$H:$H,$C10)</f>
        <v>917.83900000000006</v>
      </c>
      <c r="Y10" s="2">
        <f>SUMIFS(TB!AE:AE,TB!$H:$H,$C10)</f>
        <v>1105.5360000000001</v>
      </c>
      <c r="Z10" s="2">
        <f>SUMIFS(TB!AF:AF,TB!$H:$H,$C10)</f>
        <v>329.661</v>
      </c>
      <c r="AA10" s="2">
        <f>SUMIFS(TB!AG:AG,TB!$H:$H,$C10)</f>
        <v>727.59749999999997</v>
      </c>
      <c r="AB10" s="2">
        <f>SUMIFS(TB!AH:AH,TB!$H:$H,$C10)</f>
        <v>597.9</v>
      </c>
      <c r="AC10" s="2">
        <f>SUMIFS(TB!AI:AI,TB!$H:$H,$C10)</f>
        <v>557.57299999999998</v>
      </c>
      <c r="AD10" s="2">
        <f>SUMIFS(TB!AJ:AJ,TB!$H:$H,$C10)</f>
        <v>512</v>
      </c>
      <c r="AE10" s="2">
        <f>SUMIFS(TB!AK:AK,TB!$H:$H,$C10)</f>
        <v>996.39009999999996</v>
      </c>
      <c r="AF10" s="2">
        <f>SUMIFS(TB!AL:AL,TB!$H:$H,$C10)</f>
        <v>636.00360000000001</v>
      </c>
      <c r="AG10" s="2">
        <f>SUMIFS(TB!AM:AM,TB!$H:$H,$C10)</f>
        <v>608.91700000000003</v>
      </c>
      <c r="AH10" s="2">
        <f>SUMIFS(TB!AN:AN,TB!$H:$H,$C10)</f>
        <v>836.82</v>
      </c>
      <c r="AI10" s="2">
        <f>SUMIFS(TB!AO:AO,TB!$H:$H,$C10)</f>
        <v>770.76300000000003</v>
      </c>
      <c r="AJ10" s="2"/>
      <c r="AK10" s="2">
        <f>P10</f>
        <v>636.87599999999998</v>
      </c>
      <c r="AL10" s="2">
        <f>AB10</f>
        <v>597.9</v>
      </c>
      <c r="AM10" s="2">
        <f>AI10</f>
        <v>770.76300000000003</v>
      </c>
    </row>
    <row r="11" spans="1:39" ht="11.25" customHeight="1" x14ac:dyDescent="0.2">
      <c r="C11" t="s">
        <v>168</v>
      </c>
      <c r="D11" s="4"/>
      <c r="E11" s="2">
        <f>SUMIFS(TB!K:K,TB!$H:$H,$C11)</f>
        <v>0.37080000000000002</v>
      </c>
      <c r="F11" s="2">
        <f>SUMIFS(TB!L:L,TB!$H:$H,$C11)</f>
        <v>0.37080000000000002</v>
      </c>
      <c r="G11" s="2">
        <f>SUMIFS(TB!M:M,TB!$H:$H,$C11)</f>
        <v>0.37080000000000002</v>
      </c>
      <c r="H11" s="2">
        <f>SUMIFS(TB!N:N,TB!$H:$H,$C11)</f>
        <v>0.42332000000000003</v>
      </c>
      <c r="I11" s="2">
        <f>SUMIFS(TB!O:O,TB!$H:$H,$C11)</f>
        <v>0.42332000000000003</v>
      </c>
      <c r="J11" s="2">
        <f>SUMIFS(TB!P:P,TB!$H:$H,$C11)</f>
        <v>0.42332000000000003</v>
      </c>
      <c r="K11" s="2">
        <f>SUMIFS(TB!Q:Q,TB!$H:$H,$C11)</f>
        <v>0.35252</v>
      </c>
      <c r="L11" s="2">
        <f>SUMIFS(TB!R:R,TB!$H:$H,$C11)</f>
        <v>0.35252</v>
      </c>
      <c r="M11" s="2">
        <f>SUMIFS(TB!S:S,TB!$H:$H,$C11)</f>
        <v>0.35252</v>
      </c>
      <c r="N11" s="2">
        <f>SUMIFS(TB!T:T,TB!$H:$H,$C11)</f>
        <v>0.35252</v>
      </c>
      <c r="O11" s="2">
        <f>SUMIFS(TB!U:U,TB!$H:$H,$C11)</f>
        <v>0.35252</v>
      </c>
      <c r="P11" s="2">
        <f>SUMIFS(TB!V:V,TB!$H:$H,$C11)</f>
        <v>0.35252</v>
      </c>
      <c r="Q11" s="2">
        <f>SUMIFS(TB!W:W,TB!$H:$H,$C11)</f>
        <v>0.35252</v>
      </c>
      <c r="R11" s="2">
        <f>SUMIFS(TB!X:X,TB!$H:$H,$C11)</f>
        <v>0.35252</v>
      </c>
      <c r="S11" s="2">
        <f>SUMIFS(TB!Y:Y,TB!$H:$H,$C11)</f>
        <v>0.35252</v>
      </c>
      <c r="T11" s="2">
        <f>SUMIFS(TB!Z:Z,TB!$H:$H,$C11)</f>
        <v>0.35252</v>
      </c>
      <c r="U11" s="2">
        <f>SUMIFS(TB!AA:AA,TB!$H:$H,$C11)</f>
        <v>0.37251999999999996</v>
      </c>
      <c r="V11" s="2">
        <f>SUMIFS(TB!AB:AB,TB!$H:$H,$C11)</f>
        <v>2.99152</v>
      </c>
      <c r="W11" s="2">
        <f>SUMIFS(TB!AC:AC,TB!$H:$H,$C11)</f>
        <v>2.99152</v>
      </c>
      <c r="X11" s="2">
        <f>SUMIFS(TB!AD:AD,TB!$H:$H,$C11)</f>
        <v>2.99152</v>
      </c>
      <c r="Y11" s="2">
        <f>SUMIFS(TB!AE:AE,TB!$H:$H,$C11)</f>
        <v>2.99152</v>
      </c>
      <c r="Z11" s="2">
        <f>SUMIFS(TB!AF:AF,TB!$H:$H,$C11)</f>
        <v>2.99152</v>
      </c>
      <c r="AA11" s="2">
        <f>SUMIFS(TB!AG:AG,TB!$H:$H,$C11)</f>
        <v>4.2915200000000002</v>
      </c>
      <c r="AB11" s="2">
        <f>SUMIFS(TB!AH:AH,TB!$H:$H,$C11)</f>
        <v>4.2915200000000002</v>
      </c>
      <c r="AC11" s="2">
        <f>SUMIFS(TB!AI:AI,TB!$H:$H,$C11)</f>
        <v>4.2915200000000002</v>
      </c>
      <c r="AD11" s="2">
        <f>SUMIFS(TB!AJ:AJ,TB!$H:$H,$C11)</f>
        <v>4.2915200000000002</v>
      </c>
      <c r="AE11" s="2">
        <f>SUMIFS(TB!AK:AK,TB!$H:$H,$C11)</f>
        <v>4.2915200000000002</v>
      </c>
      <c r="AF11" s="2">
        <f>SUMIFS(TB!AL:AL,TB!$H:$H,$C11)</f>
        <v>4.2915200000000002</v>
      </c>
      <c r="AG11" s="2">
        <f>SUMIFS(TB!AM:AM,TB!$H:$H,$C11)</f>
        <v>4.2915200000000002</v>
      </c>
      <c r="AH11" s="2">
        <f>SUMIFS(TB!AN:AN,TB!$H:$H,$C11)</f>
        <v>4.2915200000000002</v>
      </c>
      <c r="AI11" s="2">
        <f>SUMIFS(TB!AO:AO,TB!$H:$H,$C11)</f>
        <v>4.2915200000000002</v>
      </c>
      <c r="AJ11" s="2"/>
      <c r="AK11" s="2">
        <f>P11</f>
        <v>0.35252</v>
      </c>
      <c r="AL11" s="2">
        <f>AB11</f>
        <v>4.2915200000000002</v>
      </c>
      <c r="AM11" s="2">
        <f>AI11</f>
        <v>4.2915200000000002</v>
      </c>
    </row>
    <row r="12" spans="1:39" ht="11.25" customHeight="1" x14ac:dyDescent="0.2">
      <c r="C12" t="s">
        <v>188</v>
      </c>
      <c r="D12" s="4"/>
      <c r="E12" s="2">
        <f>SUMIFS(TB!K:K,TB!$H:$H,$C12)</f>
        <v>0</v>
      </c>
      <c r="F12" s="2">
        <f>SUMIFS(TB!L:L,TB!$H:$H,$C12)</f>
        <v>0</v>
      </c>
      <c r="G12" s="2">
        <f>SUMIFS(TB!M:M,TB!$H:$H,$C12)</f>
        <v>0</v>
      </c>
      <c r="H12" s="2">
        <f>SUMIFS(TB!N:N,TB!$H:$H,$C12)</f>
        <v>0</v>
      </c>
      <c r="I12" s="2">
        <f>SUMIFS(TB!O:O,TB!$H:$H,$C12)</f>
        <v>0</v>
      </c>
      <c r="J12" s="2">
        <f>SUMIFS(TB!P:P,TB!$H:$H,$C12)</f>
        <v>0</v>
      </c>
      <c r="K12" s="2">
        <f>SUMIFS(TB!Q:Q,TB!$H:$H,$C12)</f>
        <v>0</v>
      </c>
      <c r="L12" s="2">
        <f>SUMIFS(TB!R:R,TB!$H:$H,$C12)</f>
        <v>0</v>
      </c>
      <c r="M12" s="2">
        <f>SUMIFS(TB!S:S,TB!$H:$H,$C12)</f>
        <v>-5</v>
      </c>
      <c r="N12" s="2">
        <f>SUMIFS(TB!T:T,TB!$H:$H,$C12)</f>
        <v>-5</v>
      </c>
      <c r="O12" s="2">
        <f>SUMIFS(TB!U:U,TB!$H:$H,$C12)</f>
        <v>-5</v>
      </c>
      <c r="P12" s="2">
        <f>SUMIFS(TB!V:V,TB!$H:$H,$C12)</f>
        <v>-5</v>
      </c>
      <c r="Q12" s="2">
        <f>SUMIFS(TB!W:W,TB!$H:$H,$C12)</f>
        <v>0</v>
      </c>
      <c r="R12" s="2">
        <f>SUMIFS(TB!X:X,TB!$H:$H,$C12)</f>
        <v>0</v>
      </c>
      <c r="S12" s="2">
        <f>SUMIFS(TB!Y:Y,TB!$H:$H,$C12)</f>
        <v>0</v>
      </c>
      <c r="T12" s="2">
        <f>SUMIFS(TB!Z:Z,TB!$H:$H,$C12)</f>
        <v>0</v>
      </c>
      <c r="U12" s="2">
        <f>SUMIFS(TB!AA:AA,TB!$H:$H,$C12)</f>
        <v>0</v>
      </c>
      <c r="V12" s="2">
        <f>SUMIFS(TB!AB:AB,TB!$H:$H,$C12)</f>
        <v>0</v>
      </c>
      <c r="W12" s="2">
        <f>SUMIFS(TB!AC:AC,TB!$H:$H,$C12)</f>
        <v>0</v>
      </c>
      <c r="X12" s="2">
        <f>SUMIFS(TB!AD:AD,TB!$H:$H,$C12)</f>
        <v>0</v>
      </c>
      <c r="Y12" s="2">
        <f>SUMIFS(TB!AE:AE,TB!$H:$H,$C12)</f>
        <v>0</v>
      </c>
      <c r="Z12" s="2">
        <f>SUMIFS(TB!AF:AF,TB!$H:$H,$C12)</f>
        <v>0</v>
      </c>
      <c r="AA12" s="2">
        <f>SUMIFS(TB!AG:AG,TB!$H:$H,$C12)</f>
        <v>0</v>
      </c>
      <c r="AB12" s="2">
        <f>SUMIFS(TB!AH:AH,TB!$H:$H,$C12)</f>
        <v>0</v>
      </c>
      <c r="AC12" s="2">
        <f>SUMIFS(TB!AI:AI,TB!$H:$H,$C12)</f>
        <v>0</v>
      </c>
      <c r="AD12" s="2">
        <f>SUMIFS(TB!AJ:AJ,TB!$H:$H,$C12)</f>
        <v>0</v>
      </c>
      <c r="AE12" s="2">
        <f>SUMIFS(TB!AK:AK,TB!$H:$H,$C12)</f>
        <v>0</v>
      </c>
      <c r="AF12" s="2">
        <f>SUMIFS(TB!AL:AL,TB!$H:$H,$C12)</f>
        <v>0</v>
      </c>
      <c r="AG12" s="2">
        <f>SUMIFS(TB!AM:AM,TB!$H:$H,$C12)</f>
        <v>0</v>
      </c>
      <c r="AH12" s="2">
        <f>SUMIFS(TB!AN:AN,TB!$H:$H,$C12)</f>
        <v>0</v>
      </c>
      <c r="AI12" s="2">
        <f>SUMIFS(TB!AO:AO,TB!$H:$H,$C12)</f>
        <v>0</v>
      </c>
      <c r="AJ12" s="2"/>
      <c r="AK12" s="2">
        <f>P12</f>
        <v>-5</v>
      </c>
      <c r="AL12" s="2">
        <f>AB12</f>
        <v>0</v>
      </c>
      <c r="AM12" s="2">
        <f>AI12</f>
        <v>0</v>
      </c>
    </row>
    <row r="13" spans="1:39" ht="11.25" customHeight="1" x14ac:dyDescent="0.2">
      <c r="C13" s="50" t="s">
        <v>165</v>
      </c>
      <c r="D13" s="27"/>
      <c r="E13" s="25">
        <f>SUM(E9:E12)</f>
        <v>1932.9507000000001</v>
      </c>
      <c r="F13" s="25">
        <f>SUM(F9:F12)</f>
        <v>1864.09961</v>
      </c>
      <c r="G13" s="25">
        <f>SUM(G9:G12)</f>
        <v>2052.4213500000001</v>
      </c>
      <c r="H13" s="25">
        <f>SUM(H9:H12)</f>
        <v>2274.0476399999998</v>
      </c>
      <c r="I13" s="25">
        <f>SUM(I9:I12)</f>
        <v>2353.3169099999996</v>
      </c>
      <c r="J13" s="25">
        <f>SUM(J9:J12)</f>
        <v>2350.7603999999997</v>
      </c>
      <c r="K13" s="25">
        <f>SUM(K9:K12)</f>
        <v>2553.9765699999998</v>
      </c>
      <c r="L13" s="25">
        <f>SUM(L9:L12)</f>
        <v>3200.33</v>
      </c>
      <c r="M13" s="25">
        <f>SUM(M9:M12)</f>
        <v>3862.94</v>
      </c>
      <c r="N13" s="25">
        <f>SUM(N9:N12)</f>
        <v>3695.8572799999997</v>
      </c>
      <c r="O13" s="25">
        <f>SUM(O9:O12)</f>
        <v>3727.9847599999998</v>
      </c>
      <c r="P13" s="25">
        <f>SUM(P9:P12)</f>
        <v>3099.3656900000001</v>
      </c>
      <c r="Q13" s="25">
        <f>SUM(Q9:Q12)</f>
        <v>3094.8509199999999</v>
      </c>
      <c r="R13" s="25">
        <f>SUM(R9:R12)</f>
        <v>3174.9021499999999</v>
      </c>
      <c r="S13" s="25">
        <f>SUM(S9:S12)</f>
        <v>3059.7787999999996</v>
      </c>
      <c r="T13" s="25">
        <f>SUM(T9:T12)</f>
        <v>2859.8872399999996</v>
      </c>
      <c r="U13" s="25">
        <f>SUM(U9:U12)</f>
        <v>2952.40452</v>
      </c>
      <c r="V13" s="25">
        <f>SUM(V9:V12)</f>
        <v>2719.1369800000002</v>
      </c>
      <c r="W13" s="25">
        <f>SUM(W9:W12)</f>
        <v>2606.9300699999999</v>
      </c>
      <c r="X13" s="25">
        <f>SUM(X9:X12)</f>
        <v>3315.6637699999997</v>
      </c>
      <c r="Y13" s="25">
        <f>SUM(Y9:Y12)</f>
        <v>3809.9636999999998</v>
      </c>
      <c r="Z13" s="25">
        <f>SUM(Z9:Z12)</f>
        <v>3651.1874199999997</v>
      </c>
      <c r="AA13" s="25">
        <f>SUM(AA9:AA12)</f>
        <v>3523.0547499999998</v>
      </c>
      <c r="AB13" s="25">
        <f>SUM(AB9:AB12)</f>
        <v>3459.2895200000003</v>
      </c>
      <c r="AC13" s="25">
        <f>SUM(AC9:AC12)</f>
        <v>3102.6164100000001</v>
      </c>
      <c r="AD13" s="25">
        <f>SUM(AD9:AD12)</f>
        <v>2940.1249900000003</v>
      </c>
      <c r="AE13" s="25">
        <f>SUM(AE9:AE12)</f>
        <v>3106.6871700000002</v>
      </c>
      <c r="AF13" s="25">
        <f>SUM(AF9:AF12)</f>
        <v>2794.3529800000001</v>
      </c>
      <c r="AG13" s="25">
        <f>SUM(AG9:AG12)</f>
        <v>2707.1296000000002</v>
      </c>
      <c r="AH13" s="25">
        <f>SUM(AH9:AH12)</f>
        <v>2848.1308700000004</v>
      </c>
      <c r="AI13" s="25">
        <f>SUM(AI9:AI12)</f>
        <v>2539.1379900000002</v>
      </c>
      <c r="AJ13" s="25"/>
      <c r="AK13" s="25">
        <f>SUM(AK9:AK12)</f>
        <v>3099.3656900000001</v>
      </c>
      <c r="AL13" s="25">
        <f>SUM(AL9:AL12)</f>
        <v>3459.2895200000003</v>
      </c>
      <c r="AM13" s="25">
        <f>SUM(AM9:AM12)</f>
        <v>2539.1379900000002</v>
      </c>
    </row>
    <row r="14" spans="1:39" ht="6" customHeight="1" x14ac:dyDescent="0.2">
      <c r="D14" s="4"/>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row>
    <row r="15" spans="1:39" ht="11.25" customHeight="1" x14ac:dyDescent="0.2">
      <c r="C15" t="s">
        <v>346</v>
      </c>
      <c r="D15" s="4"/>
      <c r="E15" s="2">
        <f>SUMIFS(TB!K:K,TB!$H:$H,$C15)</f>
        <v>200.03882999999999</v>
      </c>
      <c r="F15" s="2">
        <f>SUMIFS(TB!L:L,TB!$H:$H,$C15)</f>
        <v>200.03882999999999</v>
      </c>
      <c r="G15" s="2">
        <f>SUMIFS(TB!M:M,TB!$H:$H,$C15)</f>
        <v>200.03882999999999</v>
      </c>
      <c r="H15" s="2">
        <f>SUMIFS(TB!N:N,TB!$H:$H,$C15)</f>
        <v>200.03882999999999</v>
      </c>
      <c r="I15" s="2">
        <f>SUMIFS(TB!O:O,TB!$H:$H,$C15)</f>
        <v>200.03882999999999</v>
      </c>
      <c r="J15" s="2">
        <f>SUMIFS(TB!P:P,TB!$H:$H,$C15)</f>
        <v>200.03882999999999</v>
      </c>
      <c r="K15" s="2">
        <f>SUMIFS(TB!Q:Q,TB!$H:$H,$C15)</f>
        <v>200.03882999999999</v>
      </c>
      <c r="L15" s="2">
        <f>SUMIFS(TB!R:R,TB!$H:$H,$C15)</f>
        <v>200.03882999999999</v>
      </c>
      <c r="M15" s="2">
        <f>SUMIFS(TB!S:S,TB!$H:$H,$C15)</f>
        <v>200.03882999999999</v>
      </c>
      <c r="N15" s="2">
        <f>SUMIFS(TB!T:T,TB!$H:$H,$C15)</f>
        <v>200.03882999999999</v>
      </c>
      <c r="O15" s="2">
        <f>SUMIFS(TB!U:U,TB!$H:$H,$C15)</f>
        <v>200.03882999999999</v>
      </c>
      <c r="P15" s="2">
        <f>SUMIFS(TB!V:V,TB!$H:$H,$C15)</f>
        <v>200.03882999999999</v>
      </c>
      <c r="Q15" s="2">
        <f>SUMIFS(TB!W:W,TB!$H:$H,$C15)</f>
        <v>200.03882999999999</v>
      </c>
      <c r="R15" s="2">
        <f>SUMIFS(TB!X:X,TB!$H:$H,$C15)</f>
        <v>200.03882999999999</v>
      </c>
      <c r="S15" s="2">
        <f>SUMIFS(TB!Y:Y,TB!$H:$H,$C15)</f>
        <v>200.03882999999999</v>
      </c>
      <c r="T15" s="2">
        <f>SUMIFS(TB!Z:Z,TB!$H:$H,$C15)</f>
        <v>200.03882999999999</v>
      </c>
      <c r="U15" s="2">
        <f>SUMIFS(TB!AA:AA,TB!$H:$H,$C15)</f>
        <v>200.03882999999999</v>
      </c>
      <c r="V15" s="2">
        <f>SUMIFS(TB!AB:AB,TB!$H:$H,$C15)</f>
        <v>200.03882999999999</v>
      </c>
      <c r="W15" s="2">
        <f>SUMIFS(TB!AC:AC,TB!$H:$H,$C15)</f>
        <v>206.50484</v>
      </c>
      <c r="X15" s="2">
        <f>SUMIFS(TB!AD:AD,TB!$H:$H,$C15)</f>
        <v>206.50484</v>
      </c>
      <c r="Y15" s="2">
        <f>SUMIFS(TB!AE:AE,TB!$H:$H,$C15)</f>
        <v>206.50484</v>
      </c>
      <c r="Z15" s="2">
        <f>SUMIFS(TB!AF:AF,TB!$H:$H,$C15)</f>
        <v>206.50484</v>
      </c>
      <c r="AA15" s="2">
        <f>SUMIFS(TB!AG:AG,TB!$H:$H,$C15)</f>
        <v>207.79955999999999</v>
      </c>
      <c r="AB15" s="2">
        <f>SUMIFS(TB!AH:AH,TB!$H:$H,$C15)</f>
        <v>200.03882999999999</v>
      </c>
      <c r="AC15" s="2">
        <f>SUMIFS(TB!AI:AI,TB!$H:$H,$C15)</f>
        <v>200.03882999999999</v>
      </c>
      <c r="AD15" s="2">
        <f>SUMIFS(TB!AJ:AJ,TB!$H:$H,$C15)</f>
        <v>200.03882999999999</v>
      </c>
      <c r="AE15" s="2">
        <f>SUMIFS(TB!AK:AK,TB!$H:$H,$C15)</f>
        <v>200.03882999999999</v>
      </c>
      <c r="AF15" s="2">
        <f>SUMIFS(TB!AL:AL,TB!$H:$H,$C15)</f>
        <v>200.03882999999999</v>
      </c>
      <c r="AG15" s="2">
        <f>SUMIFS(TB!AM:AM,TB!$H:$H,$C15)</f>
        <v>200.03882999999999</v>
      </c>
      <c r="AH15" s="2">
        <f>SUMIFS(TB!AN:AN,TB!$H:$H,$C15)</f>
        <v>200.03882999999999</v>
      </c>
      <c r="AI15" s="2">
        <f>SUMIFS(TB!AO:AO,TB!$H:$H,$C15)</f>
        <v>200.03882999999999</v>
      </c>
      <c r="AJ15" s="2"/>
      <c r="AK15" s="2">
        <f>P15</f>
        <v>200.03882999999999</v>
      </c>
      <c r="AL15" s="2">
        <f>AB15</f>
        <v>200.03882999999999</v>
      </c>
      <c r="AM15" s="2">
        <f>AI15</f>
        <v>200.03882999999999</v>
      </c>
    </row>
    <row r="16" spans="1:39" ht="11.25" customHeight="1" x14ac:dyDescent="0.2">
      <c r="C16" s="17" t="s">
        <v>345</v>
      </c>
      <c r="D16" s="15"/>
      <c r="E16" s="14">
        <f>SUMIFS(TB!K:K,TB!$H:$H,$C16)</f>
        <v>-187.179</v>
      </c>
      <c r="F16" s="14">
        <f>SUMIFS(TB!L:L,TB!$H:$H,$C16)</f>
        <v>-187.179</v>
      </c>
      <c r="G16" s="14">
        <f>SUMIFS(TB!M:M,TB!$H:$H,$C16)</f>
        <v>-187.179</v>
      </c>
      <c r="H16" s="14">
        <f>SUMIFS(TB!N:N,TB!$H:$H,$C16)</f>
        <v>-187.179</v>
      </c>
      <c r="I16" s="14">
        <f>SUMIFS(TB!O:O,TB!$H:$H,$C16)</f>
        <v>-187.179</v>
      </c>
      <c r="J16" s="14">
        <f>SUMIFS(TB!P:P,TB!$H:$H,$C16)</f>
        <v>-187.179</v>
      </c>
      <c r="K16" s="14">
        <f>SUMIFS(TB!Q:Q,TB!$H:$H,$C16)</f>
        <v>-187.179</v>
      </c>
      <c r="L16" s="14">
        <f>SUMIFS(TB!R:R,TB!$H:$H,$C16)</f>
        <v>-187.179</v>
      </c>
      <c r="M16" s="14">
        <f>SUMIFS(TB!S:S,TB!$H:$H,$C16)</f>
        <v>-187.179</v>
      </c>
      <c r="N16" s="14">
        <f>SUMIFS(TB!T:T,TB!$H:$H,$C16)</f>
        <v>-187.179</v>
      </c>
      <c r="O16" s="14">
        <f>SUMIFS(TB!U:U,TB!$H:$H,$C16)</f>
        <v>-187.179</v>
      </c>
      <c r="P16" s="14">
        <f>SUMIFS(TB!V:V,TB!$H:$H,$C16)</f>
        <v>-191.62700000000001</v>
      </c>
      <c r="Q16" s="14">
        <f>SUMIFS(TB!W:W,TB!$H:$H,$C16)</f>
        <v>-191.62700000000001</v>
      </c>
      <c r="R16" s="14">
        <f>SUMIFS(TB!X:X,TB!$H:$H,$C16)</f>
        <v>-191.62700000000001</v>
      </c>
      <c r="S16" s="14">
        <f>SUMIFS(TB!Y:Y,TB!$H:$H,$C16)</f>
        <v>-191.62700000000001</v>
      </c>
      <c r="T16" s="14">
        <f>SUMIFS(TB!Z:Z,TB!$H:$H,$C16)</f>
        <v>-191.62700000000001</v>
      </c>
      <c r="U16" s="14">
        <f>SUMIFS(TB!AA:AA,TB!$H:$H,$C16)</f>
        <v>-191.62700000000001</v>
      </c>
      <c r="V16" s="14">
        <f>SUMIFS(TB!AB:AB,TB!$H:$H,$C16)</f>
        <v>-191.62700000000001</v>
      </c>
      <c r="W16" s="14">
        <f>SUMIFS(TB!AC:AC,TB!$H:$H,$C16)</f>
        <v>-191.62700000000001</v>
      </c>
      <c r="X16" s="14">
        <f>SUMIFS(TB!AD:AD,TB!$H:$H,$C16)</f>
        <v>-191.62700000000001</v>
      </c>
      <c r="Y16" s="14">
        <f>SUMIFS(TB!AE:AE,TB!$H:$H,$C16)</f>
        <v>-191.62700000000001</v>
      </c>
      <c r="Z16" s="14">
        <f>SUMIFS(TB!AF:AF,TB!$H:$H,$C16)</f>
        <v>-198.09301000000002</v>
      </c>
      <c r="AA16" s="14">
        <f>SUMIFS(TB!AG:AG,TB!$H:$H,$C16)</f>
        <v>-198.09301000000002</v>
      </c>
      <c r="AB16" s="14">
        <f>SUMIFS(TB!AH:AH,TB!$H:$H,$C16)</f>
        <v>-195.143</v>
      </c>
      <c r="AC16" s="14">
        <f>SUMIFS(TB!AI:AI,TB!$H:$H,$C16)</f>
        <v>-195.143</v>
      </c>
      <c r="AD16" s="14">
        <f>SUMIFS(TB!AJ:AJ,TB!$H:$H,$C16)</f>
        <v>-195.143</v>
      </c>
      <c r="AE16" s="14">
        <f>SUMIFS(TB!AK:AK,TB!$H:$H,$C16)</f>
        <v>-195.143</v>
      </c>
      <c r="AF16" s="14">
        <f>SUMIFS(TB!AL:AL,TB!$H:$H,$C16)</f>
        <v>-195.143</v>
      </c>
      <c r="AG16" s="14">
        <f>SUMIFS(TB!AM:AM,TB!$H:$H,$C16)</f>
        <v>-195.143</v>
      </c>
      <c r="AH16" s="14">
        <f>SUMIFS(TB!AN:AN,TB!$H:$H,$C16)</f>
        <v>-195.143</v>
      </c>
      <c r="AI16" s="14">
        <f>SUMIFS(TB!AO:AO,TB!$H:$H,$C16)</f>
        <v>-195.143</v>
      </c>
      <c r="AJ16" s="14"/>
      <c r="AK16" s="14">
        <f>P16</f>
        <v>-191.62700000000001</v>
      </c>
      <c r="AL16" s="14">
        <f>AB16</f>
        <v>-195.143</v>
      </c>
      <c r="AM16" s="14">
        <f>AI16</f>
        <v>-195.143</v>
      </c>
    </row>
    <row r="17" spans="3:39" ht="11.25" customHeight="1" x14ac:dyDescent="0.2">
      <c r="C17" t="s">
        <v>344</v>
      </c>
      <c r="D17" s="4"/>
      <c r="E17" s="2">
        <f>SUM(E14:E16)</f>
        <v>12.859829999999988</v>
      </c>
      <c r="F17" s="2">
        <f>SUM(F14:F16)</f>
        <v>12.859829999999988</v>
      </c>
      <c r="G17" s="2">
        <f>SUM(G14:G16)</f>
        <v>12.859829999999988</v>
      </c>
      <c r="H17" s="2">
        <f>SUM(H14:H16)</f>
        <v>12.859829999999988</v>
      </c>
      <c r="I17" s="2">
        <f>SUM(I14:I16)</f>
        <v>12.859829999999988</v>
      </c>
      <c r="J17" s="2">
        <f>SUM(J14:J16)</f>
        <v>12.859829999999988</v>
      </c>
      <c r="K17" s="2">
        <f>SUM(K14:K16)</f>
        <v>12.859829999999988</v>
      </c>
      <c r="L17" s="2">
        <f>SUM(L14:L16)</f>
        <v>12.859829999999988</v>
      </c>
      <c r="M17" s="2">
        <f>SUM(M14:M16)</f>
        <v>12.859829999999988</v>
      </c>
      <c r="N17" s="2">
        <f>SUM(N14:N16)</f>
        <v>12.859829999999988</v>
      </c>
      <c r="O17" s="2">
        <f>SUM(O14:O16)</f>
        <v>12.859829999999988</v>
      </c>
      <c r="P17" s="2">
        <f>SUM(P14:P16)</f>
        <v>8.4118299999999806</v>
      </c>
      <c r="Q17" s="2">
        <f>SUM(Q14:Q16)</f>
        <v>8.4118299999999806</v>
      </c>
      <c r="R17" s="2">
        <f>SUM(R14:R16)</f>
        <v>8.4118299999999806</v>
      </c>
      <c r="S17" s="2">
        <f>SUM(S14:S16)</f>
        <v>8.4118299999999806</v>
      </c>
      <c r="T17" s="2">
        <f>SUM(T14:T16)</f>
        <v>8.4118299999999806</v>
      </c>
      <c r="U17" s="2">
        <f>SUM(U14:U16)</f>
        <v>8.4118299999999806</v>
      </c>
      <c r="V17" s="2">
        <f>SUM(V14:V16)</f>
        <v>8.4118299999999806</v>
      </c>
      <c r="W17" s="2">
        <f>SUM(W14:W16)</f>
        <v>14.877839999999992</v>
      </c>
      <c r="X17" s="2">
        <f>SUM(X14:X16)</f>
        <v>14.877839999999992</v>
      </c>
      <c r="Y17" s="2">
        <f>SUM(Y14:Y16)</f>
        <v>14.877839999999992</v>
      </c>
      <c r="Z17" s="2">
        <f>SUM(Z14:Z16)</f>
        <v>8.4118299999999806</v>
      </c>
      <c r="AA17" s="2">
        <f>SUM(AA14:AA16)</f>
        <v>9.7065499999999645</v>
      </c>
      <c r="AB17" s="2">
        <f>SUM(AB14:AB16)</f>
        <v>4.8958299999999895</v>
      </c>
      <c r="AC17" s="2">
        <f>SUM(AC14:AC16)</f>
        <v>4.8958299999999895</v>
      </c>
      <c r="AD17" s="2">
        <f>SUM(AD14:AD16)</f>
        <v>4.8958299999999895</v>
      </c>
      <c r="AE17" s="2">
        <f>SUM(AE14:AE16)</f>
        <v>4.8958299999999895</v>
      </c>
      <c r="AF17" s="2">
        <f>SUM(AF14:AF16)</f>
        <v>4.8958299999999895</v>
      </c>
      <c r="AG17" s="2">
        <f>SUM(AG14:AG16)</f>
        <v>4.8958299999999895</v>
      </c>
      <c r="AH17" s="2">
        <f>SUM(AH14:AH16)</f>
        <v>4.8958299999999895</v>
      </c>
      <c r="AI17" s="2">
        <f>SUM(AI14:AI16)</f>
        <v>4.8958299999999895</v>
      </c>
      <c r="AJ17" s="2"/>
      <c r="AK17" s="2">
        <f>SUM(AK14:AK16)</f>
        <v>8.4118299999999806</v>
      </c>
      <c r="AL17" s="2">
        <f>SUM(AL14:AL16)</f>
        <v>4.8958299999999895</v>
      </c>
      <c r="AM17" s="2">
        <f>SUM(AM14:AM16)</f>
        <v>4.8958299999999895</v>
      </c>
    </row>
    <row r="18" spans="3:39" ht="12" customHeight="1" x14ac:dyDescent="0.25">
      <c r="C18" s="85" t="s">
        <v>343</v>
      </c>
      <c r="D18" s="84"/>
      <c r="E18" s="83">
        <f>SUM(E13,E17)</f>
        <v>1945.8105300000002</v>
      </c>
      <c r="F18" s="83">
        <f>SUM(F13,F17)</f>
        <v>1876.9594400000001</v>
      </c>
      <c r="G18" s="83">
        <f>SUM(G13,G17)</f>
        <v>2065.2811799999999</v>
      </c>
      <c r="H18" s="83">
        <f>SUM(H13,H17)</f>
        <v>2286.9074699999996</v>
      </c>
      <c r="I18" s="83">
        <f>SUM(I13,I17)</f>
        <v>2366.1767399999994</v>
      </c>
      <c r="J18" s="83">
        <f>SUM(J13,J17)</f>
        <v>2363.6202299999995</v>
      </c>
      <c r="K18" s="83">
        <f>SUM(K13,K17)</f>
        <v>2566.8363999999997</v>
      </c>
      <c r="L18" s="83">
        <f>SUM(L13,L17)</f>
        <v>3213.1898299999998</v>
      </c>
      <c r="M18" s="83">
        <f>SUM(M13,M17)</f>
        <v>3875.7998299999999</v>
      </c>
      <c r="N18" s="83">
        <f>SUM(N13,N17)</f>
        <v>3708.7171099999996</v>
      </c>
      <c r="O18" s="83">
        <f>SUM(O13,O17)</f>
        <v>3740.8445899999997</v>
      </c>
      <c r="P18" s="83">
        <f>SUM(P13,P17)</f>
        <v>3107.7775200000001</v>
      </c>
      <c r="Q18" s="83">
        <f>SUM(Q13,Q17)</f>
        <v>3103.2627499999999</v>
      </c>
      <c r="R18" s="83">
        <f>SUM(R13,R17)</f>
        <v>3183.3139799999999</v>
      </c>
      <c r="S18" s="83">
        <f>SUM(S13,S17)</f>
        <v>3068.1906299999996</v>
      </c>
      <c r="T18" s="83">
        <f>SUM(T13,T17)</f>
        <v>2868.2990699999996</v>
      </c>
      <c r="U18" s="83">
        <f>SUM(U13,U17)</f>
        <v>2960.8163500000001</v>
      </c>
      <c r="V18" s="83">
        <f>SUM(V13,V17)</f>
        <v>2727.5488100000002</v>
      </c>
      <c r="W18" s="83">
        <f>SUM(W13,W17)</f>
        <v>2621.80791</v>
      </c>
      <c r="X18" s="83">
        <f>SUM(X13,X17)</f>
        <v>3330.5416099999998</v>
      </c>
      <c r="Y18" s="83">
        <f>SUM(Y13,Y17)</f>
        <v>3824.8415399999999</v>
      </c>
      <c r="Z18" s="83">
        <f>SUM(Z13,Z17)</f>
        <v>3659.5992499999998</v>
      </c>
      <c r="AA18" s="83">
        <f>SUM(AA13,AA17)</f>
        <v>3532.7612999999997</v>
      </c>
      <c r="AB18" s="83">
        <f>SUM(AB13,AB17)</f>
        <v>3464.1853500000002</v>
      </c>
      <c r="AC18" s="83">
        <f>SUM(AC13,AC17)</f>
        <v>3107.51224</v>
      </c>
      <c r="AD18" s="83">
        <f>SUM(AD13,AD17)</f>
        <v>2945.0208200000002</v>
      </c>
      <c r="AE18" s="83">
        <f>SUM(AE13,AE17)</f>
        <v>3111.5830000000001</v>
      </c>
      <c r="AF18" s="83">
        <f>SUM(AF13,AF17)</f>
        <v>2799.24881</v>
      </c>
      <c r="AG18" s="83">
        <f>SUM(AG13,AG17)</f>
        <v>2712.0254300000001</v>
      </c>
      <c r="AH18" s="83">
        <f>SUM(AH13,AH17)</f>
        <v>2853.0267000000003</v>
      </c>
      <c r="AI18" s="83">
        <f>SUM(AI13,AI17)</f>
        <v>2544.0338200000001</v>
      </c>
      <c r="AJ18" s="83"/>
      <c r="AK18" s="83">
        <f>SUM(AK13,AK17)</f>
        <v>3107.7775200000001</v>
      </c>
      <c r="AL18" s="83">
        <f>SUM(AL13,AL17)</f>
        <v>3464.1853500000002</v>
      </c>
      <c r="AM18" s="83">
        <f>SUM(AM13,AM17)</f>
        <v>2544.0338200000001</v>
      </c>
    </row>
    <row r="19" spans="3:39" ht="6" customHeight="1" x14ac:dyDescent="0.2">
      <c r="D19" s="4"/>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row>
    <row r="20" spans="3:39" ht="11.25" customHeight="1" x14ac:dyDescent="0.2">
      <c r="C20" t="s">
        <v>187</v>
      </c>
      <c r="D20" s="4"/>
      <c r="E20" s="2">
        <f>-SUMIFS(TB!K:K,TB!$H:$H,$C20)</f>
        <v>102.97868</v>
      </c>
      <c r="F20" s="2">
        <f>-SUMIFS(TB!L:L,TB!$H:$H,$C20)</f>
        <v>125.28341999999999</v>
      </c>
      <c r="G20" s="2">
        <f>-SUMIFS(TB!M:M,TB!$H:$H,$C20)</f>
        <v>176.99108999999999</v>
      </c>
      <c r="H20" s="2">
        <f>-SUMIFS(TB!N:N,TB!$H:$H,$C20)</f>
        <v>66.261679999999998</v>
      </c>
      <c r="I20" s="2">
        <f>-SUMIFS(TB!O:O,TB!$H:$H,$C20)</f>
        <v>116.23258</v>
      </c>
      <c r="J20" s="2">
        <f>-SUMIFS(TB!P:P,TB!$H:$H,$C20)</f>
        <v>121.51022999999999</v>
      </c>
      <c r="K20" s="2">
        <f>-SUMIFS(TB!Q:Q,TB!$H:$H,$C20)</f>
        <v>187.83073000000002</v>
      </c>
      <c r="L20" s="2">
        <f>-SUMIFS(TB!R:R,TB!$H:$H,$C20)</f>
        <v>127.91239999999999</v>
      </c>
      <c r="M20" s="2">
        <f>-SUMIFS(TB!S:S,TB!$H:$H,$C20)</f>
        <v>-70.614460000000008</v>
      </c>
      <c r="N20" s="2">
        <f>-SUMIFS(TB!T:T,TB!$H:$H,$C20)</f>
        <v>-35.702379999999998</v>
      </c>
      <c r="O20" s="2">
        <f>-SUMIFS(TB!U:U,TB!$H:$H,$C20)</f>
        <v>175.42123999999998</v>
      </c>
      <c r="P20" s="2">
        <f>-SUMIFS(TB!V:V,TB!$H:$H,$C20)</f>
        <v>0</v>
      </c>
      <c r="Q20" s="2">
        <f>-SUMIFS(TB!W:W,TB!$H:$H,$C20)</f>
        <v>57.586829999999999</v>
      </c>
      <c r="R20" s="2">
        <f>-SUMIFS(TB!X:X,TB!$H:$H,$C20)</f>
        <v>5.61409</v>
      </c>
      <c r="S20" s="2">
        <f>-SUMIFS(TB!Y:Y,TB!$H:$H,$C20)</f>
        <v>95.67886</v>
      </c>
      <c r="T20" s="2">
        <f>-SUMIFS(TB!Z:Z,TB!$H:$H,$C20)</f>
        <v>10.043340000000001</v>
      </c>
      <c r="U20" s="2">
        <f>-SUMIFS(TB!AA:AA,TB!$H:$H,$C20)</f>
        <v>131.57436999999999</v>
      </c>
      <c r="V20" s="2">
        <f>-SUMIFS(TB!AB:AB,TB!$H:$H,$C20)</f>
        <v>51.048589999999997</v>
      </c>
      <c r="W20" s="2">
        <f>-SUMIFS(TB!AC:AC,TB!$H:$H,$C20)</f>
        <v>118.19169000000001</v>
      </c>
      <c r="X20" s="2">
        <f>-SUMIFS(TB!AD:AD,TB!$H:$H,$C20)</f>
        <v>169.12200000000001</v>
      </c>
      <c r="Y20" s="2">
        <f>-SUMIFS(TB!AE:AE,TB!$H:$H,$C20)</f>
        <v>118.87128999999999</v>
      </c>
      <c r="Z20" s="2">
        <f>-SUMIFS(TB!AF:AF,TB!$H:$H,$C20)</f>
        <v>222.63320000000002</v>
      </c>
      <c r="AA20" s="2">
        <f>-SUMIFS(TB!AG:AG,TB!$H:$H,$C20)</f>
        <v>96.150399999999991</v>
      </c>
      <c r="AB20" s="2">
        <f>-SUMIFS(TB!AH:AH,TB!$H:$H,$C20)</f>
        <v>66.373259999999988</v>
      </c>
      <c r="AC20" s="2">
        <f>-SUMIFS(TB!AI:AI,TB!$H:$H,$C20)</f>
        <v>111.65541999999999</v>
      </c>
      <c r="AD20" s="2">
        <f>-SUMIFS(TB!AJ:AJ,TB!$H:$H,$C20)</f>
        <v>144.52427</v>
      </c>
      <c r="AE20" s="2">
        <f>-SUMIFS(TB!AK:AK,TB!$H:$H,$C20)</f>
        <v>237.55035999999998</v>
      </c>
      <c r="AF20" s="2">
        <f>-SUMIFS(TB!AL:AL,TB!$H:$H,$C20)</f>
        <v>57.762129999999999</v>
      </c>
      <c r="AG20" s="2">
        <f>-SUMIFS(TB!AM:AM,TB!$H:$H,$C20)</f>
        <v>154.90525</v>
      </c>
      <c r="AH20" s="2">
        <f>-SUMIFS(TB!AN:AN,TB!$H:$H,$C20)</f>
        <v>105.925</v>
      </c>
      <c r="AI20" s="2">
        <f>-SUMIFS(TB!AO:AO,TB!$H:$H,$C20)</f>
        <v>95.755990000000011</v>
      </c>
      <c r="AJ20" s="2"/>
      <c r="AK20" s="2">
        <f>P20</f>
        <v>0</v>
      </c>
      <c r="AL20" s="2">
        <f>AB20</f>
        <v>66.373259999999988</v>
      </c>
      <c r="AM20" s="2">
        <f>AI20</f>
        <v>95.755990000000011</v>
      </c>
    </row>
    <row r="21" spans="3:39" ht="11.25" customHeight="1" x14ac:dyDescent="0.2">
      <c r="C21" t="s">
        <v>158</v>
      </c>
      <c r="D21" s="4"/>
      <c r="E21" s="2">
        <f>-SUMIFS(TB!K:K,TB!$H:$H,$C21)</f>
        <v>15</v>
      </c>
      <c r="F21" s="2">
        <f>-SUMIFS(TB!L:L,TB!$H:$H,$C21)</f>
        <v>15</v>
      </c>
      <c r="G21" s="2">
        <f>-SUMIFS(TB!M:M,TB!$H:$H,$C21)</f>
        <v>15</v>
      </c>
      <c r="H21" s="2">
        <f>-SUMIFS(TB!N:N,TB!$H:$H,$C21)</f>
        <v>15</v>
      </c>
      <c r="I21" s="2">
        <f>-SUMIFS(TB!O:O,TB!$H:$H,$C21)</f>
        <v>15</v>
      </c>
      <c r="J21" s="2">
        <f>-SUMIFS(TB!P:P,TB!$H:$H,$C21)</f>
        <v>15</v>
      </c>
      <c r="K21" s="2">
        <f>-SUMIFS(TB!Q:Q,TB!$H:$H,$C21)</f>
        <v>15</v>
      </c>
      <c r="L21" s="2">
        <f>-SUMIFS(TB!R:R,TB!$H:$H,$C21)</f>
        <v>0</v>
      </c>
      <c r="M21" s="2">
        <f>-SUMIFS(TB!S:S,TB!$H:$H,$C21)</f>
        <v>0</v>
      </c>
      <c r="N21" s="2">
        <f>-SUMIFS(TB!T:T,TB!$H:$H,$C21)</f>
        <v>0</v>
      </c>
      <c r="O21" s="2">
        <f>-SUMIFS(TB!U:U,TB!$H:$H,$C21)</f>
        <v>0</v>
      </c>
      <c r="P21" s="2">
        <f>-SUMIFS(TB!V:V,TB!$H:$H,$C21)</f>
        <v>1.2193800000000001</v>
      </c>
      <c r="Q21" s="2">
        <f>-SUMIFS(TB!W:W,TB!$H:$H,$C21)</f>
        <v>1.2193800000000001</v>
      </c>
      <c r="R21" s="2">
        <f>-SUMIFS(TB!X:X,TB!$H:$H,$C21)</f>
        <v>1.2193800000000001</v>
      </c>
      <c r="S21" s="2">
        <f>-SUMIFS(TB!Y:Y,TB!$H:$H,$C21)</f>
        <v>1.2193800000000001</v>
      </c>
      <c r="T21" s="2">
        <f>-SUMIFS(TB!Z:Z,TB!$H:$H,$C21)</f>
        <v>1.2193800000000001</v>
      </c>
      <c r="U21" s="2">
        <f>-SUMIFS(TB!AA:AA,TB!$H:$H,$C21)</f>
        <v>1.2193800000000001</v>
      </c>
      <c r="V21" s="2">
        <f>-SUMIFS(TB!AB:AB,TB!$H:$H,$C21)</f>
        <v>1.2193800000000001</v>
      </c>
      <c r="W21" s="2">
        <f>-SUMIFS(TB!AC:AC,TB!$H:$H,$C21)</f>
        <v>16.874379999999999</v>
      </c>
      <c r="X21" s="2">
        <f>-SUMIFS(TB!AD:AD,TB!$H:$H,$C21)</f>
        <v>16.874379999999999</v>
      </c>
      <c r="Y21" s="2">
        <f>-SUMIFS(TB!AE:AE,TB!$H:$H,$C21)</f>
        <v>16.874379999999999</v>
      </c>
      <c r="Z21" s="2">
        <f>-SUMIFS(TB!AF:AF,TB!$H:$H,$C21)</f>
        <v>16.874379999999999</v>
      </c>
      <c r="AA21" s="2">
        <f>-SUMIFS(TB!AG:AG,TB!$H:$H,$C21)</f>
        <v>15.654999999999999</v>
      </c>
      <c r="AB21" s="2">
        <f>-SUMIFS(TB!AH:AH,TB!$H:$H,$C21)</f>
        <v>83.500690000000006</v>
      </c>
      <c r="AC21" s="2">
        <f>-SUMIFS(TB!AI:AI,TB!$H:$H,$C21)</f>
        <v>83.500690000000006</v>
      </c>
      <c r="AD21" s="2">
        <f>-SUMIFS(TB!AJ:AJ,TB!$H:$H,$C21)</f>
        <v>83.500690000000006</v>
      </c>
      <c r="AE21" s="2">
        <f>-SUMIFS(TB!AK:AK,TB!$H:$H,$C21)</f>
        <v>83.500690000000006</v>
      </c>
      <c r="AF21" s="2">
        <f>-SUMIFS(TB!AL:AL,TB!$H:$H,$C21)</f>
        <v>15.654999999999999</v>
      </c>
      <c r="AG21" s="2">
        <f>-SUMIFS(TB!AM:AM,TB!$H:$H,$C21)</f>
        <v>15.654999999999999</v>
      </c>
      <c r="AH21" s="2">
        <f>-SUMIFS(TB!AN:AN,TB!$H:$H,$C21)</f>
        <v>16.234999999999999</v>
      </c>
      <c r="AI21" s="2">
        <f>-SUMIFS(TB!AO:AO,TB!$H:$H,$C21)</f>
        <v>16.234999999999999</v>
      </c>
      <c r="AJ21" s="2"/>
      <c r="AK21" s="2">
        <f>P21</f>
        <v>1.2193800000000001</v>
      </c>
      <c r="AL21" s="2">
        <f>AB21</f>
        <v>83.500690000000006</v>
      </c>
      <c r="AM21" s="2">
        <f>AI21</f>
        <v>16.234999999999999</v>
      </c>
    </row>
    <row r="22" spans="3:39" ht="11.25" customHeight="1" x14ac:dyDescent="0.2">
      <c r="C22" t="s">
        <v>186</v>
      </c>
      <c r="D22" s="4"/>
      <c r="E22" s="2">
        <f>-SUMIFS(TB!K:K,TB!$H:$H,$C22)</f>
        <v>1166.1134999999999</v>
      </c>
      <c r="F22" s="2">
        <f>-SUMIFS(TB!L:L,TB!$H:$H,$C22)</f>
        <v>1166.1134999999999</v>
      </c>
      <c r="G22" s="2">
        <f>-SUMIFS(TB!M:M,TB!$H:$H,$C22)</f>
        <v>1166.1134999999999</v>
      </c>
      <c r="H22" s="2">
        <f>-SUMIFS(TB!N:N,TB!$H:$H,$C22)</f>
        <v>1166.1134999999999</v>
      </c>
      <c r="I22" s="2">
        <f>-SUMIFS(TB!O:O,TB!$H:$H,$C22)</f>
        <v>1166.1134999999999</v>
      </c>
      <c r="J22" s="2">
        <f>-SUMIFS(TB!P:P,TB!$H:$H,$C22)</f>
        <v>1166.1134999999999</v>
      </c>
      <c r="K22" s="2">
        <f>-SUMIFS(TB!Q:Q,TB!$H:$H,$C22)</f>
        <v>1166.1134999999999</v>
      </c>
      <c r="L22" s="2">
        <f>-SUMIFS(TB!R:R,TB!$H:$H,$C22)</f>
        <v>1166.1134999999999</v>
      </c>
      <c r="M22" s="2">
        <f>-SUMIFS(TB!S:S,TB!$H:$H,$C22)</f>
        <v>1166.1134999999999</v>
      </c>
      <c r="N22" s="2">
        <f>-SUMIFS(TB!T:T,TB!$H:$H,$C22)</f>
        <v>1166.1134999999999</v>
      </c>
      <c r="O22" s="2">
        <f>-SUMIFS(TB!U:U,TB!$H:$H,$C22)</f>
        <v>1166.1134999999999</v>
      </c>
      <c r="P22" s="2">
        <f>-SUMIFS(TB!V:V,TB!$H:$H,$C22)</f>
        <v>1112.5840000000001</v>
      </c>
      <c r="Q22" s="2">
        <f>-SUMIFS(TB!W:W,TB!$H:$H,$C22)</f>
        <v>1112.5840000000001</v>
      </c>
      <c r="R22" s="2">
        <f>-SUMIFS(TB!X:X,TB!$H:$H,$C22)</f>
        <v>1112.5840000000001</v>
      </c>
      <c r="S22" s="2">
        <f>-SUMIFS(TB!Y:Y,TB!$H:$H,$C22)</f>
        <v>1000.846</v>
      </c>
      <c r="T22" s="2">
        <f>-SUMIFS(TB!Z:Z,TB!$H:$H,$C22)</f>
        <v>1000.846</v>
      </c>
      <c r="U22" s="2">
        <f>-SUMIFS(TB!AA:AA,TB!$H:$H,$C22)</f>
        <v>1000.846</v>
      </c>
      <c r="V22" s="2">
        <f>-SUMIFS(TB!AB:AB,TB!$H:$H,$C22)</f>
        <v>1000.846</v>
      </c>
      <c r="W22" s="2">
        <f>-SUMIFS(TB!AC:AC,TB!$H:$H,$C22)</f>
        <v>933.346</v>
      </c>
      <c r="X22" s="2">
        <f>-SUMIFS(TB!AD:AD,TB!$H:$H,$C22)</f>
        <v>933.346</v>
      </c>
      <c r="Y22" s="2">
        <f>-SUMIFS(TB!AE:AE,TB!$H:$H,$C22)</f>
        <v>933.346</v>
      </c>
      <c r="Z22" s="2">
        <f>-SUMIFS(TB!AF:AF,TB!$H:$H,$C22)</f>
        <v>933.346</v>
      </c>
      <c r="AA22" s="2">
        <f>-SUMIFS(TB!AG:AG,TB!$H:$H,$C22)</f>
        <v>933.346</v>
      </c>
      <c r="AB22" s="2">
        <f>-SUMIFS(TB!AH:AH,TB!$H:$H,$C22)</f>
        <v>925.17</v>
      </c>
      <c r="AC22" s="2">
        <f>-SUMIFS(TB!AI:AI,TB!$H:$H,$C22)</f>
        <v>925.17</v>
      </c>
      <c r="AD22" s="2">
        <f>-SUMIFS(TB!AJ:AJ,TB!$H:$H,$C22)</f>
        <v>925.17</v>
      </c>
      <c r="AE22" s="2">
        <f>-SUMIFS(TB!AK:AK,TB!$H:$H,$C22)</f>
        <v>851.17</v>
      </c>
      <c r="AF22" s="2">
        <f>-SUMIFS(TB!AL:AL,TB!$H:$H,$C22)</f>
        <v>851.17</v>
      </c>
      <c r="AG22" s="2">
        <f>-SUMIFS(TB!AM:AM,TB!$H:$H,$C22)</f>
        <v>851.17</v>
      </c>
      <c r="AH22" s="2">
        <f>-SUMIFS(TB!AN:AN,TB!$H:$H,$C22)</f>
        <v>851.17</v>
      </c>
      <c r="AI22" s="2">
        <f>-SUMIFS(TB!AO:AO,TB!$H:$H,$C22)</f>
        <v>810.14499999999998</v>
      </c>
      <c r="AJ22" s="2"/>
      <c r="AK22" s="2">
        <f>P22</f>
        <v>1112.5840000000001</v>
      </c>
      <c r="AL22" s="2">
        <f>AB22</f>
        <v>925.17</v>
      </c>
      <c r="AM22" s="2">
        <f>AI22</f>
        <v>810.14499999999998</v>
      </c>
    </row>
    <row r="23" spans="3:39" ht="11.25" customHeight="1" x14ac:dyDescent="0.2">
      <c r="C23" t="s">
        <v>152</v>
      </c>
      <c r="D23" s="4"/>
      <c r="E23" s="2">
        <f>-SUMIFS(TB!K:K,TB!$H:$H,$C23)</f>
        <v>160.00495000000001</v>
      </c>
      <c r="F23" s="2">
        <f>-SUMIFS(TB!L:L,TB!$H:$H,$C23)</f>
        <v>209.28709000000001</v>
      </c>
      <c r="G23" s="2">
        <f>-SUMIFS(TB!M:M,TB!$H:$H,$C23)</f>
        <v>257.78709000000003</v>
      </c>
      <c r="H23" s="2">
        <f>-SUMIFS(TB!N:N,TB!$H:$H,$C23)</f>
        <v>306.32709</v>
      </c>
      <c r="I23" s="2">
        <f>-SUMIFS(TB!O:O,TB!$H:$H,$C23)</f>
        <v>251.25602000000001</v>
      </c>
      <c r="J23" s="2">
        <f>-SUMIFS(TB!P:P,TB!$H:$H,$C23)</f>
        <v>299.75601999999998</v>
      </c>
      <c r="K23" s="2">
        <f>-SUMIFS(TB!Q:Q,TB!$H:$H,$C23)</f>
        <v>347.78408000000002</v>
      </c>
      <c r="L23" s="2">
        <f>-SUMIFS(TB!R:R,TB!$H:$H,$C23)</f>
        <v>396.28408000000002</v>
      </c>
      <c r="M23" s="2">
        <f>-SUMIFS(TB!S:S,TB!$H:$H,$C23)</f>
        <v>442.79658000000001</v>
      </c>
      <c r="N23" s="2">
        <f>-SUMIFS(TB!T:T,TB!$H:$H,$C23)</f>
        <v>494.04257999999999</v>
      </c>
      <c r="O23" s="2">
        <f>-SUMIFS(TB!U:U,TB!$H:$H,$C23)</f>
        <v>542.54258000000004</v>
      </c>
      <c r="P23" s="2">
        <f>-SUMIFS(TB!V:V,TB!$H:$H,$C23)</f>
        <v>125.98365999999999</v>
      </c>
      <c r="Q23" s="2">
        <f>-SUMIFS(TB!W:W,TB!$H:$H,$C23)</f>
        <v>152.23172</v>
      </c>
      <c r="R23" s="2">
        <f>-SUMIFS(TB!X:X,TB!$H:$H,$C23)</f>
        <v>203.70171999999999</v>
      </c>
      <c r="S23" s="2">
        <f>-SUMIFS(TB!Y:Y,TB!$H:$H,$C23)</f>
        <v>254.95172000000002</v>
      </c>
      <c r="T23" s="2">
        <f>-SUMIFS(TB!Z:Z,TB!$H:$H,$C23)</f>
        <v>306.20925</v>
      </c>
      <c r="U23" s="2">
        <f>-SUMIFS(TB!AA:AA,TB!$H:$H,$C23)</f>
        <v>265.52010999999999</v>
      </c>
      <c r="V23" s="2">
        <f>-SUMIFS(TB!AB:AB,TB!$H:$H,$C23)</f>
        <v>316.76258000000001</v>
      </c>
      <c r="W23" s="2">
        <f>-SUMIFS(TB!AC:AC,TB!$H:$H,$C23)</f>
        <v>368.02010999999999</v>
      </c>
      <c r="X23" s="2">
        <f>-SUMIFS(TB!AD:AD,TB!$H:$H,$C23)</f>
        <v>419.27010999999999</v>
      </c>
      <c r="Y23" s="2">
        <f>-SUMIFS(TB!AE:AE,TB!$H:$H,$C23)</f>
        <v>470.52010999999999</v>
      </c>
      <c r="Z23" s="2">
        <f>-SUMIFS(TB!AF:AF,TB!$H:$H,$C23)</f>
        <v>9.3978400000000004</v>
      </c>
      <c r="AA23" s="2">
        <f>-SUMIFS(TB!AG:AG,TB!$H:$H,$C23)</f>
        <v>7.6471599999999995</v>
      </c>
      <c r="AB23" s="2">
        <f>-SUMIFS(TB!AH:AH,TB!$H:$H,$C23)</f>
        <v>95.306049999999999</v>
      </c>
      <c r="AC23" s="2">
        <f>-SUMIFS(TB!AI:AI,TB!$H:$H,$C23)</f>
        <v>95.335310000000007</v>
      </c>
      <c r="AD23" s="2">
        <f>-SUMIFS(TB!AJ:AJ,TB!$H:$H,$C23)</f>
        <v>197.83530999999999</v>
      </c>
      <c r="AE23" s="2">
        <f>-SUMIFS(TB!AK:AK,TB!$H:$H,$C23)</f>
        <v>258.08933999999999</v>
      </c>
      <c r="AF23" s="2">
        <f>-SUMIFS(TB!AL:AL,TB!$H:$H,$C23)</f>
        <v>213.50942000000001</v>
      </c>
      <c r="AG23" s="2">
        <f>-SUMIFS(TB!AM:AM,TB!$H:$H,$C23)</f>
        <v>264.63672000000003</v>
      </c>
      <c r="AH23" s="2">
        <f>-SUMIFS(TB!AN:AN,TB!$H:$H,$C23)</f>
        <v>315.88672000000003</v>
      </c>
      <c r="AI23" s="2">
        <f>-SUMIFS(TB!AO:AO,TB!$H:$H,$C23)</f>
        <v>358.75</v>
      </c>
      <c r="AJ23" s="2"/>
      <c r="AK23" s="2">
        <f>P23</f>
        <v>125.98365999999999</v>
      </c>
      <c r="AL23" s="2">
        <f>AB23</f>
        <v>95.306049999999999</v>
      </c>
      <c r="AM23" s="2">
        <f>AI23</f>
        <v>358.75</v>
      </c>
    </row>
    <row r="24" spans="3:39" ht="11.25" customHeight="1" x14ac:dyDescent="0.2">
      <c r="C24" t="s">
        <v>150</v>
      </c>
      <c r="D24" s="4"/>
      <c r="E24" s="2">
        <f>-SUMIFS(TB!K:K,TB!$H:$H,$C24)</f>
        <v>4.9988900000000003</v>
      </c>
      <c r="F24" s="2">
        <f>-SUMIFS(TB!L:L,TB!$H:$H,$C24)</f>
        <v>11.54903</v>
      </c>
      <c r="G24" s="2">
        <f>-SUMIFS(TB!M:M,TB!$H:$H,$C24)</f>
        <v>0.10635</v>
      </c>
      <c r="H24" s="2">
        <f>-SUMIFS(TB!N:N,TB!$H:$H,$C24)</f>
        <v>5.72126</v>
      </c>
      <c r="I24" s="2">
        <f>-SUMIFS(TB!O:O,TB!$H:$H,$C24)</f>
        <v>1.63473</v>
      </c>
      <c r="J24" s="2">
        <f>-SUMIFS(TB!P:P,TB!$H:$H,$C24)</f>
        <v>1.6259700000000001</v>
      </c>
      <c r="K24" s="2">
        <f>-SUMIFS(TB!Q:Q,TB!$H:$H,$C24)</f>
        <v>2.9461200000000001</v>
      </c>
      <c r="L24" s="2">
        <f>-SUMIFS(TB!R:R,TB!$H:$H,$C24)</f>
        <v>1.3489899999999999</v>
      </c>
      <c r="M24" s="2">
        <f>-SUMIFS(TB!S:S,TB!$H:$H,$C24)</f>
        <v>0.21380000000000002</v>
      </c>
      <c r="N24" s="2">
        <f>-SUMIFS(TB!T:T,TB!$H:$H,$C24)</f>
        <v>0.66918</v>
      </c>
      <c r="O24" s="2">
        <f>-SUMIFS(TB!U:U,TB!$H:$H,$C24)</f>
        <v>5.4251300000000002</v>
      </c>
      <c r="P24" s="2">
        <f>-SUMIFS(TB!V:V,TB!$H:$H,$C24)</f>
        <v>5.6001400000000006</v>
      </c>
      <c r="Q24" s="2">
        <f>-SUMIFS(TB!W:W,TB!$H:$H,$C24)</f>
        <v>4.8886799999999999</v>
      </c>
      <c r="R24" s="2">
        <f>-SUMIFS(TB!X:X,TB!$H:$H,$C24)</f>
        <v>1.1119000000000001</v>
      </c>
      <c r="S24" s="2">
        <f>-SUMIFS(TB!Y:Y,TB!$H:$H,$C24)</f>
        <v>5.43933</v>
      </c>
      <c r="T24" s="2">
        <f>-SUMIFS(TB!Z:Z,TB!$H:$H,$C24)</f>
        <v>3.8437899999999998</v>
      </c>
      <c r="U24" s="2">
        <f>-SUMIFS(TB!AA:AA,TB!$H:$H,$C24)</f>
        <v>0.43463999999999997</v>
      </c>
      <c r="V24" s="2">
        <f>-SUMIFS(TB!AB:AB,TB!$H:$H,$C24)</f>
        <v>5.4978899999999999</v>
      </c>
      <c r="W24" s="2">
        <f>-SUMIFS(TB!AC:AC,TB!$H:$H,$C24)</f>
        <v>4.1983300000000003</v>
      </c>
      <c r="X24" s="2">
        <f>-SUMIFS(TB!AD:AD,TB!$H:$H,$C24)</f>
        <v>4.02806</v>
      </c>
      <c r="Y24" s="2">
        <f>-SUMIFS(TB!AE:AE,TB!$H:$H,$C24)</f>
        <v>0</v>
      </c>
      <c r="Z24" s="2">
        <f>-SUMIFS(TB!AF:AF,TB!$H:$H,$C24)</f>
        <v>3.4602199999999996</v>
      </c>
      <c r="AA24" s="2">
        <f>-SUMIFS(TB!AG:AG,TB!$H:$H,$C24)</f>
        <v>4.3994300000000006</v>
      </c>
      <c r="AB24" s="2">
        <f>-SUMIFS(TB!AH:AH,TB!$H:$H,$C24)</f>
        <v>3.9042500000000002</v>
      </c>
      <c r="AC24" s="2">
        <f>-SUMIFS(TB!AI:AI,TB!$H:$H,$C24)</f>
        <v>3.98306</v>
      </c>
      <c r="AD24" s="2">
        <f>-SUMIFS(TB!AJ:AJ,TB!$H:$H,$C24)</f>
        <v>2.3029799999999998</v>
      </c>
      <c r="AE24" s="2">
        <f>-SUMIFS(TB!AK:AK,TB!$H:$H,$C24)</f>
        <v>3.4098800000000002</v>
      </c>
      <c r="AF24" s="2">
        <f>-SUMIFS(TB!AL:AL,TB!$H:$H,$C24)</f>
        <v>5.76356</v>
      </c>
      <c r="AG24" s="2">
        <f>-SUMIFS(TB!AM:AM,TB!$H:$H,$C24)</f>
        <v>3.0628200000000003</v>
      </c>
      <c r="AH24" s="2">
        <f>-SUMIFS(TB!AN:AN,TB!$H:$H,$C24)</f>
        <v>3.1991900000000002</v>
      </c>
      <c r="AI24" s="2">
        <f>-SUMIFS(TB!AO:AO,TB!$H:$H,$C24)</f>
        <v>4.8542200000000006</v>
      </c>
      <c r="AJ24" s="2"/>
      <c r="AK24" s="2">
        <f>P24</f>
        <v>5.6001400000000006</v>
      </c>
      <c r="AL24" s="2">
        <f>AB24</f>
        <v>3.9042500000000002</v>
      </c>
      <c r="AM24" s="2">
        <f>AI24</f>
        <v>4.8542200000000006</v>
      </c>
    </row>
    <row r="25" spans="3:39" ht="11.25" customHeight="1" x14ac:dyDescent="0.2">
      <c r="C25" s="50" t="s">
        <v>149</v>
      </c>
      <c r="D25" s="27"/>
      <c r="E25" s="25">
        <f>SUM(E20:E24)</f>
        <v>1449.09602</v>
      </c>
      <c r="F25" s="25">
        <f>SUM(F20:F24)</f>
        <v>1527.2330399999998</v>
      </c>
      <c r="G25" s="25">
        <f>SUM(G20:G24)</f>
        <v>1615.99803</v>
      </c>
      <c r="H25" s="25">
        <f>SUM(H20:H24)</f>
        <v>1559.42353</v>
      </c>
      <c r="I25" s="25">
        <f>SUM(I20:I24)</f>
        <v>1550.2368299999998</v>
      </c>
      <c r="J25" s="25">
        <f>SUM(J20:J24)</f>
        <v>1604.0057199999999</v>
      </c>
      <c r="K25" s="25">
        <f>SUM(K20:K24)</f>
        <v>1719.67443</v>
      </c>
      <c r="L25" s="25">
        <f>SUM(L20:L24)</f>
        <v>1691.65897</v>
      </c>
      <c r="M25" s="25">
        <f>SUM(M20:M24)</f>
        <v>1538.5094199999999</v>
      </c>
      <c r="N25" s="25">
        <f>SUM(N20:N24)</f>
        <v>1625.1228800000001</v>
      </c>
      <c r="O25" s="25">
        <f>SUM(O20:O24)</f>
        <v>1889.50245</v>
      </c>
      <c r="P25" s="25">
        <f>SUM(P20:P24)</f>
        <v>1245.3871800000002</v>
      </c>
      <c r="Q25" s="25">
        <f>SUM(Q20:Q24)</f>
        <v>1328.51061</v>
      </c>
      <c r="R25" s="25">
        <f>SUM(R20:R24)</f>
        <v>1324.2310900000002</v>
      </c>
      <c r="S25" s="25">
        <f>SUM(S20:S24)</f>
        <v>1358.1352899999999</v>
      </c>
      <c r="T25" s="25">
        <f>SUM(T20:T24)</f>
        <v>1322.16176</v>
      </c>
      <c r="U25" s="25">
        <f>SUM(U20:U24)</f>
        <v>1399.5944999999999</v>
      </c>
      <c r="V25" s="25">
        <f>SUM(V20:V24)</f>
        <v>1375.3744400000003</v>
      </c>
      <c r="W25" s="25">
        <f>SUM(W20:W24)</f>
        <v>1440.63051</v>
      </c>
      <c r="X25" s="25">
        <f>SUM(X20:X24)</f>
        <v>1542.6405500000001</v>
      </c>
      <c r="Y25" s="25">
        <f>SUM(Y20:Y24)</f>
        <v>1539.61178</v>
      </c>
      <c r="Z25" s="25">
        <f>SUM(Z20:Z24)</f>
        <v>1185.71164</v>
      </c>
      <c r="AA25" s="25">
        <f>SUM(AA20:AA24)</f>
        <v>1057.1979899999999</v>
      </c>
      <c r="AB25" s="25">
        <f>SUM(AB20:AB24)</f>
        <v>1174.25425</v>
      </c>
      <c r="AC25" s="25">
        <f>SUM(AC20:AC24)</f>
        <v>1219.6444799999999</v>
      </c>
      <c r="AD25" s="25">
        <f>SUM(AD20:AD24)</f>
        <v>1353.3332499999999</v>
      </c>
      <c r="AE25" s="25">
        <f>SUM(AE20:AE24)</f>
        <v>1433.7202699999998</v>
      </c>
      <c r="AF25" s="25">
        <f>SUM(AF20:AF24)</f>
        <v>1143.8601100000001</v>
      </c>
      <c r="AG25" s="25">
        <f>SUM(AG20:AG24)</f>
        <v>1289.4297900000001</v>
      </c>
      <c r="AH25" s="25">
        <f>SUM(AH20:AH24)</f>
        <v>1292.4159099999999</v>
      </c>
      <c r="AI25" s="25">
        <f>SUM(AI20:AI24)</f>
        <v>1285.7402099999999</v>
      </c>
      <c r="AJ25" s="25"/>
      <c r="AK25" s="25">
        <f>SUM(AK20:AK24)</f>
        <v>1245.3871800000002</v>
      </c>
      <c r="AL25" s="25">
        <f>SUM(AL20:AL24)</f>
        <v>1174.25425</v>
      </c>
      <c r="AM25" s="25">
        <f>SUM(AM20:AM24)</f>
        <v>1285.7402099999999</v>
      </c>
    </row>
    <row r="26" spans="3:39" ht="6" customHeight="1" x14ac:dyDescent="0.2">
      <c r="D26" s="4"/>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row>
    <row r="27" spans="3:39" ht="11.25" customHeight="1" x14ac:dyDescent="0.2">
      <c r="C27" t="s">
        <v>342</v>
      </c>
      <c r="D27" s="4"/>
      <c r="E27" s="2">
        <f>-SUMIFS(TB!K:K,TB!$H:$H,$C27)</f>
        <v>0</v>
      </c>
      <c r="F27" s="2">
        <f>-SUMIFS(TB!L:L,TB!$H:$H,$C27)</f>
        <v>0</v>
      </c>
      <c r="G27" s="2">
        <f>-SUMIFS(TB!M:M,TB!$H:$H,$C27)</f>
        <v>0</v>
      </c>
      <c r="H27" s="2">
        <f>-SUMIFS(TB!N:N,TB!$H:$H,$C27)</f>
        <v>0</v>
      </c>
      <c r="I27" s="2">
        <f>-SUMIFS(TB!O:O,TB!$H:$H,$C27)</f>
        <v>0</v>
      </c>
      <c r="J27" s="2">
        <f>-SUMIFS(TB!P:P,TB!$H:$H,$C27)</f>
        <v>0</v>
      </c>
      <c r="K27" s="2">
        <f>-SUMIFS(TB!Q:Q,TB!$H:$H,$C27)</f>
        <v>0</v>
      </c>
      <c r="L27" s="2">
        <f>-SUMIFS(TB!R:R,TB!$H:$H,$C27)</f>
        <v>0</v>
      </c>
      <c r="M27" s="2">
        <f>-SUMIFS(TB!S:S,TB!$H:$H,$C27)</f>
        <v>0</v>
      </c>
      <c r="N27" s="2">
        <f>-SUMIFS(TB!T:T,TB!$H:$H,$C27)</f>
        <v>0</v>
      </c>
      <c r="O27" s="2">
        <f>-SUMIFS(TB!U:U,TB!$H:$H,$C27)</f>
        <v>0</v>
      </c>
      <c r="P27" s="2">
        <f>-SUMIFS(TB!V:V,TB!$H:$H,$C27)</f>
        <v>0</v>
      </c>
      <c r="Q27" s="2">
        <f>-SUMIFS(TB!W:W,TB!$H:$H,$C27)</f>
        <v>0</v>
      </c>
      <c r="R27" s="2">
        <f>-SUMIFS(TB!X:X,TB!$H:$H,$C27)</f>
        <v>0</v>
      </c>
      <c r="S27" s="2">
        <f>-SUMIFS(TB!Y:Y,TB!$H:$H,$C27)</f>
        <v>0</v>
      </c>
      <c r="T27" s="2">
        <f>-SUMIFS(TB!Z:Z,TB!$H:$H,$C27)</f>
        <v>0</v>
      </c>
      <c r="U27" s="2">
        <f>-SUMIFS(TB!AA:AA,TB!$H:$H,$C27)</f>
        <v>0</v>
      </c>
      <c r="V27" s="2">
        <f>-SUMIFS(TB!AB:AB,TB!$H:$H,$C27)</f>
        <v>0</v>
      </c>
      <c r="W27" s="2">
        <f>-SUMIFS(TB!AC:AC,TB!$H:$H,$C27)</f>
        <v>0</v>
      </c>
      <c r="X27" s="2">
        <f>-SUMIFS(TB!AD:AD,TB!$H:$H,$C27)</f>
        <v>0</v>
      </c>
      <c r="Y27" s="2">
        <f>-SUMIFS(TB!AE:AE,TB!$H:$H,$C27)</f>
        <v>0</v>
      </c>
      <c r="Z27" s="2">
        <f>-SUMIFS(TB!AF:AF,TB!$H:$H,$C27)</f>
        <v>0</v>
      </c>
      <c r="AA27" s="2">
        <f>-SUMIFS(TB!AG:AG,TB!$H:$H,$C27)</f>
        <v>0</v>
      </c>
      <c r="AB27" s="2">
        <f>-SUMIFS(TB!AH:AH,TB!$H:$H,$C27)</f>
        <v>0</v>
      </c>
      <c r="AC27" s="2">
        <f>-SUMIFS(TB!AI:AI,TB!$H:$H,$C27)</f>
        <v>0</v>
      </c>
      <c r="AD27" s="2">
        <f>-SUMIFS(TB!AJ:AJ,TB!$H:$H,$C27)</f>
        <v>0</v>
      </c>
      <c r="AE27" s="2">
        <f>-SUMIFS(TB!AK:AK,TB!$H:$H,$C27)</f>
        <v>0</v>
      </c>
      <c r="AF27" s="2">
        <f>-SUMIFS(TB!AL:AL,TB!$H:$H,$C27)</f>
        <v>0</v>
      </c>
      <c r="AG27" s="2">
        <f>-SUMIFS(TB!AM:AM,TB!$H:$H,$C27)</f>
        <v>0</v>
      </c>
      <c r="AH27" s="2">
        <f>-SUMIFS(TB!AN:AN,TB!$H:$H,$C27)</f>
        <v>0</v>
      </c>
      <c r="AI27" s="2">
        <f>-SUMIFS(TB!AO:AO,TB!$H:$H,$C27)</f>
        <v>0</v>
      </c>
      <c r="AJ27" s="2"/>
      <c r="AK27" s="2">
        <f>P27</f>
        <v>0</v>
      </c>
      <c r="AL27" s="2">
        <f>AB27</f>
        <v>0</v>
      </c>
      <c r="AM27" s="2">
        <f>AI27</f>
        <v>0</v>
      </c>
    </row>
    <row r="28" spans="3:39" ht="11.25" customHeight="1" x14ac:dyDescent="0.2">
      <c r="C28" s="50" t="s">
        <v>341</v>
      </c>
      <c r="D28" s="27"/>
      <c r="E28" s="25">
        <f>SUM(E25:E27)</f>
        <v>1449.09602</v>
      </c>
      <c r="F28" s="25">
        <f>SUM(F25:F27)</f>
        <v>1527.2330399999998</v>
      </c>
      <c r="G28" s="25">
        <f>SUM(G25:G27)</f>
        <v>1615.99803</v>
      </c>
      <c r="H28" s="25">
        <f>SUM(H25:H27)</f>
        <v>1559.42353</v>
      </c>
      <c r="I28" s="25">
        <f>SUM(I25:I27)</f>
        <v>1550.2368299999998</v>
      </c>
      <c r="J28" s="25">
        <f>SUM(J25:J27)</f>
        <v>1604.0057199999999</v>
      </c>
      <c r="K28" s="25">
        <f>SUM(K25:K27)</f>
        <v>1719.67443</v>
      </c>
      <c r="L28" s="25">
        <f>SUM(L25:L27)</f>
        <v>1691.65897</v>
      </c>
      <c r="M28" s="25">
        <f>SUM(M25:M27)</f>
        <v>1538.5094199999999</v>
      </c>
      <c r="N28" s="25">
        <f>SUM(N25:N27)</f>
        <v>1625.1228800000001</v>
      </c>
      <c r="O28" s="25">
        <f>SUM(O25:O27)</f>
        <v>1889.50245</v>
      </c>
      <c r="P28" s="25">
        <f>SUM(P25:P27)</f>
        <v>1245.3871800000002</v>
      </c>
      <c r="Q28" s="25">
        <f>SUM(Q25:Q27)</f>
        <v>1328.51061</v>
      </c>
      <c r="R28" s="25">
        <f>SUM(R25:R27)</f>
        <v>1324.2310900000002</v>
      </c>
      <c r="S28" s="25">
        <f>SUM(S25:S27)</f>
        <v>1358.1352899999999</v>
      </c>
      <c r="T28" s="25">
        <f>SUM(T25:T27)</f>
        <v>1322.16176</v>
      </c>
      <c r="U28" s="25">
        <f>SUM(U25:U27)</f>
        <v>1399.5944999999999</v>
      </c>
      <c r="V28" s="25">
        <f>SUM(V25:V27)</f>
        <v>1375.3744400000003</v>
      </c>
      <c r="W28" s="25">
        <f>SUM(W25:W27)</f>
        <v>1440.63051</v>
      </c>
      <c r="X28" s="25">
        <f>SUM(X25:X27)</f>
        <v>1542.6405500000001</v>
      </c>
      <c r="Y28" s="25">
        <f>SUM(Y25:Y27)</f>
        <v>1539.61178</v>
      </c>
      <c r="Z28" s="25">
        <f>SUM(Z25:Z27)</f>
        <v>1185.71164</v>
      </c>
      <c r="AA28" s="25">
        <f>SUM(AA25:AA27)</f>
        <v>1057.1979899999999</v>
      </c>
      <c r="AB28" s="25">
        <f>SUM(AB25:AB27)</f>
        <v>1174.25425</v>
      </c>
      <c r="AC28" s="25">
        <f>SUM(AC25:AC27)</f>
        <v>1219.6444799999999</v>
      </c>
      <c r="AD28" s="25">
        <f>SUM(AD25:AD27)</f>
        <v>1353.3332499999999</v>
      </c>
      <c r="AE28" s="25">
        <f>SUM(AE25:AE27)</f>
        <v>1433.7202699999998</v>
      </c>
      <c r="AF28" s="25">
        <f>SUM(AF25:AF27)</f>
        <v>1143.8601100000001</v>
      </c>
      <c r="AG28" s="25">
        <f>SUM(AG25:AG27)</f>
        <v>1289.4297900000001</v>
      </c>
      <c r="AH28" s="25">
        <f>SUM(AH25:AH27)</f>
        <v>1292.4159099999999</v>
      </c>
      <c r="AI28" s="25">
        <f>SUM(AI25:AI27)</f>
        <v>1285.7402099999999</v>
      </c>
      <c r="AJ28" s="25"/>
      <c r="AK28" s="25">
        <f>SUM(AK25:AK27)</f>
        <v>1245.3871800000002</v>
      </c>
      <c r="AL28" s="25">
        <f>SUM(AL25:AL27)</f>
        <v>1174.25425</v>
      </c>
      <c r="AM28" s="25">
        <f>SUM(AM25:AM27)</f>
        <v>1285.7402099999999</v>
      </c>
    </row>
    <row r="29" spans="3:39" ht="6" customHeight="1" x14ac:dyDescent="0.2">
      <c r="D29" s="4"/>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row>
    <row r="30" spans="3:39" ht="11.25" customHeight="1" x14ac:dyDescent="0.2">
      <c r="C30" t="s">
        <v>340</v>
      </c>
      <c r="D30" s="4"/>
      <c r="E30" s="2">
        <f>-SUMIFS(TB!K:K,TB!$H:$H,$C30)</f>
        <v>1</v>
      </c>
      <c r="F30" s="2">
        <f>-SUMIFS(TB!L:L,TB!$H:$H,$C30)</f>
        <v>1</v>
      </c>
      <c r="G30" s="2">
        <f>-SUMIFS(TB!M:M,TB!$H:$H,$C30)</f>
        <v>1</v>
      </c>
      <c r="H30" s="2">
        <f>-SUMIFS(TB!N:N,TB!$H:$H,$C30)</f>
        <v>1</v>
      </c>
      <c r="I30" s="2">
        <f>-SUMIFS(TB!O:O,TB!$H:$H,$C30)</f>
        <v>1</v>
      </c>
      <c r="J30" s="2">
        <f>-SUMIFS(TB!P:P,TB!$H:$H,$C30)</f>
        <v>1</v>
      </c>
      <c r="K30" s="2">
        <f>-SUMIFS(TB!Q:Q,TB!$H:$H,$C30)</f>
        <v>1</v>
      </c>
      <c r="L30" s="2">
        <f>-SUMIFS(TB!R:R,TB!$H:$H,$C30)</f>
        <v>1</v>
      </c>
      <c r="M30" s="2">
        <f>-SUMIFS(TB!S:S,TB!$H:$H,$C30)</f>
        <v>1</v>
      </c>
      <c r="N30" s="2">
        <f>-SUMIFS(TB!T:T,TB!$H:$H,$C30)</f>
        <v>1</v>
      </c>
      <c r="O30" s="2">
        <f>-SUMIFS(TB!U:U,TB!$H:$H,$C30)</f>
        <v>1</v>
      </c>
      <c r="P30" s="2">
        <f>-SUMIFS(TB!V:V,TB!$H:$H,$C30)</f>
        <v>1</v>
      </c>
      <c r="Q30" s="2">
        <f>-SUMIFS(TB!W:W,TB!$H:$H,$C30)</f>
        <v>1</v>
      </c>
      <c r="R30" s="2">
        <f>-SUMIFS(TB!X:X,TB!$H:$H,$C30)</f>
        <v>1</v>
      </c>
      <c r="S30" s="2">
        <f>-SUMIFS(TB!Y:Y,TB!$H:$H,$C30)</f>
        <v>1</v>
      </c>
      <c r="T30" s="2">
        <f>-SUMIFS(TB!Z:Z,TB!$H:$H,$C30)</f>
        <v>1</v>
      </c>
      <c r="U30" s="2">
        <f>-SUMIFS(TB!AA:AA,TB!$H:$H,$C30)</f>
        <v>1</v>
      </c>
      <c r="V30" s="2">
        <f>-SUMIFS(TB!AB:AB,TB!$H:$H,$C30)</f>
        <v>1</v>
      </c>
      <c r="W30" s="2">
        <f>-SUMIFS(TB!AC:AC,TB!$H:$H,$C30)</f>
        <v>1</v>
      </c>
      <c r="X30" s="2">
        <f>-SUMIFS(TB!AD:AD,TB!$H:$H,$C30)</f>
        <v>1</v>
      </c>
      <c r="Y30" s="2">
        <f>-SUMIFS(TB!AE:AE,TB!$H:$H,$C30)</f>
        <v>1</v>
      </c>
      <c r="Z30" s="2">
        <f>-SUMIFS(TB!AF:AF,TB!$H:$H,$C30)</f>
        <v>1</v>
      </c>
      <c r="AA30" s="2">
        <f>-SUMIFS(TB!AG:AG,TB!$H:$H,$C30)</f>
        <v>1</v>
      </c>
      <c r="AB30" s="2">
        <f>-SUMIFS(TB!AH:AH,TB!$H:$H,$C30)</f>
        <v>1</v>
      </c>
      <c r="AC30" s="2">
        <f>-SUMIFS(TB!AI:AI,TB!$H:$H,$C30)</f>
        <v>1</v>
      </c>
      <c r="AD30" s="2">
        <f>-SUMIFS(TB!AJ:AJ,TB!$H:$H,$C30)</f>
        <v>1</v>
      </c>
      <c r="AE30" s="2">
        <f>-SUMIFS(TB!AK:AK,TB!$H:$H,$C30)</f>
        <v>1</v>
      </c>
      <c r="AF30" s="2">
        <f>-SUMIFS(TB!AL:AL,TB!$H:$H,$C30)</f>
        <v>1</v>
      </c>
      <c r="AG30" s="2">
        <f>-SUMIFS(TB!AM:AM,TB!$H:$H,$C30)</f>
        <v>1</v>
      </c>
      <c r="AH30" s="2">
        <f>-SUMIFS(TB!AN:AN,TB!$H:$H,$C30)</f>
        <v>1</v>
      </c>
      <c r="AI30" s="2">
        <f>-SUMIFS(TB!AO:AO,TB!$H:$H,$C30)</f>
        <v>1</v>
      </c>
      <c r="AJ30" s="2"/>
      <c r="AK30" s="2">
        <f>P30</f>
        <v>1</v>
      </c>
      <c r="AL30" s="2">
        <f>AB30</f>
        <v>1</v>
      </c>
      <c r="AM30" s="2">
        <f>AI30</f>
        <v>1</v>
      </c>
    </row>
    <row r="31" spans="3:39" ht="11.25" customHeight="1" x14ac:dyDescent="0.2">
      <c r="C31" t="s">
        <v>339</v>
      </c>
      <c r="D31" s="4"/>
      <c r="E31" s="2">
        <f>-SUMIFS(TB!K:K,TB!$H:$H,$C31)</f>
        <v>812.197</v>
      </c>
      <c r="F31" s="2">
        <f>-SUMIFS(TB!L:L,TB!$H:$H,$C31)</f>
        <v>772.197</v>
      </c>
      <c r="G31" s="2">
        <f>-SUMIFS(TB!M:M,TB!$H:$H,$C31)</f>
        <v>708.197</v>
      </c>
      <c r="H31" s="2">
        <f>-SUMIFS(TB!N:N,TB!$H:$H,$C31)</f>
        <v>667.89389000000006</v>
      </c>
      <c r="I31" s="2">
        <f>-SUMIFS(TB!O:O,TB!$H:$H,$C31)</f>
        <v>647.89389000000006</v>
      </c>
      <c r="J31" s="2">
        <f>-SUMIFS(TB!P:P,TB!$H:$H,$C31)</f>
        <v>627.89389000000006</v>
      </c>
      <c r="K31" s="2">
        <f>-SUMIFS(TB!Q:Q,TB!$H:$H,$C31)</f>
        <v>607.89389000000006</v>
      </c>
      <c r="L31" s="2">
        <f>-SUMIFS(TB!R:R,TB!$H:$H,$C31)</f>
        <v>607.89389000000006</v>
      </c>
      <c r="M31" s="2">
        <f>-SUMIFS(TB!S:S,TB!$H:$H,$C31)</f>
        <v>607.89389000000006</v>
      </c>
      <c r="N31" s="2">
        <f>-SUMIFS(TB!T:T,TB!$H:$H,$C31)</f>
        <v>599.89389000000006</v>
      </c>
      <c r="O31" s="2">
        <f>-SUMIFS(TB!U:U,TB!$H:$H,$C31)</f>
        <v>476.56488999999999</v>
      </c>
      <c r="P31" s="2">
        <f>-SUMIFS(TB!V:V,TB!$H:$H,$C31)</f>
        <v>377.60953000000001</v>
      </c>
      <c r="Q31" s="2">
        <f>-SUMIFS(TB!W:W,TB!$H:$H,$C31)</f>
        <v>366.62794000000002</v>
      </c>
      <c r="R31" s="2">
        <f>-SUMIFS(TB!X:X,TB!$H:$H,$C31)</f>
        <v>366.62794000000002</v>
      </c>
      <c r="S31" s="2">
        <f>-SUMIFS(TB!Y:Y,TB!$H:$H,$C31)</f>
        <v>366.62794000000002</v>
      </c>
      <c r="T31" s="2">
        <f>-SUMIFS(TB!Z:Z,TB!$H:$H,$C31)</f>
        <v>316.62794000000002</v>
      </c>
      <c r="U31" s="2">
        <f>-SUMIFS(TB!AA:AA,TB!$H:$H,$C31)</f>
        <v>316.62794000000002</v>
      </c>
      <c r="V31" s="2">
        <f>-SUMIFS(TB!AB:AB,TB!$H:$H,$C31)</f>
        <v>279.57947000000001</v>
      </c>
      <c r="W31" s="2">
        <f>-SUMIFS(TB!AC:AC,TB!$H:$H,$C31)</f>
        <v>277.26465000000002</v>
      </c>
      <c r="X31" s="2">
        <f>-SUMIFS(TB!AD:AD,TB!$H:$H,$C31)</f>
        <v>227.26464999999999</v>
      </c>
      <c r="Y31" s="2">
        <f>-SUMIFS(TB!AE:AE,TB!$H:$H,$C31)</f>
        <v>227.26464999999999</v>
      </c>
      <c r="Z31" s="2">
        <f>-SUMIFS(TB!AF:AF,TB!$H:$H,$C31)</f>
        <v>174.26464999999999</v>
      </c>
      <c r="AA31" s="2">
        <f>-SUMIFS(TB!AG:AG,TB!$H:$H,$C31)</f>
        <v>-225.73534999999998</v>
      </c>
      <c r="AB31" s="2">
        <f>-SUMIFS(TB!AH:AH,TB!$H:$H,$C31)</f>
        <v>-671.19056999999998</v>
      </c>
      <c r="AC31" s="2">
        <f>-SUMIFS(TB!AI:AI,TB!$H:$H,$C31)</f>
        <v>-939.26819</v>
      </c>
      <c r="AD31" s="2">
        <f>-SUMIFS(TB!AJ:AJ,TB!$H:$H,$C31)</f>
        <v>-1239.26819</v>
      </c>
      <c r="AE31" s="2">
        <f>-SUMIFS(TB!AK:AK,TB!$H:$H,$C31)</f>
        <v>-1319.26819</v>
      </c>
      <c r="AF31" s="2">
        <f>-SUMIFS(TB!AL:AL,TB!$H:$H,$C31)</f>
        <v>-1319.26819</v>
      </c>
      <c r="AG31" s="2">
        <f>-SUMIFS(TB!AM:AM,TB!$H:$H,$C31)</f>
        <v>-1319.26819</v>
      </c>
      <c r="AH31" s="2">
        <f>-SUMIFS(TB!AN:AN,TB!$H:$H,$C31)</f>
        <v>-1401.26819</v>
      </c>
      <c r="AI31" s="2">
        <f>-SUMIFS(TB!AO:AO,TB!$H:$H,$C31)</f>
        <v>-1601.26819</v>
      </c>
      <c r="AJ31" s="2"/>
      <c r="AK31" s="2">
        <f>P31</f>
        <v>377.60953000000001</v>
      </c>
      <c r="AL31" s="2">
        <f>AB31</f>
        <v>-671.19056999999998</v>
      </c>
      <c r="AM31" s="2">
        <f>AI31</f>
        <v>-1601.26819</v>
      </c>
    </row>
    <row r="32" spans="3:39" ht="11.25" customHeight="1" x14ac:dyDescent="0.2">
      <c r="C32" t="s">
        <v>338</v>
      </c>
      <c r="D32" s="4"/>
      <c r="E32" s="2">
        <f>-SUMIFS(TB!K:K,TB!$H:$H,$C32)</f>
        <v>-7.5892100000000005</v>
      </c>
      <c r="F32" s="2">
        <f>-SUMIFS(TB!L:L,TB!$H:$H,$C32)</f>
        <v>-7.5892100000000005</v>
      </c>
      <c r="G32" s="2">
        <f>-SUMIFS(TB!M:M,TB!$H:$H,$C32)</f>
        <v>-7.5892100000000005</v>
      </c>
      <c r="H32" s="2">
        <f>-SUMIFS(TB!N:N,TB!$H:$H,$C32)</f>
        <v>-7.5892100000000005</v>
      </c>
      <c r="I32" s="2">
        <f>-SUMIFS(TB!O:O,TB!$H:$H,$C32)</f>
        <v>-7.5892100000000005</v>
      </c>
      <c r="J32" s="2">
        <f>-SUMIFS(TB!P:P,TB!$H:$H,$C32)</f>
        <v>-7.5892100000000005</v>
      </c>
      <c r="K32" s="2">
        <f>-SUMIFS(TB!Q:Q,TB!$H:$H,$C32)</f>
        <v>-7.5892100000000005</v>
      </c>
      <c r="L32" s="2">
        <f>-SUMIFS(TB!R:R,TB!$H:$H,$C32)</f>
        <v>-7.5892100000000005</v>
      </c>
      <c r="M32" s="2">
        <f>-SUMIFS(TB!S:S,TB!$H:$H,$C32)</f>
        <v>-7.5892100000000005</v>
      </c>
      <c r="N32" s="2">
        <f>-SUMIFS(TB!T:T,TB!$H:$H,$C32)</f>
        <v>-7.5892100000000005</v>
      </c>
      <c r="O32" s="2">
        <f>-SUMIFS(TB!U:U,TB!$H:$H,$C32)</f>
        <v>-7.5892100000000005</v>
      </c>
      <c r="P32" s="2">
        <f>-SUMIFS(TB!V:V,TB!$H:$H,$C32)</f>
        <v>-83.98921</v>
      </c>
      <c r="Q32" s="2">
        <f>-SUMIFS(TB!W:W,TB!$H:$H,$C32)</f>
        <v>1483.78081</v>
      </c>
      <c r="R32" s="2">
        <f>-SUMIFS(TB!X:X,TB!$H:$H,$C32)</f>
        <v>1483.78081</v>
      </c>
      <c r="S32" s="2">
        <f>-SUMIFS(TB!Y:Y,TB!$H:$H,$C32)</f>
        <v>1483.78081</v>
      </c>
      <c r="T32" s="2">
        <f>-SUMIFS(TB!Z:Z,TB!$H:$H,$C32)</f>
        <v>1483.78081</v>
      </c>
      <c r="U32" s="2">
        <f>-SUMIFS(TB!AA:AA,TB!$H:$H,$C32)</f>
        <v>1483.78081</v>
      </c>
      <c r="V32" s="2">
        <f>-SUMIFS(TB!AB:AB,TB!$H:$H,$C32)</f>
        <v>1483.78081</v>
      </c>
      <c r="W32" s="2">
        <f>-SUMIFS(TB!AC:AC,TB!$H:$H,$C32)</f>
        <v>1483.78081</v>
      </c>
      <c r="X32" s="2">
        <f>-SUMIFS(TB!AD:AD,TB!$H:$H,$C32)</f>
        <v>1483.78081</v>
      </c>
      <c r="Y32" s="2">
        <f>-SUMIFS(TB!AE:AE,TB!$H:$H,$C32)</f>
        <v>1483.78081</v>
      </c>
      <c r="Z32" s="2">
        <f>-SUMIFS(TB!AF:AF,TB!$H:$H,$C32)</f>
        <v>1483.78081</v>
      </c>
      <c r="AA32" s="2">
        <f>-SUMIFS(TB!AG:AG,TB!$H:$H,$C32)</f>
        <v>1483.78081</v>
      </c>
      <c r="AB32" s="2">
        <f>-SUMIFS(TB!AH:AH,TB!$H:$H,$C32)</f>
        <v>1861.3903400000002</v>
      </c>
      <c r="AC32" s="2">
        <f>-SUMIFS(TB!AI:AI,TB!$H:$H,$C32)</f>
        <v>2960.12167</v>
      </c>
      <c r="AD32" s="2">
        <f>-SUMIFS(TB!AJ:AJ,TB!$H:$H,$C32)</f>
        <v>2960.12167</v>
      </c>
      <c r="AE32" s="2">
        <f>-SUMIFS(TB!AK:AK,TB!$H:$H,$C32)</f>
        <v>2960.12167</v>
      </c>
      <c r="AF32" s="2">
        <f>-SUMIFS(TB!AL:AL,TB!$H:$H,$C32)</f>
        <v>2960.12167</v>
      </c>
      <c r="AG32" s="2">
        <f>-SUMIFS(TB!AM:AM,TB!$H:$H,$C32)</f>
        <v>2960.12167</v>
      </c>
      <c r="AH32" s="2">
        <f>-SUMIFS(TB!AN:AN,TB!$H:$H,$C32)</f>
        <v>2960.12167</v>
      </c>
      <c r="AI32" s="2">
        <f>-SUMIFS(TB!AO:AO,TB!$H:$H,$C32)</f>
        <v>2960.12167</v>
      </c>
      <c r="AJ32" s="2"/>
      <c r="AK32" s="2">
        <f>P32</f>
        <v>-83.98921</v>
      </c>
      <c r="AL32" s="2">
        <f>AB32</f>
        <v>1861.3903400000002</v>
      </c>
      <c r="AM32" s="2">
        <f>AI32</f>
        <v>2960.12167</v>
      </c>
    </row>
    <row r="33" spans="3:39" ht="11.25" customHeight="1" x14ac:dyDescent="0.2">
      <c r="C33" s="17" t="s">
        <v>337</v>
      </c>
      <c r="D33" s="15"/>
      <c r="E33" s="14">
        <f>'PL1'!E30</f>
        <v>-308.89328000000012</v>
      </c>
      <c r="F33" s="14">
        <f>'PL1'!F30+E33</f>
        <v>-415.88139000000012</v>
      </c>
      <c r="G33" s="14">
        <f>'PL1'!G30+F33</f>
        <v>-252.32464000000007</v>
      </c>
      <c r="H33" s="14">
        <f>'PL1'!H30+G33</f>
        <v>66.179259999999914</v>
      </c>
      <c r="I33" s="14">
        <f>'PL1'!I30+H33</f>
        <v>174.63522999999998</v>
      </c>
      <c r="J33" s="14">
        <f>'PL1'!J30+I33</f>
        <v>138.30982999999992</v>
      </c>
      <c r="K33" s="14">
        <f>'PL1'!K30+J33</f>
        <v>245.85728999999992</v>
      </c>
      <c r="L33" s="14">
        <f>'PL1'!L30+K33</f>
        <v>920.22618</v>
      </c>
      <c r="M33" s="14">
        <f>'PL1'!M30+L33</f>
        <v>1735.9857300000001</v>
      </c>
      <c r="N33" s="14">
        <f>'PL1'!N30+M33</f>
        <v>1490.2895500000002</v>
      </c>
      <c r="O33" s="14">
        <f>'PL1'!O30+N33</f>
        <v>1381.3664600000002</v>
      </c>
      <c r="P33" s="14">
        <f>'PL1'!P30+O33</f>
        <v>1567.7700199999999</v>
      </c>
      <c r="Q33" s="14">
        <f>'PL1'!Q30</f>
        <v>-76.656609999999944</v>
      </c>
      <c r="R33" s="14">
        <f>'PL1'!R30+Q33</f>
        <v>7.6741400000000226</v>
      </c>
      <c r="S33" s="14">
        <f>'PL1'!S30+R33</f>
        <v>-141.35341000000011</v>
      </c>
      <c r="T33" s="14">
        <f>'PL1'!T30+S33</f>
        <v>-255.2714400000001</v>
      </c>
      <c r="U33" s="14">
        <f>'PL1'!U30+T33</f>
        <v>-240.18690000000004</v>
      </c>
      <c r="V33" s="14">
        <f>'PL1'!V30+U33</f>
        <v>-412.18591000000004</v>
      </c>
      <c r="W33" s="14">
        <f>'PL1'!W30+V33</f>
        <v>-580.86806000000001</v>
      </c>
      <c r="X33" s="14">
        <f>'PL1'!X30+W33</f>
        <v>75.855599999999754</v>
      </c>
      <c r="Y33" s="14">
        <f>'PL1'!Y30+X33</f>
        <v>573.18429999999989</v>
      </c>
      <c r="Z33" s="14">
        <f>'PL1'!Z30+Y33</f>
        <v>814.84214999999961</v>
      </c>
      <c r="AA33" s="14">
        <f>'PL1'!AA30+Z33</f>
        <v>1216.5178499999997</v>
      </c>
      <c r="AB33" s="14">
        <f>'PL1'!AB30+AA33</f>
        <v>1098.7313299999987</v>
      </c>
      <c r="AC33" s="14">
        <f>'PL1'!AC30</f>
        <v>-133.9857199999999</v>
      </c>
      <c r="AD33" s="14">
        <f>'PL1'!AD30+AC33</f>
        <v>-130.16590999999994</v>
      </c>
      <c r="AE33" s="14">
        <f>'PL1'!AE30+AD33</f>
        <v>36.009250000000179</v>
      </c>
      <c r="AF33" s="14">
        <f>'PL1'!AF30+AE33</f>
        <v>13.535220000000265</v>
      </c>
      <c r="AG33" s="14">
        <f>'PL1'!AG30+AF33</f>
        <v>-219.25783999999976</v>
      </c>
      <c r="AH33" s="14">
        <f>'PL1'!AH30+AG33</f>
        <v>0.75731000000024551</v>
      </c>
      <c r="AI33" s="14">
        <f>'PL1'!AI30+AH33</f>
        <v>-101.55986999999956</v>
      </c>
      <c r="AJ33" s="14"/>
      <c r="AK33" s="14">
        <f>P33</f>
        <v>1567.7700199999999</v>
      </c>
      <c r="AL33" s="14">
        <f>AB33</f>
        <v>1098.7313299999987</v>
      </c>
      <c r="AM33" s="14">
        <f>AI33</f>
        <v>-101.55986999999956</v>
      </c>
    </row>
    <row r="34" spans="3:39" ht="11.25" customHeight="1" x14ac:dyDescent="0.2">
      <c r="C34" s="69" t="s">
        <v>336</v>
      </c>
      <c r="D34" s="4"/>
      <c r="E34" s="2">
        <f>SUM(E30:E33)</f>
        <v>496.7145099999999</v>
      </c>
      <c r="F34" s="2">
        <f>SUM(F30:F33)</f>
        <v>349.7263999999999</v>
      </c>
      <c r="G34" s="2">
        <f>SUM(G30:G33)</f>
        <v>449.28314999999998</v>
      </c>
      <c r="H34" s="2">
        <f>SUM(H30:H33)</f>
        <v>727.48393999999996</v>
      </c>
      <c r="I34" s="2">
        <f>SUM(I30:I33)</f>
        <v>815.93991000000005</v>
      </c>
      <c r="J34" s="2">
        <f>SUM(J30:J33)</f>
        <v>759.61451</v>
      </c>
      <c r="K34" s="2">
        <f>SUM(K30:K33)</f>
        <v>847.16197</v>
      </c>
      <c r="L34" s="2">
        <f>SUM(L30:L33)</f>
        <v>1521.5308600000001</v>
      </c>
      <c r="M34" s="2">
        <f>SUM(M30:M33)</f>
        <v>2337.2904100000001</v>
      </c>
      <c r="N34" s="2">
        <f>SUM(N30:N33)</f>
        <v>2083.5942300000002</v>
      </c>
      <c r="O34" s="2">
        <f>SUM(O30:O33)</f>
        <v>1851.3421400000002</v>
      </c>
      <c r="P34" s="2">
        <f>SUM(P30:P33)</f>
        <v>1862.3903399999999</v>
      </c>
      <c r="Q34" s="2">
        <f>SUM(Q30:Q33)</f>
        <v>1774.7521400000001</v>
      </c>
      <c r="R34" s="2">
        <f>SUM(R30:R33)</f>
        <v>1859.0828900000001</v>
      </c>
      <c r="S34" s="2">
        <f>SUM(S30:S33)</f>
        <v>1710.0553399999999</v>
      </c>
      <c r="T34" s="2">
        <f>SUM(T30:T33)</f>
        <v>1546.1373100000001</v>
      </c>
      <c r="U34" s="2">
        <f>SUM(U30:U33)</f>
        <v>1561.2218499999999</v>
      </c>
      <c r="V34" s="2">
        <f>SUM(V30:V33)</f>
        <v>1352.1743699999997</v>
      </c>
      <c r="W34" s="2">
        <f>SUM(W30:W33)</f>
        <v>1181.1774</v>
      </c>
      <c r="X34" s="2">
        <f>SUM(X30:X33)</f>
        <v>1787.9010599999997</v>
      </c>
      <c r="Y34" s="2">
        <f>SUM(Y30:Y33)</f>
        <v>2285.2297600000002</v>
      </c>
      <c r="Z34" s="2">
        <f>SUM(Z30:Z33)</f>
        <v>2473.8876099999998</v>
      </c>
      <c r="AA34" s="2">
        <f>SUM(AA30:AA33)</f>
        <v>2475.5633099999995</v>
      </c>
      <c r="AB34" s="2">
        <f>SUM(AB30:AB33)</f>
        <v>2289.9310999999989</v>
      </c>
      <c r="AC34" s="2">
        <f>SUM(AC30:AC33)</f>
        <v>1887.8677600000001</v>
      </c>
      <c r="AD34" s="2">
        <f>SUM(AD30:AD33)</f>
        <v>1591.6875700000001</v>
      </c>
      <c r="AE34" s="2">
        <f>SUM(AE30:AE33)</f>
        <v>1677.8627300000003</v>
      </c>
      <c r="AF34" s="2">
        <f>SUM(AF30:AF33)</f>
        <v>1655.3887000000002</v>
      </c>
      <c r="AG34" s="2">
        <f>SUM(AG30:AG33)</f>
        <v>1422.5956400000002</v>
      </c>
      <c r="AH34" s="2">
        <f>SUM(AH30:AH33)</f>
        <v>1560.6107900000002</v>
      </c>
      <c r="AI34" s="2">
        <f>SUM(AI30:AI33)</f>
        <v>1258.2936100000004</v>
      </c>
      <c r="AJ34" s="2"/>
      <c r="AK34" s="2">
        <f>SUM(AK30:AK33)</f>
        <v>1862.3903399999999</v>
      </c>
      <c r="AL34" s="2">
        <f>SUM(AL30:AL33)</f>
        <v>2289.9310999999989</v>
      </c>
      <c r="AM34" s="2">
        <f>SUM(AM30:AM33)</f>
        <v>1258.2936100000004</v>
      </c>
    </row>
    <row r="35" spans="3:39" ht="12" customHeight="1" thickBot="1" x14ac:dyDescent="0.3">
      <c r="C35" s="40" t="s">
        <v>335</v>
      </c>
      <c r="D35" s="76"/>
      <c r="E35" s="39">
        <f>+E28+E34</f>
        <v>1945.8105299999997</v>
      </c>
      <c r="F35" s="39">
        <f>+F28+F34</f>
        <v>1876.9594399999996</v>
      </c>
      <c r="G35" s="39">
        <f>+G28+G34</f>
        <v>2065.2811799999999</v>
      </c>
      <c r="H35" s="39">
        <f>+H28+H34</f>
        <v>2286.9074700000001</v>
      </c>
      <c r="I35" s="39">
        <f>+I28+I34</f>
        <v>2366.1767399999999</v>
      </c>
      <c r="J35" s="39">
        <f>+J28+J34</f>
        <v>2363.62023</v>
      </c>
      <c r="K35" s="39">
        <f>+K28+K34</f>
        <v>2566.8364000000001</v>
      </c>
      <c r="L35" s="39">
        <f>+L28+L34</f>
        <v>3213.1898300000003</v>
      </c>
      <c r="M35" s="39">
        <f>+M28+M34</f>
        <v>3875.7998299999999</v>
      </c>
      <c r="N35" s="39">
        <f>+N28+N34</f>
        <v>3708.7171100000005</v>
      </c>
      <c r="O35" s="39">
        <f>+O28+O34</f>
        <v>3740.8445900000002</v>
      </c>
      <c r="P35" s="39">
        <f>+P28+P34</f>
        <v>3107.7775200000001</v>
      </c>
      <c r="Q35" s="39">
        <f>+Q28+Q34</f>
        <v>3103.2627499999999</v>
      </c>
      <c r="R35" s="39">
        <f>+R28+R34</f>
        <v>3183.3139800000004</v>
      </c>
      <c r="S35" s="39">
        <f>+S28+S34</f>
        <v>3068.1906300000001</v>
      </c>
      <c r="T35" s="39">
        <f>+T28+T34</f>
        <v>2868.29907</v>
      </c>
      <c r="U35" s="39">
        <f>+U28+U34</f>
        <v>2960.8163500000001</v>
      </c>
      <c r="V35" s="39">
        <f>+V28+V34</f>
        <v>2727.5488100000002</v>
      </c>
      <c r="W35" s="39">
        <f>+W28+W34</f>
        <v>2621.80791</v>
      </c>
      <c r="X35" s="39">
        <f>+X28+X34</f>
        <v>3330.5416099999998</v>
      </c>
      <c r="Y35" s="39">
        <f>+Y28+Y34</f>
        <v>3824.8415400000004</v>
      </c>
      <c r="Z35" s="39">
        <f>+Z28+Z34</f>
        <v>3659.5992499999998</v>
      </c>
      <c r="AA35" s="39">
        <f>+AA28+AA34</f>
        <v>3532.7612999999992</v>
      </c>
      <c r="AB35" s="39">
        <f>+AB28+AB34</f>
        <v>3464.1853499999988</v>
      </c>
      <c r="AC35" s="39">
        <f>+AC28+AC34</f>
        <v>3107.51224</v>
      </c>
      <c r="AD35" s="39">
        <f>+AD28+AD34</f>
        <v>2945.0208199999997</v>
      </c>
      <c r="AE35" s="39">
        <f>+AE28+AE34</f>
        <v>3111.5830000000001</v>
      </c>
      <c r="AF35" s="39">
        <f>+AF28+AF34</f>
        <v>2799.24881</v>
      </c>
      <c r="AG35" s="39">
        <f>+AG28+AG34</f>
        <v>2712.0254300000006</v>
      </c>
      <c r="AH35" s="39">
        <f>+AH28+AH34</f>
        <v>2853.0267000000003</v>
      </c>
      <c r="AI35" s="39">
        <f>+AI28+AI34</f>
        <v>2544.0338200000006</v>
      </c>
      <c r="AJ35" s="39"/>
      <c r="AK35" s="39">
        <f>+AK28+AK34</f>
        <v>3107.7775200000001</v>
      </c>
      <c r="AL35" s="39">
        <f>+AL28+AL34</f>
        <v>3464.1853499999988</v>
      </c>
      <c r="AM35" s="39">
        <f>+AM28+AM34</f>
        <v>2544.0338200000006</v>
      </c>
    </row>
    <row r="36" spans="3:39" ht="6" customHeight="1" x14ac:dyDescent="0.2">
      <c r="D36" s="4"/>
    </row>
    <row r="37" spans="3:39" ht="11.25" customHeight="1" x14ac:dyDescent="0.2">
      <c r="C37" t="s">
        <v>218</v>
      </c>
      <c r="D37" s="4"/>
      <c r="E37" s="2">
        <f>IFERROR((E10/E46)*E$45,0)</f>
        <v>47.848415809286124</v>
      </c>
      <c r="F37" s="2">
        <f>IFERROR((F10/F46)*F$45,0)</f>
        <v>25.113267519475791</v>
      </c>
      <c r="G37" s="2">
        <f>IFERROR((G10/G46)*G$45,0)</f>
        <v>31.410889364115246</v>
      </c>
      <c r="H37" s="2">
        <f>IFERROR((H10/H46)*H$45,0)</f>
        <v>38.10265246134005</v>
      </c>
      <c r="I37" s="2">
        <f>IFERROR((I10/I46)*I$45,0)</f>
        <v>22.840079624143247</v>
      </c>
      <c r="J37" s="2">
        <f>IFERROR((J10/J46)*J$45,0)</f>
        <v>39.803340466816827</v>
      </c>
      <c r="K37" s="2">
        <f>IFERROR((K10/K46)*K$45,0)</f>
        <v>33.841551096056762</v>
      </c>
      <c r="L37" s="2">
        <f>IFERROR((L10/L46)*L$45,0)</f>
        <v>32.462349085667149</v>
      </c>
      <c r="M37" s="2">
        <f>IFERROR((M10/M46)*M$45,0)</f>
        <v>22.142230773811761</v>
      </c>
      <c r="N37" s="2">
        <f>IFERROR((N10/N46)*N$45,0)</f>
        <v>48.254177288370627</v>
      </c>
      <c r="O37" s="2">
        <f>IFERROR((O10/O46)*O$45,0)</f>
        <v>19.5680332536385</v>
      </c>
      <c r="P37" s="2">
        <f>IFERROR((P10/P46)*P$45,0)</f>
        <v>26.796432599557811</v>
      </c>
      <c r="Q37" s="2">
        <f>IFERROR((Q10/Q46)*Q$45,0)</f>
        <v>38.537202282226495</v>
      </c>
      <c r="R37" s="2">
        <f>IFERROR((R10/R46)*R$45,0)</f>
        <v>42.289773613621236</v>
      </c>
      <c r="S37" s="2">
        <f>IFERROR((S10/S46)*S$45,0)</f>
        <v>37.850776091429069</v>
      </c>
      <c r="T37" s="2">
        <f>IFERROR((T10/T46)*T$45,0)</f>
        <v>34.756871767190553</v>
      </c>
      <c r="U37" s="2">
        <f>IFERROR((U10/U46)*U$45,0)</f>
        <v>30.083352104233413</v>
      </c>
      <c r="V37" s="2">
        <f>IFERROR((V10/V46)*V$45,0)</f>
        <v>46.016491829735727</v>
      </c>
      <c r="W37" s="2">
        <f>IFERROR((W10/W46)*W$45,0)</f>
        <v>39.991266745802946</v>
      </c>
      <c r="X37" s="2">
        <f>IFERROR((X10/X46)*X$45,0)</f>
        <v>24.315720035817673</v>
      </c>
      <c r="Y37" s="2">
        <f>IFERROR((Y10/Y46)*Y$45,0)</f>
        <v>30.190730704033491</v>
      </c>
      <c r="Z37" s="2">
        <f>IFERROR((Z10/Z46)*Z$45,0)</f>
        <v>31.000939448054478</v>
      </c>
      <c r="AA37" s="2">
        <f>IFERROR((AA10/AA46)*AA$45,0)</f>
        <v>25.215990514017939</v>
      </c>
      <c r="AB37" s="2">
        <f>IFERROR((AB10/AB46)*AB$45,0)</f>
        <v>44.85414652383573</v>
      </c>
      <c r="AC37" s="2">
        <f>IFERROR((AC10/AC46)*AC$45,0)</f>
        <v>47.591678450407279</v>
      </c>
      <c r="AD37" s="2">
        <f>IFERROR((AD10/AD46)*AD$45,0)</f>
        <v>29.19756368111522</v>
      </c>
      <c r="AE37" s="2">
        <f>IFERROR((AE10/AE46)*AE$45,0)</f>
        <v>40.582567650843075</v>
      </c>
      <c r="AF37" s="2">
        <f>IFERROR((AF10/AF46)*AF$45,0)</f>
        <v>46.320334925419417</v>
      </c>
      <c r="AG37" s="2">
        <f>IFERROR((AG10/AG46)*AG$45,0)</f>
        <v>66.421855096942195</v>
      </c>
      <c r="AH37" s="2">
        <f>IFERROR((AH10/AH46)*AH$45,0)</f>
        <v>33.016468384961982</v>
      </c>
      <c r="AI37" s="2">
        <f>IFERROR((AI10/AI46)*AI$45,0)</f>
        <v>56.461083490080064</v>
      </c>
      <c r="AJ37" s="2"/>
      <c r="AK37" s="2">
        <f>IFERROR((AK10/AK46)*AK$45,0)</f>
        <v>30.397139344324884</v>
      </c>
      <c r="AL37" s="2">
        <f>IFERROR((AL10/AL46)*AL$45,0)</f>
        <v>32.193761778386332</v>
      </c>
      <c r="AM37" s="2">
        <f>IFERROR((AM10/AM46)*AM$45,0)</f>
        <v>38.310312483991616</v>
      </c>
    </row>
    <row r="38" spans="3:39" ht="11.25" customHeight="1" x14ac:dyDescent="0.2">
      <c r="C38" t="s">
        <v>334</v>
      </c>
      <c r="D38" s="4"/>
      <c r="E38" s="62" t="s">
        <v>26</v>
      </c>
      <c r="F38" s="62" t="s">
        <v>26</v>
      </c>
      <c r="G38" s="62" t="s">
        <v>26</v>
      </c>
      <c r="H38" s="62" t="s">
        <v>26</v>
      </c>
      <c r="I38" s="62" t="s">
        <v>26</v>
      </c>
      <c r="J38" s="62" t="s">
        <v>26</v>
      </c>
      <c r="K38" s="62" t="s">
        <v>26</v>
      </c>
      <c r="L38" s="62" t="s">
        <v>26</v>
      </c>
      <c r="M38" s="62" t="s">
        <v>26</v>
      </c>
      <c r="N38" s="62" t="s">
        <v>26</v>
      </c>
      <c r="O38" s="62" t="s">
        <v>26</v>
      </c>
      <c r="P38" s="62" t="s">
        <v>26</v>
      </c>
      <c r="Q38" s="62" t="s">
        <v>26</v>
      </c>
      <c r="R38" s="62" t="s">
        <v>26</v>
      </c>
      <c r="S38" s="62" t="s">
        <v>26</v>
      </c>
      <c r="T38" s="62" t="s">
        <v>26</v>
      </c>
      <c r="U38" s="62" t="s">
        <v>26</v>
      </c>
      <c r="V38" s="62" t="s">
        <v>26</v>
      </c>
      <c r="W38" s="62" t="s">
        <v>26</v>
      </c>
      <c r="X38" s="62" t="s">
        <v>26</v>
      </c>
      <c r="Y38" s="62" t="s">
        <v>26</v>
      </c>
      <c r="Z38" s="62" t="s">
        <v>26</v>
      </c>
      <c r="AA38" s="62" t="s">
        <v>26</v>
      </c>
      <c r="AB38" s="62" t="s">
        <v>26</v>
      </c>
      <c r="AC38" s="62" t="s">
        <v>26</v>
      </c>
      <c r="AD38" s="62" t="s">
        <v>26</v>
      </c>
      <c r="AE38" s="62" t="s">
        <v>26</v>
      </c>
      <c r="AF38" s="62" t="s">
        <v>26</v>
      </c>
      <c r="AG38" s="62" t="s">
        <v>26</v>
      </c>
      <c r="AH38" s="62" t="s">
        <v>26</v>
      </c>
      <c r="AI38" s="62" t="s">
        <v>26</v>
      </c>
      <c r="AJ38" s="62"/>
      <c r="AK38" s="62" t="s">
        <v>26</v>
      </c>
      <c r="AL38" s="62" t="s">
        <v>26</v>
      </c>
      <c r="AM38" s="62" t="s">
        <v>26</v>
      </c>
    </row>
    <row r="39" spans="3:39" ht="11.25" customHeight="1" x14ac:dyDescent="0.2">
      <c r="C39" t="s">
        <v>215</v>
      </c>
      <c r="D39" s="4"/>
      <c r="E39" s="2">
        <f>IFERROR((E20/E48)*E$45,0)</f>
        <v>15.731246792610364</v>
      </c>
      <c r="F39" s="2">
        <f>IFERROR((F20/F48)*F$45,0)</f>
        <v>16.349467225952527</v>
      </c>
      <c r="G39" s="2">
        <f>IFERROR((G20/G48)*G$45,0)</f>
        <v>18.751136513803893</v>
      </c>
      <c r="H39" s="2">
        <f>IFERROR((H20/H48)*H$45,0)</f>
        <v>10.793710500209688</v>
      </c>
      <c r="I39" s="2">
        <f>IFERROR((I20/I48)*I$45,0)</f>
        <v>14.671002618883982</v>
      </c>
      <c r="J39" s="2">
        <f>IFERROR((J20/J48)*J$45,0)</f>
        <v>14.45842582773766</v>
      </c>
      <c r="K39" s="2">
        <f>IFERROR((K20/K48)*K$45,0)</f>
        <v>18.625684166309128</v>
      </c>
      <c r="L39" s="2">
        <f>IFERROR((L20/L48)*L$45,0)</f>
        <v>11.76405271783514</v>
      </c>
      <c r="M39" s="2">
        <f>IFERROR((M20/M48)*M$45,0)</f>
        <v>-11.228207281575532</v>
      </c>
      <c r="N39" s="2">
        <f>IFERROR((N20/N48)*N$45,0)</f>
        <v>-5.4515308855406071</v>
      </c>
      <c r="O39" s="2">
        <f>IFERROR((O20/O48)*O$45,0)</f>
        <v>13.230875927949064</v>
      </c>
      <c r="P39" s="2">
        <f>IFERROR((P20/P48)*P$45,0)</f>
        <v>0</v>
      </c>
      <c r="Q39" s="2">
        <f>IFERROR((Q20/Q48)*Q$45,0)</f>
        <v>7.617657553135615</v>
      </c>
      <c r="R39" s="2">
        <f>IFERROR((R20/R48)*R$45,0)</f>
        <v>1.0255573197174397</v>
      </c>
      <c r="S39" s="2">
        <f>IFERROR((S20/S48)*S$45,0)</f>
        <v>12.674498537982</v>
      </c>
      <c r="T39" s="2">
        <f>IFERROR((T20/T48)*T$45,0)</f>
        <v>1.6081291050497075</v>
      </c>
      <c r="U39" s="2">
        <f>IFERROR((U20/U48)*U$45,0)</f>
        <v>18.080884632292673</v>
      </c>
      <c r="V39" s="2">
        <f>IFERROR((V20/V48)*V$45,0)</f>
        <v>8.6229463983072314</v>
      </c>
      <c r="W39" s="2">
        <f>IFERROR((W20/W48)*W$45,0)</f>
        <v>15.027227599020183</v>
      </c>
      <c r="X39" s="2">
        <f>IFERROR((X20/X48)*X$45,0)</f>
        <v>21.651519971131645</v>
      </c>
      <c r="Y39" s="2">
        <f>IFERROR((Y20/Y48)*Y$45,0)</f>
        <v>16.001041736639369</v>
      </c>
      <c r="Z39" s="2">
        <f>IFERROR((Z20/Z48)*Z$45,0)</f>
        <v>22.454154235207245</v>
      </c>
      <c r="AA39" s="2">
        <f>IFERROR((AA20/AA48)*AA$45,0)</f>
        <v>16.672404529484922</v>
      </c>
      <c r="AB39" s="2">
        <f>IFERROR((AB20/AB48)*AB$45,0)</f>
        <v>5.4953531483092899</v>
      </c>
      <c r="AC39" s="2">
        <f>IFERROR((AC20/AC48)*AC$45,0)</f>
        <v>14.932390913915148</v>
      </c>
      <c r="AD39" s="2">
        <f>IFERROR((AD20/AD48)*AD$45,0)</f>
        <v>21.673571680816579</v>
      </c>
      <c r="AE39" s="2">
        <f>IFERROR((AE20/AE48)*AE$45,0)</f>
        <v>24.662943911120642</v>
      </c>
      <c r="AF39" s="2">
        <f>IFERROR((AF20/AF48)*AF$45,0)</f>
        <v>10.745057621379102</v>
      </c>
      <c r="AG39" s="2">
        <f>IFERROR((AG20/AG48)*AG$45,0)</f>
        <v>20.376094638551805</v>
      </c>
      <c r="AH39" s="2">
        <f>IFERROR((AH20/AH48)*AH$45,0)</f>
        <v>12.975141706798995</v>
      </c>
      <c r="AI39" s="2">
        <f>IFERROR((AI20/AI48)*AI$45,0)</f>
        <v>12.46061321985318</v>
      </c>
      <c r="AJ39" s="82"/>
      <c r="AK39" s="2">
        <f>IFERROR((AK20/AK48)*AK$45,0)</f>
        <v>0</v>
      </c>
      <c r="AL39" s="2">
        <f>IFERROR((AL20/AL48)*AL$45,0)</f>
        <v>8.7413085891537747</v>
      </c>
      <c r="AM39" s="2">
        <f>IFERROR((AM20/AM48)*AM$45,0)</f>
        <v>11.996858983807114</v>
      </c>
    </row>
    <row r="40" spans="3:39" ht="6" customHeight="1" x14ac:dyDescent="0.2">
      <c r="D40" s="4"/>
    </row>
    <row r="43" spans="3:39" ht="11.25" customHeight="1" x14ac:dyDescent="0.2">
      <c r="C43" t="s">
        <v>333</v>
      </c>
      <c r="E43" s="2">
        <f>E18-E35</f>
        <v>0</v>
      </c>
      <c r="F43" s="2">
        <f>F18-F35</f>
        <v>0</v>
      </c>
      <c r="G43" s="2">
        <f>G18-G35</f>
        <v>0</v>
      </c>
      <c r="H43" s="2">
        <f>H18-H35</f>
        <v>0</v>
      </c>
      <c r="I43" s="2">
        <f>I18-I35</f>
        <v>0</v>
      </c>
      <c r="J43" s="2">
        <f>J18-J35</f>
        <v>0</v>
      </c>
      <c r="K43" s="2">
        <f>K18-K35</f>
        <v>0</v>
      </c>
      <c r="L43" s="2">
        <f>L18-L35</f>
        <v>0</v>
      </c>
      <c r="M43" s="2">
        <f>M18-M35</f>
        <v>0</v>
      </c>
      <c r="N43" s="2">
        <f>N18-N35</f>
        <v>0</v>
      </c>
      <c r="O43" s="2">
        <f>O18-O35</f>
        <v>0</v>
      </c>
      <c r="P43" s="2">
        <f>P18-P35</f>
        <v>0</v>
      </c>
      <c r="Q43" s="2">
        <f>Q18-Q35</f>
        <v>0</v>
      </c>
      <c r="R43" s="2">
        <f>R18-R35</f>
        <v>0</v>
      </c>
      <c r="S43" s="2">
        <f>S18-S35</f>
        <v>0</v>
      </c>
      <c r="T43" s="2">
        <f>T18-T35</f>
        <v>0</v>
      </c>
      <c r="U43" s="2">
        <f>U18-U35</f>
        <v>0</v>
      </c>
      <c r="V43" s="2">
        <f>V18-V35</f>
        <v>0</v>
      </c>
      <c r="W43" s="2">
        <f>W18-W35</f>
        <v>0</v>
      </c>
      <c r="X43" s="2">
        <f>X18-X35</f>
        <v>0</v>
      </c>
      <c r="Y43" s="2">
        <f>Y18-Y35</f>
        <v>0</v>
      </c>
      <c r="Z43" s="2">
        <f>Z18-Z35</f>
        <v>0</v>
      </c>
      <c r="AA43" s="2">
        <f>AA18-AA35</f>
        <v>0</v>
      </c>
      <c r="AB43" s="2">
        <f>AB18-AB35</f>
        <v>0</v>
      </c>
      <c r="AC43" s="2">
        <f>AC18-AC35</f>
        <v>0</v>
      </c>
      <c r="AD43" s="2">
        <f>AD18-AD35</f>
        <v>0</v>
      </c>
      <c r="AE43" s="2">
        <f>AE18-AE35</f>
        <v>0</v>
      </c>
      <c r="AF43" s="2">
        <f>AF18-AF35</f>
        <v>0</v>
      </c>
      <c r="AG43" s="2">
        <f>AG18-AG35</f>
        <v>0</v>
      </c>
      <c r="AH43" s="2">
        <f>AH18-AH35</f>
        <v>0</v>
      </c>
      <c r="AI43" s="2">
        <f>AI18-AI35</f>
        <v>0</v>
      </c>
      <c r="AK43" s="2">
        <f>AK18-AK35</f>
        <v>0</v>
      </c>
      <c r="AL43" s="2">
        <f>AL18-AL35</f>
        <v>0</v>
      </c>
      <c r="AM43" s="2">
        <f>AM18-AM35</f>
        <v>0</v>
      </c>
    </row>
    <row r="45" spans="3:39" ht="11.25" customHeight="1" x14ac:dyDescent="0.2">
      <c r="C45" t="s">
        <v>193</v>
      </c>
      <c r="E45">
        <v>31</v>
      </c>
      <c r="F45">
        <f>F8-E8</f>
        <v>31</v>
      </c>
      <c r="G45">
        <f>G8-F8</f>
        <v>30</v>
      </c>
      <c r="H45">
        <f>H8-G8</f>
        <v>31</v>
      </c>
      <c r="I45">
        <f>I8-H8</f>
        <v>31</v>
      </c>
      <c r="J45">
        <f>J8-I8</f>
        <v>30</v>
      </c>
      <c r="K45">
        <f>K8-J8</f>
        <v>31</v>
      </c>
      <c r="L45">
        <f>L8-K8</f>
        <v>30</v>
      </c>
      <c r="M45">
        <f>M8-L8</f>
        <v>31</v>
      </c>
      <c r="N45">
        <f>N8-M8</f>
        <v>31</v>
      </c>
      <c r="O45">
        <f>O8-N8</f>
        <v>29</v>
      </c>
      <c r="P45">
        <f>P8-O8</f>
        <v>31</v>
      </c>
      <c r="Q45">
        <f>Q8-P8</f>
        <v>30</v>
      </c>
      <c r="R45">
        <f>R8-Q8</f>
        <v>31</v>
      </c>
      <c r="S45">
        <f>S8-R8</f>
        <v>30</v>
      </c>
      <c r="T45">
        <f>T8-S8</f>
        <v>31</v>
      </c>
      <c r="U45">
        <f>U8-T8</f>
        <v>31</v>
      </c>
      <c r="V45">
        <f>V8-U8</f>
        <v>30</v>
      </c>
      <c r="W45">
        <f>W8-V8</f>
        <v>31</v>
      </c>
      <c r="X45">
        <f>X8-W8</f>
        <v>30</v>
      </c>
      <c r="Y45">
        <f>Y8-X8</f>
        <v>31</v>
      </c>
      <c r="Z45">
        <f>Z8-Y8</f>
        <v>31</v>
      </c>
      <c r="AA45">
        <f>AA8-Z8</f>
        <v>28</v>
      </c>
      <c r="AB45">
        <f>AB8-AA8</f>
        <v>31</v>
      </c>
      <c r="AC45">
        <f>AC8-AB8</f>
        <v>30</v>
      </c>
      <c r="AD45">
        <f>AD8-AC8</f>
        <v>31</v>
      </c>
      <c r="AE45">
        <f>AE8-AD8</f>
        <v>30</v>
      </c>
      <c r="AF45">
        <f>AF8-AE8</f>
        <v>31</v>
      </c>
      <c r="AG45">
        <f>AG8-AF8</f>
        <v>31</v>
      </c>
      <c r="AH45">
        <f>AH8-AG8</f>
        <v>30</v>
      </c>
      <c r="AI45">
        <f>AI8-AH8</f>
        <v>31</v>
      </c>
      <c r="AK45">
        <v>365</v>
      </c>
      <c r="AL45">
        <f>AL8-P8</f>
        <v>365</v>
      </c>
      <c r="AM45">
        <f>AM8-W8</f>
        <v>365</v>
      </c>
    </row>
    <row r="46" spans="3:39" ht="11.25" customHeight="1" x14ac:dyDescent="0.2">
      <c r="C46" t="s">
        <v>332</v>
      </c>
      <c r="E46" s="2">
        <f>'PL1'!E10</f>
        <v>193.12699999999998</v>
      </c>
      <c r="F46" s="2">
        <f>'PL1'!F10</f>
        <v>429.44349999999997</v>
      </c>
      <c r="G46" s="2">
        <f>'PL1'!G10</f>
        <v>731.81500000000005</v>
      </c>
      <c r="H46" s="2">
        <f>'PL1'!H10</f>
        <v>430.35500000000002</v>
      </c>
      <c r="I46" s="2">
        <f>'PL1'!I10</f>
        <v>623.42899999999997</v>
      </c>
      <c r="J46" s="2">
        <f>'PL1'!J10</f>
        <v>480.83100000000002</v>
      </c>
      <c r="K46" s="2">
        <f>'PL1'!K10</f>
        <v>688.46799999999996</v>
      </c>
      <c r="L46" s="2">
        <f>'PL1'!L10</f>
        <v>1267.3995</v>
      </c>
      <c r="M46" s="2">
        <f>'PL1'!M10</f>
        <v>1276.1760000000002</v>
      </c>
      <c r="N46" s="2">
        <f>'PL1'!N10</f>
        <v>238.70149999999998</v>
      </c>
      <c r="O46" s="2">
        <f>'PL1'!O10</f>
        <v>550.8931</v>
      </c>
      <c r="P46" s="2">
        <f>'PL1'!P10</f>
        <v>736.78299999999979</v>
      </c>
      <c r="Q46" s="2">
        <f>'PL1'!Q10</f>
        <v>422.04399999999998</v>
      </c>
      <c r="R46" s="2">
        <f>'PL1'!R10</f>
        <v>525.65</v>
      </c>
      <c r="S46" s="2">
        <f>'PL1'!S10</f>
        <v>371.34799999999996</v>
      </c>
      <c r="T46" s="2">
        <f>'PL1'!T10</f>
        <v>381.63400000000001</v>
      </c>
      <c r="U46" s="2">
        <f>'PL1'!U10</f>
        <v>537.17899999999997</v>
      </c>
      <c r="V46" s="2">
        <f>'PL1'!V10</f>
        <v>356.904</v>
      </c>
      <c r="W46" s="2">
        <f>'PL1'!W10</f>
        <v>365.61400000000003</v>
      </c>
      <c r="X46" s="2">
        <f>'PL1'!X10</f>
        <v>1132.4019999999998</v>
      </c>
      <c r="Y46" s="2">
        <f>'PL1'!Y10</f>
        <v>1135.1701400000002</v>
      </c>
      <c r="Z46" s="2">
        <f>'PL1'!Z10</f>
        <v>329.65100999999999</v>
      </c>
      <c r="AA46" s="2">
        <f>'PL1'!AA10</f>
        <v>807.92899999999997</v>
      </c>
      <c r="AB46" s="2">
        <f>'PL1'!AB10</f>
        <v>413.2260099999998</v>
      </c>
      <c r="AC46" s="2">
        <f>'PL1'!AC10</f>
        <v>351.47300000000001</v>
      </c>
      <c r="AD46" s="2">
        <f>'PL1'!AD10</f>
        <v>543.60699999999997</v>
      </c>
      <c r="AE46" s="2">
        <f>'PL1'!AE10</f>
        <v>736.56510000000014</v>
      </c>
      <c r="AF46" s="2">
        <f>'PL1'!AF10</f>
        <v>425.64699999999999</v>
      </c>
      <c r="AG46" s="2">
        <f>'PL1'!AG10</f>
        <v>284.19</v>
      </c>
      <c r="AH46" s="2">
        <f>'PL1'!AH10</f>
        <v>760.36599999999999</v>
      </c>
      <c r="AI46" s="2">
        <f>'PL1'!AI10</f>
        <v>423.18799999999999</v>
      </c>
      <c r="AJ46" s="2"/>
      <c r="AK46" s="2">
        <f>'PL1'!AK10</f>
        <v>7647.4216000000006</v>
      </c>
      <c r="AL46" s="2">
        <f>'PL1'!AL10</f>
        <v>6778.7511599999989</v>
      </c>
      <c r="AM46" s="2">
        <f>'PL1'!AM10</f>
        <v>7343.4142599999996</v>
      </c>
    </row>
    <row r="47" spans="3:39" ht="11.25" customHeight="1" x14ac:dyDescent="0.2">
      <c r="C47" t="s">
        <v>331</v>
      </c>
      <c r="E47" s="2">
        <f>'PL1'!E23</f>
        <v>501.62028000000009</v>
      </c>
      <c r="F47" s="2">
        <f>'PL1'!F23</f>
        <v>536.03161</v>
      </c>
      <c r="G47" s="2">
        <f>'PL1'!G23</f>
        <v>567.48325</v>
      </c>
      <c r="H47" s="2">
        <f>'PL1'!H23</f>
        <v>466.99545000000001</v>
      </c>
      <c r="I47" s="2">
        <f>'PL1'!I23</f>
        <v>514.5730299999999</v>
      </c>
      <c r="J47" s="2">
        <f>'PL1'!J23</f>
        <v>518.78140000000008</v>
      </c>
      <c r="K47" s="2">
        <f>'PL1'!K23</f>
        <v>580.92053999999996</v>
      </c>
      <c r="L47" s="2">
        <f>'PL1'!L23</f>
        <v>592.93060999999989</v>
      </c>
      <c r="M47" s="2">
        <f>'PL1'!M23</f>
        <v>460.04145000000005</v>
      </c>
      <c r="N47" s="2">
        <f>'PL1'!N23</f>
        <v>484.39767999999998</v>
      </c>
      <c r="O47" s="2">
        <f>'PL1'!O23</f>
        <v>659.81619000000012</v>
      </c>
      <c r="P47" s="2">
        <f>'PL1'!P23</f>
        <v>621.95644000000004</v>
      </c>
      <c r="Q47" s="2">
        <f>'PL1'!Q23</f>
        <v>498.70060999999993</v>
      </c>
      <c r="R47" s="2">
        <f>'PL1'!R23</f>
        <v>441.31925000000001</v>
      </c>
      <c r="S47" s="2">
        <f>'PL1'!S23</f>
        <v>520.37555000000009</v>
      </c>
      <c r="T47" s="2">
        <f>'PL1'!T23</f>
        <v>495.55203</v>
      </c>
      <c r="U47" s="2">
        <f>'PL1'!U23</f>
        <v>522.09445999999991</v>
      </c>
      <c r="V47" s="2">
        <f>'PL1'!V23</f>
        <v>469.77301</v>
      </c>
      <c r="W47" s="2">
        <f>'PL1'!W23</f>
        <v>534.29615000000001</v>
      </c>
      <c r="X47" s="2">
        <f>'PL1'!X23</f>
        <v>525.67834000000005</v>
      </c>
      <c r="Y47" s="2">
        <f>'PL1'!Y23</f>
        <v>517.73645999999997</v>
      </c>
      <c r="Z47" s="2">
        <f>'PL1'!Z23</f>
        <v>87.993160000000259</v>
      </c>
      <c r="AA47" s="2">
        <f>'PL1'!AA23</f>
        <v>406.25329999999985</v>
      </c>
      <c r="AB47" s="2">
        <f>'PL1'!AB23</f>
        <v>526.93153000000075</v>
      </c>
      <c r="AC47" s="2">
        <f>'PL1'!AC23</f>
        <v>456.45871999999991</v>
      </c>
      <c r="AD47" s="2">
        <f>'PL1'!AD23</f>
        <v>539.78719000000001</v>
      </c>
      <c r="AE47" s="2">
        <f>'PL1'!AE23</f>
        <v>570.38994000000002</v>
      </c>
      <c r="AF47" s="2">
        <f>'PL1'!AF23</f>
        <v>448.12102999999991</v>
      </c>
      <c r="AG47" s="2">
        <f>'PL1'!AG23</f>
        <v>516.98306000000002</v>
      </c>
      <c r="AH47" s="2">
        <f>'PL1'!AH23</f>
        <v>525.17484999999999</v>
      </c>
      <c r="AI47" s="2">
        <f>'PL1'!AI23</f>
        <v>525.3996199999998</v>
      </c>
      <c r="AJ47" s="2"/>
      <c r="AK47" s="2">
        <f>'PL1'!AK23</f>
        <v>6505.5479299999997</v>
      </c>
      <c r="AL47" s="2">
        <f>'PL1'!AL23</f>
        <v>5546.7038500000008</v>
      </c>
      <c r="AM47" s="2">
        <f>'PL1'!AM23</f>
        <v>5646.9072000000006</v>
      </c>
    </row>
    <row r="48" spans="3:39" ht="11.25" customHeight="1" x14ac:dyDescent="0.2">
      <c r="C48" t="s">
        <v>330</v>
      </c>
      <c r="E48" s="2">
        <f>'PL1'!E23-'PL1'!E17</f>
        <v>202.92982000000006</v>
      </c>
      <c r="F48" s="2">
        <f>'PL1'!F23-'PL1'!F17</f>
        <v>237.54817000000003</v>
      </c>
      <c r="G48" s="2">
        <f>'PL1'!G23-'PL1'!G17</f>
        <v>283.16858000000002</v>
      </c>
      <c r="H48" s="2">
        <f>'PL1'!H23-'PL1'!H17</f>
        <v>190.30639000000002</v>
      </c>
      <c r="I48" s="2">
        <f>'PL1'!I23-'PL1'!I17</f>
        <v>245.60079999999994</v>
      </c>
      <c r="J48" s="2">
        <f>'PL1'!J23-'PL1'!J17</f>
        <v>252.12335999999999</v>
      </c>
      <c r="K48" s="2">
        <f>'PL1'!K23-'PL1'!K17</f>
        <v>312.61952999999994</v>
      </c>
      <c r="L48" s="2">
        <f>'PL1'!L23-'PL1'!L17</f>
        <v>326.19472999999999</v>
      </c>
      <c r="M48" s="2">
        <f>'PL1'!M23-'PL1'!M17</f>
        <v>194.95973000000004</v>
      </c>
      <c r="N48" s="2">
        <f>'PL1'!N23-'PL1'!N17</f>
        <v>203.0207299999999</v>
      </c>
      <c r="O48" s="2">
        <f>'PL1'!O23-'PL1'!O17</f>
        <v>384.49578000000002</v>
      </c>
      <c r="P48" s="2">
        <f>'PL1'!P23-'PL1'!P17</f>
        <v>246.46405000000004</v>
      </c>
      <c r="Q48" s="2">
        <f>'PL1'!Q23-'PL1'!Q17</f>
        <v>226.78951999999992</v>
      </c>
      <c r="R48" s="2">
        <f>'PL1'!R23-'PL1'!R17</f>
        <v>169.69972000000001</v>
      </c>
      <c r="S48" s="2">
        <f>'PL1'!S23-'PL1'!S17</f>
        <v>226.46780000000001</v>
      </c>
      <c r="T48" s="2">
        <f>'PL1'!T23-'PL1'!T17</f>
        <v>193.60606000000001</v>
      </c>
      <c r="U48" s="2">
        <f>'PL1'!U23-'PL1'!U17</f>
        <v>225.58660999999995</v>
      </c>
      <c r="V48" s="2">
        <f>'PL1'!V23-'PL1'!V17</f>
        <v>177.6026</v>
      </c>
      <c r="W48" s="2">
        <f>'PL1'!W23-'PL1'!W17</f>
        <v>243.82024999999999</v>
      </c>
      <c r="X48" s="2">
        <f>'PL1'!X23-'PL1'!X17</f>
        <v>234.33274000000006</v>
      </c>
      <c r="Y48" s="2">
        <f>'PL1'!Y23-'PL1'!Y17</f>
        <v>230.29813000000001</v>
      </c>
      <c r="Z48" s="2">
        <f>'PL1'!Z23-'PL1'!Z17</f>
        <v>307.36536000000007</v>
      </c>
      <c r="AA48" s="2">
        <f>'PL1'!AA23-'PL1'!AA17</f>
        <v>161.47708000000003</v>
      </c>
      <c r="AB48" s="2">
        <f>'PL1'!AB23-'PL1'!AB17</f>
        <v>374.42017000000004</v>
      </c>
      <c r="AC48" s="2">
        <f>'PL1'!AC23-'PL1'!AC17</f>
        <v>224.32191999999995</v>
      </c>
      <c r="AD48" s="2">
        <f>'PL1'!AD23-'PL1'!AD17</f>
        <v>206.71500000000003</v>
      </c>
      <c r="AE48" s="2">
        <f>'PL1'!AE23-'PL1'!AE17</f>
        <v>288.95621000000006</v>
      </c>
      <c r="AF48" s="2">
        <f>'PL1'!AF23-'PL1'!AF17</f>
        <v>166.64648</v>
      </c>
      <c r="AG48" s="2">
        <f>'PL1'!AG23-'PL1'!AG17</f>
        <v>235.67140000000006</v>
      </c>
      <c r="AH48" s="2">
        <f>'PL1'!AH23-'PL1'!AH17</f>
        <v>244.91061999999999</v>
      </c>
      <c r="AI48" s="2">
        <f>'PL1'!AI23-'PL1'!AI17</f>
        <v>238.22548999999992</v>
      </c>
      <c r="AK48" s="2">
        <f>'PL1'!AK23-'PL1'!AK17</f>
        <v>3079.4316699999995</v>
      </c>
      <c r="AL48" s="2">
        <f>'PL1'!AL23-'PL1'!AL17</f>
        <v>2771.4660399999998</v>
      </c>
      <c r="AM48" s="2">
        <f>'PL1'!AM23-'PL1'!AM17</f>
        <v>2913.3406</v>
      </c>
    </row>
    <row r="49" customFormat="1" x14ac:dyDescent="0.2"/>
    <row r="51" customFormat="1" x14ac:dyDescent="0.2"/>
    <row r="52" customFormat="1" x14ac:dyDescent="0.2"/>
    <row r="53" customFormat="1" x14ac:dyDescent="0.2"/>
    <row r="54" customFormat="1" x14ac:dyDescent="0.2"/>
    <row r="55" customFormat="1" x14ac:dyDescent="0.2"/>
  </sheetData>
  <pageMargins left="0.7" right="0.7" top="0.75" bottom="0.75" header="0.3" footer="0.3"/>
  <pageSetup orientation="landscape" r:id="rId1"/>
  <customProperties>
    <customPr name="OrphanNamesChecked" r:id="rId2"/>
  </customProperties>
  <extLst>
    <ext xmlns:x14="http://schemas.microsoft.com/office/spreadsheetml/2009/9/main" uri="{78C0D931-6437-407d-A8EE-F0AAD7539E65}">
      <x14:conditionalFormattings>
        <x14:conditionalFormatting xmlns:xm="http://schemas.microsoft.com/office/excel/2006/main">
          <x14:cfRule type="containsText" priority="1" operator="containsText" id="{9B0697DB-D0BB-42CA-8481-609890D73643}">
            <xm:f>NOT(ISERROR(SEARCH("NO",A1)))</xm:f>
            <xm:f>"NO"</xm:f>
            <x14:dxf>
              <font>
                <b/>
                <i val="0"/>
                <color rgb="FFFF0000"/>
              </font>
            </x14:dxf>
          </x14:cfRule>
          <xm:sqref>A1:A2</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D0C26-FF86-403E-A484-080C161D1832}">
  <sheetPr>
    <tabColor rgb="FF0A2463"/>
    <pageSetUpPr fitToPage="1"/>
  </sheetPr>
  <dimension ref="D8:D10"/>
  <sheetViews>
    <sheetView showGridLines="0" view="pageBreakPreview" zoomScaleNormal="100" zoomScaleSheetLayoutView="100" workbookViewId="0">
      <selection activeCell="D9" sqref="D9"/>
    </sheetView>
  </sheetViews>
  <sheetFormatPr defaultRowHeight="10" x14ac:dyDescent="0.2"/>
  <sheetData>
    <row r="8" spans="4:4" ht="13" x14ac:dyDescent="0.3">
      <c r="D8" s="1" t="s">
        <v>451</v>
      </c>
    </row>
    <row r="9" spans="4:4" x14ac:dyDescent="0.2">
      <c r="D9" t="s">
        <v>450</v>
      </c>
    </row>
    <row r="10" spans="4:4" x14ac:dyDescent="0.2">
      <c r="D10" t="s">
        <v>348</v>
      </c>
    </row>
  </sheetData>
  <pageMargins left="0.7" right="0.7" top="0.75" bottom="0.75" header="0.3" footer="0.3"/>
  <pageSetup fitToHeight="0" orientation="landscape" r:id="rId1"/>
  <customProperties>
    <customPr name="OrphanNamesChecked" r:id="rId2"/>
  </customPropertie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8B336-FB1C-4F2F-B945-8AC7BF625C78}">
  <sheetPr>
    <tabColor rgb="FFFFFF00"/>
    <pageSetUpPr fitToPage="1"/>
  </sheetPr>
  <dimension ref="A1:AM86"/>
  <sheetViews>
    <sheetView showGridLines="0" view="pageBreakPreview" zoomScaleNormal="100" zoomScaleSheetLayoutView="100" workbookViewId="0">
      <pane xSplit="4" ySplit="8" topLeftCell="AK11" activePane="bottomRight" state="frozen"/>
      <selection pane="topRight"/>
      <selection pane="bottomLeft"/>
      <selection pane="bottomRight" activeCell="C2" sqref="C2"/>
    </sheetView>
  </sheetViews>
  <sheetFormatPr defaultRowHeight="10" outlineLevelRow="2" outlineLevelCol="1" x14ac:dyDescent="0.2"/>
  <cols>
    <col min="1" max="1" width="9.33203125" hidden="1" customWidth="1" outlineLevel="1"/>
    <col min="2" max="2" width="1.77734375" customWidth="1" collapsed="1"/>
    <col min="3" max="3" width="26.77734375" bestFit="1" customWidth="1"/>
    <col min="4" max="4" width="4.33203125" hidden="1" customWidth="1" outlineLevel="1"/>
    <col min="5" max="35" width="7.77734375" hidden="1" customWidth="1" outlineLevel="1"/>
    <col min="36" max="36" width="1.77734375" hidden="1" customWidth="1" outlineLevel="1"/>
    <col min="37" max="37" width="8.77734375" customWidth="1" collapsed="1"/>
    <col min="38" max="39" width="8.77734375" customWidth="1"/>
    <col min="40" max="40" width="1.77734375" customWidth="1"/>
    <col min="41" max="44" width="7.6640625" customWidth="1"/>
  </cols>
  <sheetData>
    <row r="1" spans="1:39" ht="10.5" x14ac:dyDescent="0.25">
      <c r="A1" s="38" t="str">
        <f>IF(ROUND(SUM(E81:AN81),1)&lt;&gt;0,"NO","Yes")</f>
        <v>Yes</v>
      </c>
      <c r="C1" t="s">
        <v>451</v>
      </c>
    </row>
    <row r="2" spans="1:39" ht="10.5" x14ac:dyDescent="0.25">
      <c r="A2" s="38" t="str">
        <f>IF(COUNTIF(E81:AN81,"&gt;0.5")+COUNTIF(E81:AN81,"&lt;-0.5")&lt;1,"Yes","No")</f>
        <v>Yes</v>
      </c>
      <c r="C2" t="s">
        <v>450</v>
      </c>
    </row>
    <row r="3" spans="1:39" x14ac:dyDescent="0.2">
      <c r="A3">
        <f>2-COUNTIF(A1:A2,"Yes")</f>
        <v>0</v>
      </c>
      <c r="C3" t="s">
        <v>36</v>
      </c>
    </row>
    <row r="4" spans="1:39" x14ac:dyDescent="0.2">
      <c r="C4" t="s">
        <v>347</v>
      </c>
    </row>
    <row r="5" spans="1:39" x14ac:dyDescent="0.2">
      <c r="C5" s="37"/>
    </row>
    <row r="7" spans="1:39" ht="13.5" customHeight="1" x14ac:dyDescent="0.55000000000000004">
      <c r="C7" s="34" t="str">
        <f>C4</f>
        <v>Reported Balance Sheet</v>
      </c>
      <c r="D7" s="31"/>
      <c r="E7" s="36" t="s">
        <v>32</v>
      </c>
      <c r="F7" s="36"/>
      <c r="G7" s="36"/>
      <c r="H7" s="36"/>
      <c r="I7" s="36"/>
      <c r="J7" s="36"/>
      <c r="K7" s="36"/>
      <c r="L7" s="36"/>
      <c r="M7" s="36"/>
      <c r="N7" s="36"/>
      <c r="O7" s="36"/>
      <c r="P7" s="36"/>
      <c r="Q7" s="36" t="s">
        <v>31</v>
      </c>
      <c r="R7" s="36"/>
      <c r="S7" s="36"/>
      <c r="T7" s="36"/>
      <c r="U7" s="36"/>
      <c r="V7" s="36"/>
      <c r="W7" s="36"/>
      <c r="X7" s="36"/>
      <c r="Y7" s="36"/>
      <c r="Z7" s="36"/>
      <c r="AA7" s="36"/>
      <c r="AB7" s="36"/>
      <c r="AC7" s="36" t="s">
        <v>35</v>
      </c>
      <c r="AD7" s="36"/>
      <c r="AE7" s="36"/>
      <c r="AF7" s="36"/>
      <c r="AG7" s="36"/>
      <c r="AH7" s="36"/>
      <c r="AI7" s="36"/>
      <c r="AJ7" s="31"/>
      <c r="AK7" s="31"/>
      <c r="AL7" s="32"/>
      <c r="AM7" s="32"/>
    </row>
    <row r="8" spans="1:39" ht="10.5" x14ac:dyDescent="0.25">
      <c r="C8" s="34" t="str">
        <f>C3</f>
        <v>($ in 000s)</v>
      </c>
      <c r="D8" s="33" t="s">
        <v>33</v>
      </c>
      <c r="E8" s="32">
        <f>TB!K1</f>
        <v>45046</v>
      </c>
      <c r="F8" s="32">
        <f>TB!L1</f>
        <v>45077</v>
      </c>
      <c r="G8" s="32">
        <f>TB!M1</f>
        <v>45107</v>
      </c>
      <c r="H8" s="32">
        <f>TB!N1</f>
        <v>45138</v>
      </c>
      <c r="I8" s="32">
        <f>TB!O1</f>
        <v>45169</v>
      </c>
      <c r="J8" s="32">
        <f>TB!P1</f>
        <v>45199</v>
      </c>
      <c r="K8" s="32">
        <f>TB!Q1</f>
        <v>45230</v>
      </c>
      <c r="L8" s="32">
        <f>TB!R1</f>
        <v>45260</v>
      </c>
      <c r="M8" s="32">
        <f>TB!S1</f>
        <v>45291</v>
      </c>
      <c r="N8" s="32">
        <f>TB!T1</f>
        <v>45322</v>
      </c>
      <c r="O8" s="32">
        <f>TB!U1</f>
        <v>45351</v>
      </c>
      <c r="P8" s="32">
        <f>TB!V1</f>
        <v>45382</v>
      </c>
      <c r="Q8" s="32">
        <f>TB!W1</f>
        <v>45412</v>
      </c>
      <c r="R8" s="32">
        <f>TB!X1</f>
        <v>45443</v>
      </c>
      <c r="S8" s="32">
        <f>TB!Y1</f>
        <v>45473</v>
      </c>
      <c r="T8" s="32">
        <f>TB!Z1</f>
        <v>45504</v>
      </c>
      <c r="U8" s="32">
        <f>TB!AA1</f>
        <v>45535</v>
      </c>
      <c r="V8" s="32">
        <f>TB!AB1</f>
        <v>45565</v>
      </c>
      <c r="W8" s="32">
        <f>TB!AC1</f>
        <v>45596</v>
      </c>
      <c r="X8" s="32">
        <f>TB!AD1</f>
        <v>45626</v>
      </c>
      <c r="Y8" s="32">
        <f>TB!AE1</f>
        <v>45657</v>
      </c>
      <c r="Z8" s="32">
        <f>TB!AF1</f>
        <v>45688</v>
      </c>
      <c r="AA8" s="32">
        <f>TB!AG1</f>
        <v>45716</v>
      </c>
      <c r="AB8" s="32">
        <f>TB!AH1</f>
        <v>45747</v>
      </c>
      <c r="AC8" s="32">
        <f>TB!AI1</f>
        <v>45777</v>
      </c>
      <c r="AD8" s="32">
        <f>TB!AJ1</f>
        <v>45808</v>
      </c>
      <c r="AE8" s="32">
        <f>TB!AK1</f>
        <v>45838</v>
      </c>
      <c r="AF8" s="32">
        <f>TB!AL1</f>
        <v>45869</v>
      </c>
      <c r="AG8" s="32">
        <f>TB!AM1</f>
        <v>45900</v>
      </c>
      <c r="AH8" s="32">
        <f>TB!AN1</f>
        <v>45930</v>
      </c>
      <c r="AI8" s="32">
        <f>TB!AO1</f>
        <v>45961</v>
      </c>
      <c r="AJ8" s="31"/>
      <c r="AK8" s="32">
        <f>P8</f>
        <v>45382</v>
      </c>
      <c r="AL8" s="32">
        <f>AB8</f>
        <v>45747</v>
      </c>
      <c r="AM8" s="32">
        <f>AI8</f>
        <v>45961</v>
      </c>
    </row>
    <row r="9" spans="1:39" ht="11.25" hidden="1" customHeight="1" outlineLevel="1" x14ac:dyDescent="0.2">
      <c r="C9" t="s">
        <v>178</v>
      </c>
      <c r="D9" s="4"/>
      <c r="E9" s="29">
        <f>SUMIFS(TB!K:K,TB!$J:$J,$C9)</f>
        <v>1392.93641</v>
      </c>
      <c r="F9" s="29">
        <f>SUMIFS(TB!L:L,TB!$J:$J,$C9)</f>
        <v>1274.7818200000002</v>
      </c>
      <c r="G9" s="29">
        <f>SUMIFS(TB!M:M,TB!$J:$J,$C9)</f>
        <v>1044.7660600000002</v>
      </c>
      <c r="H9" s="29">
        <f>SUMIFS(TB!N:N,TB!$J:$J,$C9)</f>
        <v>1503.91794</v>
      </c>
      <c r="I9" s="29">
        <f>SUMIFS(TB!O:O,TB!$J:$J,$C9)</f>
        <v>1652.81621</v>
      </c>
      <c r="J9" s="29">
        <f>SUMIFS(TB!P:P,TB!$J:$J,$C9)</f>
        <v>1471.6316999999999</v>
      </c>
      <c r="K9" s="29">
        <f>SUMIFS(TB!Q:Q,TB!$J:$J,$C9)</f>
        <v>1561.2996699999999</v>
      </c>
      <c r="L9" s="29">
        <f>SUMIFS(TB!R:R,TB!$J:$J,$C9)</f>
        <v>1587.8386399999999</v>
      </c>
      <c r="M9" s="29">
        <f>SUMIFS(TB!S:S,TB!$J:$J,$C9)</f>
        <v>2715.6498700000002</v>
      </c>
      <c r="N9" s="29">
        <f>SUMIFS(TB!T:T,TB!$J:$J,$C9)</f>
        <v>3088.5361499999999</v>
      </c>
      <c r="O9" s="29">
        <f>SUMIFS(TB!U:U,TB!$J:$J,$C9)</f>
        <v>3120.50263</v>
      </c>
      <c r="P9" s="29">
        <f>SUMIFS(TB!V:V,TB!$J:$J,$C9)</f>
        <v>2226.7280599999999</v>
      </c>
      <c r="Q9" s="29">
        <f>SUMIFS(TB!W:W,TB!$J:$J,$C9)</f>
        <v>2311.9427900000001</v>
      </c>
      <c r="R9" s="29">
        <f>SUMIFS(TB!X:X,TB!$J:$J,$C9)</f>
        <v>2217.0810200000001</v>
      </c>
      <c r="S9" s="29">
        <f>SUMIFS(TB!Y:Y,TB!$J:$J,$C9)</f>
        <v>2312.1651699999998</v>
      </c>
      <c r="T9" s="29">
        <f>SUMIFS(TB!Z:Z,TB!$J:$J,$C9)</f>
        <v>2119.5666099999999</v>
      </c>
      <c r="U9" s="29">
        <f>SUMIFS(TB!AA:AA,TB!$J:$J,$C9)</f>
        <v>2118.6528900000003</v>
      </c>
      <c r="V9" s="29">
        <f>SUMIFS(TB!AB:AB,TB!$J:$J,$C9)</f>
        <v>1856.6123500000001</v>
      </c>
      <c r="W9" s="29">
        <f>SUMIFS(TB!AC:AC,TB!$J:$J,$C9)</f>
        <v>1820.1974399999999</v>
      </c>
      <c r="X9" s="29">
        <f>SUMIFS(TB!AD:AD,TB!$J:$J,$C9)</f>
        <v>2082.7491399999999</v>
      </c>
      <c r="Y9" s="29">
        <f>SUMIFS(TB!AE:AE,TB!$J:$J,$C9)</f>
        <v>2389.3520699999999</v>
      </c>
      <c r="Z9" s="29">
        <f>SUMIFS(TB!AF:AF,TB!$J:$J,$C9)</f>
        <v>3006.4507899999999</v>
      </c>
      <c r="AA9" s="29">
        <f>SUMIFS(TB!AG:AG,TB!$J:$J,$C9)</f>
        <v>2479.0816199999999</v>
      </c>
      <c r="AB9" s="29">
        <f>SUMIFS(TB!AH:AH,TB!$J:$J,$C9)</f>
        <v>2545.0138900000002</v>
      </c>
      <c r="AC9" s="29">
        <f>SUMIFS(TB!AI:AI,TB!$J:$J,$C9)</f>
        <v>2228.6963700000001</v>
      </c>
      <c r="AD9" s="29">
        <f>SUMIFS(TB!AJ:AJ,TB!$J:$J,$C9)</f>
        <v>2111.7779500000001</v>
      </c>
      <c r="AE9" s="29">
        <f>SUMIFS(TB!AK:AK,TB!$J:$J,$C9)</f>
        <v>1740.8500300000001</v>
      </c>
      <c r="AF9" s="29">
        <f>SUMIFS(TB!AL:AL,TB!$J:$J,$C9)</f>
        <v>1788.9023400000001</v>
      </c>
      <c r="AG9" s="29">
        <f>SUMIFS(TB!AM:AM,TB!$J:$J,$C9)</f>
        <v>1690.6655600000001</v>
      </c>
      <c r="AH9" s="29">
        <f>SUMIFS(TB!AN:AN,TB!$J:$J,$C9)</f>
        <v>1603.7638300000001</v>
      </c>
      <c r="AI9" s="29">
        <f>SUMIFS(TB!AO:AO,TB!$J:$J,$C9)</f>
        <v>1360.8279499999999</v>
      </c>
      <c r="AJ9" s="29"/>
      <c r="AK9" s="29">
        <f>P9</f>
        <v>2226.7280599999999</v>
      </c>
      <c r="AL9" s="29">
        <f>AB9</f>
        <v>2545.0138900000002</v>
      </c>
      <c r="AM9" s="29">
        <f>AI9</f>
        <v>1360.8279499999999</v>
      </c>
    </row>
    <row r="10" spans="1:39" ht="11.25" hidden="1" customHeight="1" outlineLevel="1" x14ac:dyDescent="0.2">
      <c r="C10" s="17" t="s">
        <v>177</v>
      </c>
      <c r="D10" s="15"/>
      <c r="E10" s="14">
        <f>SUMIFS(TB!K:K,TB!$J:$J,$C10)</f>
        <v>241.55248999999998</v>
      </c>
      <c r="F10" s="14">
        <f>SUMIFS(TB!L:L,TB!$J:$J,$C10)</f>
        <v>241.05248999999998</v>
      </c>
      <c r="G10" s="14">
        <f>SUMIFS(TB!M:M,TB!$J:$J,$C10)</f>
        <v>241.05248999999998</v>
      </c>
      <c r="H10" s="14">
        <f>SUMIFS(TB!N:N,TB!$J:$J,$C10)</f>
        <v>240.74938</v>
      </c>
      <c r="I10" s="14">
        <f>SUMIFS(TB!O:O,TB!$J:$J,$C10)</f>
        <v>240.74938</v>
      </c>
      <c r="J10" s="14">
        <f>SUMIFS(TB!P:P,TB!$J:$J,$C10)</f>
        <v>240.74938</v>
      </c>
      <c r="K10" s="14">
        <f>SUMIFS(TB!Q:Q,TB!$J:$J,$C10)</f>
        <v>240.74938</v>
      </c>
      <c r="L10" s="14">
        <f>SUMIFS(TB!R:R,TB!$J:$J,$C10)</f>
        <v>240.71333999999999</v>
      </c>
      <c r="M10" s="14">
        <f>SUMIFS(TB!S:S,TB!$J:$J,$C10)</f>
        <v>240.40911</v>
      </c>
      <c r="N10" s="14">
        <f>SUMIFS(TB!T:T,TB!$J:$J,$C10)</f>
        <v>240.40911</v>
      </c>
      <c r="O10" s="14">
        <f>SUMIFS(TB!U:U,TB!$J:$J,$C10)</f>
        <v>240.40911</v>
      </c>
      <c r="P10" s="14">
        <f>SUMIFS(TB!V:V,TB!$J:$J,$C10)</f>
        <v>240.40911</v>
      </c>
      <c r="Q10" s="14">
        <f>SUMIFS(TB!W:W,TB!$J:$J,$C10)</f>
        <v>240.40911</v>
      </c>
      <c r="R10" s="14">
        <f>SUMIFS(TB!X:X,TB!$J:$J,$C10)</f>
        <v>240.38410999999999</v>
      </c>
      <c r="S10" s="14">
        <f>SUMIFS(TB!Y:Y,TB!$J:$J,$C10)</f>
        <v>278.73410999999999</v>
      </c>
      <c r="T10" s="14">
        <f>SUMIFS(TB!Z:Z,TB!$J:$J,$C10)</f>
        <v>312.08411000000001</v>
      </c>
      <c r="U10" s="14">
        <f>SUMIFS(TB!AA:AA,TB!$J:$J,$C10)</f>
        <v>312.08411000000001</v>
      </c>
      <c r="V10" s="14">
        <f>SUMIFS(TB!AB:AB,TB!$J:$J,$C10)</f>
        <v>312.08411000000001</v>
      </c>
      <c r="W10" s="14">
        <f>SUMIFS(TB!AC:AC,TB!$J:$J,$C10)</f>
        <v>312.08411000000001</v>
      </c>
      <c r="X10" s="14">
        <f>SUMIFS(TB!AD:AD,TB!$J:$J,$C10)</f>
        <v>312.08411000000001</v>
      </c>
      <c r="Y10" s="14">
        <f>SUMIFS(TB!AE:AE,TB!$J:$J,$C10)</f>
        <v>312.08411000000001</v>
      </c>
      <c r="Z10" s="14">
        <f>SUMIFS(TB!AF:AF,TB!$J:$J,$C10)</f>
        <v>312.08411000000001</v>
      </c>
      <c r="AA10" s="14">
        <f>SUMIFS(TB!AG:AG,TB!$J:$J,$C10)</f>
        <v>312.08411000000001</v>
      </c>
      <c r="AB10" s="14">
        <f>SUMIFS(TB!AH:AH,TB!$J:$J,$C10)</f>
        <v>312.08411000000001</v>
      </c>
      <c r="AC10" s="14">
        <f>SUMIFS(TB!AI:AI,TB!$J:$J,$C10)</f>
        <v>312.05552</v>
      </c>
      <c r="AD10" s="14">
        <f>SUMIFS(TB!AJ:AJ,TB!$J:$J,$C10)</f>
        <v>312.05552</v>
      </c>
      <c r="AE10" s="14">
        <f>SUMIFS(TB!AK:AK,TB!$J:$J,$C10)</f>
        <v>365.15552000000002</v>
      </c>
      <c r="AF10" s="14">
        <f>SUMIFS(TB!AL:AL,TB!$J:$J,$C10)</f>
        <v>365.15552000000002</v>
      </c>
      <c r="AG10" s="14">
        <f>SUMIFS(TB!AM:AM,TB!$J:$J,$C10)</f>
        <v>403.25552000000005</v>
      </c>
      <c r="AH10" s="14">
        <f>SUMIFS(TB!AN:AN,TB!$J:$J,$C10)</f>
        <v>403.25552000000005</v>
      </c>
      <c r="AI10" s="14">
        <f>SUMIFS(TB!AO:AO,TB!$J:$J,$C10)</f>
        <v>403.25552000000005</v>
      </c>
      <c r="AJ10" s="14"/>
      <c r="AK10" s="14">
        <f>P10</f>
        <v>240.40911</v>
      </c>
      <c r="AL10" s="14">
        <f>AB10</f>
        <v>312.08411000000001</v>
      </c>
      <c r="AM10" s="14">
        <f>AI10</f>
        <v>403.25552000000005</v>
      </c>
    </row>
    <row r="11" spans="1:39" ht="11.25" customHeight="1" collapsed="1" x14ac:dyDescent="0.2">
      <c r="C11" t="s">
        <v>146</v>
      </c>
      <c r="D11" s="4"/>
      <c r="E11" s="29">
        <f>SUM(E9:E10)</f>
        <v>1634.4889000000001</v>
      </c>
      <c r="F11" s="29">
        <f>SUM(F9:F10)</f>
        <v>1515.8343100000002</v>
      </c>
      <c r="G11" s="29">
        <f>SUM(G9:G10)</f>
        <v>1285.8185500000002</v>
      </c>
      <c r="H11" s="29">
        <f>SUM(H9:H10)</f>
        <v>1744.66732</v>
      </c>
      <c r="I11" s="29">
        <f>SUM(I9:I10)</f>
        <v>1893.5655899999999</v>
      </c>
      <c r="J11" s="29">
        <f>SUM(J9:J10)</f>
        <v>1712.3810799999999</v>
      </c>
      <c r="K11" s="29">
        <f>SUM(K9:K10)</f>
        <v>1802.0490499999999</v>
      </c>
      <c r="L11" s="29">
        <f>SUM(L9:L10)</f>
        <v>1828.55198</v>
      </c>
      <c r="M11" s="29">
        <f>SUM(M9:M10)</f>
        <v>2956.0589800000002</v>
      </c>
      <c r="N11" s="29">
        <f>SUM(N9:N10)</f>
        <v>3328.94526</v>
      </c>
      <c r="O11" s="29">
        <f>SUM(O9:O10)</f>
        <v>3360.91174</v>
      </c>
      <c r="P11" s="29">
        <f>SUM(P9:P10)</f>
        <v>2467.13717</v>
      </c>
      <c r="Q11" s="29">
        <f>SUM(Q9:Q10)</f>
        <v>2552.3519000000001</v>
      </c>
      <c r="R11" s="29">
        <f>SUM(R9:R10)</f>
        <v>2457.46513</v>
      </c>
      <c r="S11" s="29">
        <f>SUM(S9:S10)</f>
        <v>2590.8992799999996</v>
      </c>
      <c r="T11" s="29">
        <f>SUM(T9:T10)</f>
        <v>2431.6507199999996</v>
      </c>
      <c r="U11" s="29">
        <f>SUM(U9:U10)</f>
        <v>2430.7370000000001</v>
      </c>
      <c r="V11" s="29">
        <f>SUM(V9:V10)</f>
        <v>2168.6964600000001</v>
      </c>
      <c r="W11" s="29">
        <f>SUM(W9:W10)</f>
        <v>2132.2815499999997</v>
      </c>
      <c r="X11" s="29">
        <f>SUM(X9:X10)</f>
        <v>2394.8332499999997</v>
      </c>
      <c r="Y11" s="29">
        <f>SUM(Y9:Y10)</f>
        <v>2701.4361799999997</v>
      </c>
      <c r="Z11" s="29">
        <f>SUM(Z9:Z10)</f>
        <v>3318.5348999999997</v>
      </c>
      <c r="AA11" s="29">
        <f>SUM(AA9:AA10)</f>
        <v>2791.1657299999997</v>
      </c>
      <c r="AB11" s="29">
        <f>SUM(AB9:AB10)</f>
        <v>2857.098</v>
      </c>
      <c r="AC11" s="29">
        <f>SUM(AC9:AC10)</f>
        <v>2540.75189</v>
      </c>
      <c r="AD11" s="29">
        <f>SUM(AD9:AD10)</f>
        <v>2423.83347</v>
      </c>
      <c r="AE11" s="29">
        <f>SUM(AE9:AE10)</f>
        <v>2106.0055499999999</v>
      </c>
      <c r="AF11" s="29">
        <f>SUM(AF9:AF10)</f>
        <v>2154.0578599999999</v>
      </c>
      <c r="AG11" s="29">
        <f>SUM(AG9:AG10)</f>
        <v>2093.9210800000001</v>
      </c>
      <c r="AH11" s="29">
        <f>SUM(AH9:AH10)</f>
        <v>2007.01935</v>
      </c>
      <c r="AI11" s="29">
        <f>SUM(AI9:AI10)</f>
        <v>1764.08347</v>
      </c>
      <c r="AJ11" s="29"/>
      <c r="AK11" s="29">
        <f>SUM(AK9:AK10)</f>
        <v>2467.13717</v>
      </c>
      <c r="AL11" s="29">
        <f>SUM(AL9:AL10)</f>
        <v>2857.098</v>
      </c>
      <c r="AM11" s="29">
        <f>SUM(AM9:AM10)</f>
        <v>1764.08347</v>
      </c>
    </row>
    <row r="12" spans="1:39" ht="6" hidden="1" customHeight="1" outlineLevel="1" x14ac:dyDescent="0.2">
      <c r="D12" s="4"/>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row>
    <row r="13" spans="1:39" ht="11.25" hidden="1" customHeight="1" outlineLevel="1" x14ac:dyDescent="0.2">
      <c r="C13" s="17" t="s">
        <v>176</v>
      </c>
      <c r="D13" s="15"/>
      <c r="E13" s="14">
        <f>SUMIFS(TB!K:K,TB!$J:$J,$C13)</f>
        <v>298.09100000000001</v>
      </c>
      <c r="F13" s="14">
        <f>SUMIFS(TB!L:L,TB!$J:$J,$C13)</f>
        <v>347.89449999999999</v>
      </c>
      <c r="G13" s="14">
        <f>SUMIFS(TB!M:M,TB!$J:$J,$C13)</f>
        <v>766.23199999999997</v>
      </c>
      <c r="H13" s="14">
        <f>SUMIFS(TB!N:N,TB!$J:$J,$C13)</f>
        <v>528.95699999999999</v>
      </c>
      <c r="I13" s="14">
        <f>SUMIFS(TB!O:O,TB!$J:$J,$C13)</f>
        <v>459.32799999999997</v>
      </c>
      <c r="J13" s="14">
        <f>SUMIFS(TB!P:P,TB!$J:$J,$C13)</f>
        <v>637.95600000000002</v>
      </c>
      <c r="K13" s="14">
        <f>SUMIFS(TB!Q:Q,TB!$J:$J,$C13)</f>
        <v>751.57500000000005</v>
      </c>
      <c r="L13" s="14">
        <f>SUMIFS(TB!R:R,TB!$J:$J,$C13)</f>
        <v>1371.4255000000001</v>
      </c>
      <c r="M13" s="14">
        <f>SUMIFS(TB!S:S,TB!$J:$J,$C13)</f>
        <v>911.52850000000001</v>
      </c>
      <c r="N13" s="14">
        <f>SUMIFS(TB!T:T,TB!$J:$J,$C13)</f>
        <v>371.55950000000001</v>
      </c>
      <c r="O13" s="14">
        <f>SUMIFS(TB!U:U,TB!$J:$J,$C13)</f>
        <v>371.72050000000002</v>
      </c>
      <c r="P13" s="14">
        <f>SUMIFS(TB!V:V,TB!$J:$J,$C13)</f>
        <v>636.87599999999998</v>
      </c>
      <c r="Q13" s="14">
        <f>SUMIFS(TB!W:W,TB!$J:$J,$C13)</f>
        <v>542.14649999999995</v>
      </c>
      <c r="R13" s="14">
        <f>SUMIFS(TB!X:X,TB!$J:$J,$C13)</f>
        <v>717.08450000000005</v>
      </c>
      <c r="S13" s="14">
        <f>SUMIFS(TB!Y:Y,TB!$J:$J,$C13)</f>
        <v>468.52699999999999</v>
      </c>
      <c r="T13" s="14">
        <f>SUMIFS(TB!Z:Z,TB!$J:$J,$C13)</f>
        <v>427.88400000000001</v>
      </c>
      <c r="U13" s="14">
        <f>SUMIFS(TB!AA:AA,TB!$J:$J,$C13)</f>
        <v>521.29499999999996</v>
      </c>
      <c r="V13" s="14">
        <f>SUMIFS(TB!AB:AB,TB!$J:$J,$C13)</f>
        <v>547.44899999999996</v>
      </c>
      <c r="W13" s="14">
        <f>SUMIFS(TB!AC:AC,TB!$J:$J,$C13)</f>
        <v>471.65699999999998</v>
      </c>
      <c r="X13" s="14">
        <f>SUMIFS(TB!AD:AD,TB!$J:$J,$C13)</f>
        <v>917.83900000000006</v>
      </c>
      <c r="Y13" s="14">
        <f>SUMIFS(TB!AE:AE,TB!$J:$J,$C13)</f>
        <v>1105.5360000000001</v>
      </c>
      <c r="Z13" s="14">
        <f>SUMIFS(TB!AF:AF,TB!$J:$J,$C13)</f>
        <v>329.661</v>
      </c>
      <c r="AA13" s="14">
        <f>SUMIFS(TB!AG:AG,TB!$J:$J,$C13)</f>
        <v>727.59749999999997</v>
      </c>
      <c r="AB13" s="14">
        <f>SUMIFS(TB!AH:AH,TB!$J:$J,$C13)</f>
        <v>597.9</v>
      </c>
      <c r="AC13" s="14">
        <f>SUMIFS(TB!AI:AI,TB!$J:$J,$C13)</f>
        <v>557.57299999999998</v>
      </c>
      <c r="AD13" s="14">
        <f>SUMIFS(TB!AJ:AJ,TB!$J:$J,$C13)</f>
        <v>512</v>
      </c>
      <c r="AE13" s="14">
        <f>SUMIFS(TB!AK:AK,TB!$J:$J,$C13)</f>
        <v>996.39009999999996</v>
      </c>
      <c r="AF13" s="14">
        <f>SUMIFS(TB!AL:AL,TB!$J:$J,$C13)</f>
        <v>636.00360000000001</v>
      </c>
      <c r="AG13" s="14">
        <f>SUMIFS(TB!AM:AM,TB!$J:$J,$C13)</f>
        <v>608.91700000000003</v>
      </c>
      <c r="AH13" s="14">
        <f>SUMIFS(TB!AN:AN,TB!$J:$J,$C13)</f>
        <v>836.82</v>
      </c>
      <c r="AI13" s="14">
        <f>SUMIFS(TB!AO:AO,TB!$J:$J,$C13)</f>
        <v>770.76300000000003</v>
      </c>
      <c r="AJ13" s="14"/>
      <c r="AK13" s="14">
        <f>P13</f>
        <v>636.87599999999998</v>
      </c>
      <c r="AL13" s="14">
        <f>AB13</f>
        <v>597.9</v>
      </c>
      <c r="AM13" s="14">
        <f>AI13</f>
        <v>770.76300000000003</v>
      </c>
    </row>
    <row r="14" spans="1:39" ht="11.25" customHeight="1" collapsed="1" x14ac:dyDescent="0.2">
      <c r="C14" t="s">
        <v>175</v>
      </c>
      <c r="D14" s="4"/>
      <c r="E14" s="2">
        <f>SUM(E12:E13)</f>
        <v>298.09100000000001</v>
      </c>
      <c r="F14" s="2">
        <f>SUM(F12:F13)</f>
        <v>347.89449999999999</v>
      </c>
      <c r="G14" s="2">
        <f>SUM(G12:G13)</f>
        <v>766.23199999999997</v>
      </c>
      <c r="H14" s="2">
        <f>SUM(H12:H13)</f>
        <v>528.95699999999999</v>
      </c>
      <c r="I14" s="2">
        <f>SUM(I12:I13)</f>
        <v>459.32799999999997</v>
      </c>
      <c r="J14" s="2">
        <f>SUM(J12:J13)</f>
        <v>637.95600000000002</v>
      </c>
      <c r="K14" s="2">
        <f>SUM(K12:K13)</f>
        <v>751.57500000000005</v>
      </c>
      <c r="L14" s="2">
        <f>SUM(L12:L13)</f>
        <v>1371.4255000000001</v>
      </c>
      <c r="M14" s="2">
        <f>SUM(M12:M13)</f>
        <v>911.52850000000001</v>
      </c>
      <c r="N14" s="2">
        <f>SUM(N12:N13)</f>
        <v>371.55950000000001</v>
      </c>
      <c r="O14" s="2">
        <f>SUM(O12:O13)</f>
        <v>371.72050000000002</v>
      </c>
      <c r="P14" s="2">
        <f>SUM(P12:P13)</f>
        <v>636.87599999999998</v>
      </c>
      <c r="Q14" s="2">
        <f>SUM(Q12:Q13)</f>
        <v>542.14649999999995</v>
      </c>
      <c r="R14" s="2">
        <f>SUM(R12:R13)</f>
        <v>717.08450000000005</v>
      </c>
      <c r="S14" s="2">
        <f>SUM(S12:S13)</f>
        <v>468.52699999999999</v>
      </c>
      <c r="T14" s="2">
        <f>SUM(T12:T13)</f>
        <v>427.88400000000001</v>
      </c>
      <c r="U14" s="2">
        <f>SUM(U12:U13)</f>
        <v>521.29499999999996</v>
      </c>
      <c r="V14" s="2">
        <f>SUM(V12:V13)</f>
        <v>547.44899999999996</v>
      </c>
      <c r="W14" s="2">
        <f>SUM(W12:W13)</f>
        <v>471.65699999999998</v>
      </c>
      <c r="X14" s="2">
        <f>SUM(X12:X13)</f>
        <v>917.83900000000006</v>
      </c>
      <c r="Y14" s="2">
        <f>SUM(Y12:Y13)</f>
        <v>1105.5360000000001</v>
      </c>
      <c r="Z14" s="2">
        <f>SUM(Z12:Z13)</f>
        <v>329.661</v>
      </c>
      <c r="AA14" s="2">
        <f>SUM(AA12:AA13)</f>
        <v>727.59749999999997</v>
      </c>
      <c r="AB14" s="2">
        <f>SUM(AB12:AB13)</f>
        <v>597.9</v>
      </c>
      <c r="AC14" s="2">
        <f>SUM(AC12:AC13)</f>
        <v>557.57299999999998</v>
      </c>
      <c r="AD14" s="2">
        <f>SUM(AD12:AD13)</f>
        <v>512</v>
      </c>
      <c r="AE14" s="2">
        <f>SUM(AE12:AE13)</f>
        <v>996.39009999999996</v>
      </c>
      <c r="AF14" s="2">
        <f>SUM(AF12:AF13)</f>
        <v>636.00360000000001</v>
      </c>
      <c r="AG14" s="2">
        <f>SUM(AG12:AG13)</f>
        <v>608.91700000000003</v>
      </c>
      <c r="AH14" s="2">
        <f>SUM(AH12:AH13)</f>
        <v>836.82</v>
      </c>
      <c r="AI14" s="2">
        <f>SUM(AI12:AI13)</f>
        <v>770.76300000000003</v>
      </c>
      <c r="AJ14" s="2"/>
      <c r="AK14" s="2">
        <f>SUM(AK12:AK13)</f>
        <v>636.87599999999998</v>
      </c>
      <c r="AL14" s="2">
        <f>SUM(AL12:AL13)</f>
        <v>597.9</v>
      </c>
      <c r="AM14" s="2">
        <f>SUM(AM12:AM13)</f>
        <v>770.76300000000003</v>
      </c>
    </row>
    <row r="15" spans="1:39" ht="6" hidden="1" customHeight="1" outlineLevel="1" x14ac:dyDescent="0.2">
      <c r="D15" s="4"/>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row>
    <row r="16" spans="1:39" ht="11.25" hidden="1" customHeight="1" outlineLevel="1" x14ac:dyDescent="0.2">
      <c r="C16" t="s">
        <v>174</v>
      </c>
      <c r="D16" s="4"/>
      <c r="E16" s="2">
        <f>SUMIFS(TB!K:K,TB!$J:$J,$C16)</f>
        <v>0.3</v>
      </c>
      <c r="F16" s="2">
        <f>SUMIFS(TB!L:L,TB!$J:$J,$C16)</f>
        <v>0.3</v>
      </c>
      <c r="G16" s="2">
        <f>SUMIFS(TB!M:M,TB!$J:$J,$C16)</f>
        <v>0.3</v>
      </c>
      <c r="H16" s="2">
        <f>SUMIFS(TB!N:N,TB!$J:$J,$C16)</f>
        <v>0.3</v>
      </c>
      <c r="I16" s="2">
        <f>SUMIFS(TB!O:O,TB!$J:$J,$C16)</f>
        <v>0.3</v>
      </c>
      <c r="J16" s="2">
        <f>SUMIFS(TB!P:P,TB!$J:$J,$C16)</f>
        <v>0.3</v>
      </c>
      <c r="K16" s="2">
        <f>SUMIFS(TB!Q:Q,TB!$J:$J,$C16)</f>
        <v>0.3</v>
      </c>
      <c r="L16" s="2">
        <f>SUMIFS(TB!R:R,TB!$J:$J,$C16)</f>
        <v>0.3</v>
      </c>
      <c r="M16" s="2">
        <f>SUMIFS(TB!S:S,TB!$J:$J,$C16)</f>
        <v>0.3</v>
      </c>
      <c r="N16" s="2">
        <f>SUMIFS(TB!T:T,TB!$J:$J,$C16)</f>
        <v>0.3</v>
      </c>
      <c r="O16" s="2">
        <f>SUMIFS(TB!U:U,TB!$J:$J,$C16)</f>
        <v>0.3</v>
      </c>
      <c r="P16" s="2">
        <f>SUMIFS(TB!V:V,TB!$J:$J,$C16)</f>
        <v>0.3</v>
      </c>
      <c r="Q16" s="2">
        <f>SUMIFS(TB!W:W,TB!$J:$J,$C16)</f>
        <v>0.3</v>
      </c>
      <c r="R16" s="2">
        <f>SUMIFS(TB!X:X,TB!$J:$J,$C16)</f>
        <v>0.3</v>
      </c>
      <c r="S16" s="2">
        <f>SUMIFS(TB!Y:Y,TB!$J:$J,$C16)</f>
        <v>0.3</v>
      </c>
      <c r="T16" s="2">
        <f>SUMIFS(TB!Z:Z,TB!$J:$J,$C16)</f>
        <v>0.3</v>
      </c>
      <c r="U16" s="2">
        <f>SUMIFS(TB!AA:AA,TB!$J:$J,$C16)</f>
        <v>0.3</v>
      </c>
      <c r="V16" s="2">
        <f>SUMIFS(TB!AB:AB,TB!$J:$J,$C16)</f>
        <v>2.9390000000000001</v>
      </c>
      <c r="W16" s="2">
        <f>SUMIFS(TB!AC:AC,TB!$J:$J,$C16)</f>
        <v>2.9390000000000001</v>
      </c>
      <c r="X16" s="2">
        <f>SUMIFS(TB!AD:AD,TB!$J:$J,$C16)</f>
        <v>2.9390000000000001</v>
      </c>
      <c r="Y16" s="2">
        <f>SUMIFS(TB!AE:AE,TB!$J:$J,$C16)</f>
        <v>2.9390000000000001</v>
      </c>
      <c r="Z16" s="2">
        <f>SUMIFS(TB!AF:AF,TB!$J:$J,$C16)</f>
        <v>2.9390000000000001</v>
      </c>
      <c r="AA16" s="2">
        <f>SUMIFS(TB!AG:AG,TB!$J:$J,$C16)</f>
        <v>2.9390000000000001</v>
      </c>
      <c r="AB16" s="2">
        <f>SUMIFS(TB!AH:AH,TB!$J:$J,$C16)</f>
        <v>2.9390000000000001</v>
      </c>
      <c r="AC16" s="2">
        <f>SUMIFS(TB!AI:AI,TB!$J:$J,$C16)</f>
        <v>2.9390000000000001</v>
      </c>
      <c r="AD16" s="2">
        <f>SUMIFS(TB!AJ:AJ,TB!$J:$J,$C16)</f>
        <v>2.9390000000000001</v>
      </c>
      <c r="AE16" s="2">
        <f>SUMIFS(TB!AK:AK,TB!$J:$J,$C16)</f>
        <v>2.9390000000000001</v>
      </c>
      <c r="AF16" s="2">
        <f>SUMIFS(TB!AL:AL,TB!$J:$J,$C16)</f>
        <v>2.9390000000000001</v>
      </c>
      <c r="AG16" s="2">
        <f>SUMIFS(TB!AM:AM,TB!$J:$J,$C16)</f>
        <v>2.9390000000000001</v>
      </c>
      <c r="AH16" s="2">
        <f>SUMIFS(TB!AN:AN,TB!$J:$J,$C16)</f>
        <v>2.9390000000000001</v>
      </c>
      <c r="AI16" s="2">
        <f>SUMIFS(TB!AO:AO,TB!$J:$J,$C16)</f>
        <v>2.9390000000000001</v>
      </c>
      <c r="AJ16" s="2"/>
      <c r="AK16" s="2">
        <f>P16</f>
        <v>0.3</v>
      </c>
      <c r="AL16" s="2">
        <f>AB16</f>
        <v>2.9390000000000001</v>
      </c>
      <c r="AM16" s="2">
        <f>AI16</f>
        <v>2.9390000000000001</v>
      </c>
    </row>
    <row r="17" spans="3:39" ht="11.25" hidden="1" customHeight="1" outlineLevel="1" x14ac:dyDescent="0.2">
      <c r="C17" t="s">
        <v>173</v>
      </c>
      <c r="D17" s="4"/>
      <c r="E17" s="2">
        <f>SUMIFS(TB!K:K,TB!$J:$J,$C17)</f>
        <v>0</v>
      </c>
      <c r="F17" s="2">
        <f>SUMIFS(TB!L:L,TB!$J:$J,$C17)</f>
        <v>0</v>
      </c>
      <c r="G17" s="2">
        <f>SUMIFS(TB!M:M,TB!$J:$J,$C17)</f>
        <v>0</v>
      </c>
      <c r="H17" s="2">
        <f>SUMIFS(TB!N:N,TB!$J:$J,$C17)</f>
        <v>0</v>
      </c>
      <c r="I17" s="2">
        <f>SUMIFS(TB!O:O,TB!$J:$J,$C17)</f>
        <v>0</v>
      </c>
      <c r="J17" s="2">
        <f>SUMIFS(TB!P:P,TB!$J:$J,$C17)</f>
        <v>0</v>
      </c>
      <c r="K17" s="2">
        <f>SUMIFS(TB!Q:Q,TB!$J:$J,$C17)</f>
        <v>0</v>
      </c>
      <c r="L17" s="2">
        <f>SUMIFS(TB!R:R,TB!$J:$J,$C17)</f>
        <v>0</v>
      </c>
      <c r="M17" s="2">
        <f>SUMIFS(TB!S:S,TB!$J:$J,$C17)</f>
        <v>0</v>
      </c>
      <c r="N17" s="2">
        <f>SUMIFS(TB!T:T,TB!$J:$J,$C17)</f>
        <v>0</v>
      </c>
      <c r="O17" s="2">
        <f>SUMIFS(TB!U:U,TB!$J:$J,$C17)</f>
        <v>0</v>
      </c>
      <c r="P17" s="2">
        <f>SUMIFS(TB!V:V,TB!$J:$J,$C17)</f>
        <v>0</v>
      </c>
      <c r="Q17" s="2">
        <f>SUMIFS(TB!W:W,TB!$J:$J,$C17)</f>
        <v>0</v>
      </c>
      <c r="R17" s="2">
        <f>SUMIFS(TB!X:X,TB!$J:$J,$C17)</f>
        <v>0</v>
      </c>
      <c r="S17" s="2">
        <f>SUMIFS(TB!Y:Y,TB!$J:$J,$C17)</f>
        <v>0</v>
      </c>
      <c r="T17" s="2">
        <f>SUMIFS(TB!Z:Z,TB!$J:$J,$C17)</f>
        <v>0</v>
      </c>
      <c r="U17" s="2">
        <f>SUMIFS(TB!AA:AA,TB!$J:$J,$C17)</f>
        <v>0</v>
      </c>
      <c r="V17" s="2">
        <f>SUMIFS(TB!AB:AB,TB!$J:$J,$C17)</f>
        <v>0</v>
      </c>
      <c r="W17" s="2">
        <f>SUMIFS(TB!AC:AC,TB!$J:$J,$C17)</f>
        <v>0</v>
      </c>
      <c r="X17" s="2">
        <f>SUMIFS(TB!AD:AD,TB!$J:$J,$C17)</f>
        <v>0</v>
      </c>
      <c r="Y17" s="2">
        <f>SUMIFS(TB!AE:AE,TB!$J:$J,$C17)</f>
        <v>0</v>
      </c>
      <c r="Z17" s="2">
        <f>SUMIFS(TB!AF:AF,TB!$J:$J,$C17)</f>
        <v>0</v>
      </c>
      <c r="AA17" s="2">
        <f>SUMIFS(TB!AG:AG,TB!$J:$J,$C17)</f>
        <v>1.3</v>
      </c>
      <c r="AB17" s="2">
        <f>SUMIFS(TB!AH:AH,TB!$J:$J,$C17)</f>
        <v>1.3</v>
      </c>
      <c r="AC17" s="2">
        <f>SUMIFS(TB!AI:AI,TB!$J:$J,$C17)</f>
        <v>1.3</v>
      </c>
      <c r="AD17" s="2">
        <f>SUMIFS(TB!AJ:AJ,TB!$J:$J,$C17)</f>
        <v>1.3</v>
      </c>
      <c r="AE17" s="2">
        <f>SUMIFS(TB!AK:AK,TB!$J:$J,$C17)</f>
        <v>1.3</v>
      </c>
      <c r="AF17" s="2">
        <f>SUMIFS(TB!AL:AL,TB!$J:$J,$C17)</f>
        <v>1.3</v>
      </c>
      <c r="AG17" s="2">
        <f>SUMIFS(TB!AM:AM,TB!$J:$J,$C17)</f>
        <v>1.3</v>
      </c>
      <c r="AH17" s="2">
        <f>SUMIFS(TB!AN:AN,TB!$J:$J,$C17)</f>
        <v>1.3</v>
      </c>
      <c r="AI17" s="2">
        <f>SUMIFS(TB!AO:AO,TB!$J:$J,$C17)</f>
        <v>1.3</v>
      </c>
      <c r="AJ17" s="2"/>
      <c r="AK17" s="2">
        <f>P17</f>
        <v>0</v>
      </c>
      <c r="AL17" s="2">
        <f>AB17</f>
        <v>1.3</v>
      </c>
      <c r="AM17" s="2">
        <f>AI17</f>
        <v>1.3</v>
      </c>
    </row>
    <row r="18" spans="3:39" ht="11.25" hidden="1" customHeight="1" outlineLevel="1" x14ac:dyDescent="0.2">
      <c r="C18" t="s">
        <v>172</v>
      </c>
      <c r="D18" s="4"/>
      <c r="E18" s="2">
        <f>SUMIFS(TB!K:K,TB!$J:$J,$C18)</f>
        <v>0</v>
      </c>
      <c r="F18" s="2">
        <f>SUMIFS(TB!L:L,TB!$J:$J,$C18)</f>
        <v>0</v>
      </c>
      <c r="G18" s="2">
        <f>SUMIFS(TB!M:M,TB!$J:$J,$C18)</f>
        <v>0</v>
      </c>
      <c r="H18" s="2">
        <f>SUMIFS(TB!N:N,TB!$J:$J,$C18)</f>
        <v>5.2520000000000004E-2</v>
      </c>
      <c r="I18" s="2">
        <f>SUMIFS(TB!O:O,TB!$J:$J,$C18)</f>
        <v>5.2520000000000004E-2</v>
      </c>
      <c r="J18" s="2">
        <f>SUMIFS(TB!P:P,TB!$J:$J,$C18)</f>
        <v>5.2520000000000004E-2</v>
      </c>
      <c r="K18" s="2">
        <f>SUMIFS(TB!Q:Q,TB!$J:$J,$C18)</f>
        <v>5.2520000000000004E-2</v>
      </c>
      <c r="L18" s="2">
        <f>SUMIFS(TB!R:R,TB!$J:$J,$C18)</f>
        <v>5.2520000000000004E-2</v>
      </c>
      <c r="M18" s="2">
        <f>SUMIFS(TB!S:S,TB!$J:$J,$C18)</f>
        <v>5.2520000000000004E-2</v>
      </c>
      <c r="N18" s="2">
        <f>SUMIFS(TB!T:T,TB!$J:$J,$C18)</f>
        <v>5.2520000000000004E-2</v>
      </c>
      <c r="O18" s="2">
        <f>SUMIFS(TB!U:U,TB!$J:$J,$C18)</f>
        <v>5.2520000000000004E-2</v>
      </c>
      <c r="P18" s="2">
        <f>SUMIFS(TB!V:V,TB!$J:$J,$C18)</f>
        <v>5.2520000000000004E-2</v>
      </c>
      <c r="Q18" s="2">
        <f>SUMIFS(TB!W:W,TB!$J:$J,$C18)</f>
        <v>5.2520000000000004E-2</v>
      </c>
      <c r="R18" s="2">
        <f>SUMIFS(TB!X:X,TB!$J:$J,$C18)</f>
        <v>5.2520000000000004E-2</v>
      </c>
      <c r="S18" s="2">
        <f>SUMIFS(TB!Y:Y,TB!$J:$J,$C18)</f>
        <v>5.2520000000000004E-2</v>
      </c>
      <c r="T18" s="2">
        <f>SUMIFS(TB!Z:Z,TB!$J:$J,$C18)</f>
        <v>5.2520000000000004E-2</v>
      </c>
      <c r="U18" s="2">
        <f>SUMIFS(TB!AA:AA,TB!$J:$J,$C18)</f>
        <v>5.2520000000000004E-2</v>
      </c>
      <c r="V18" s="2">
        <f>SUMIFS(TB!AB:AB,TB!$J:$J,$C18)</f>
        <v>5.2520000000000004E-2</v>
      </c>
      <c r="W18" s="2">
        <f>SUMIFS(TB!AC:AC,TB!$J:$J,$C18)</f>
        <v>5.2520000000000004E-2</v>
      </c>
      <c r="X18" s="2">
        <f>SUMIFS(TB!AD:AD,TB!$J:$J,$C18)</f>
        <v>5.2520000000000004E-2</v>
      </c>
      <c r="Y18" s="2">
        <f>SUMIFS(TB!AE:AE,TB!$J:$J,$C18)</f>
        <v>5.2520000000000004E-2</v>
      </c>
      <c r="Z18" s="2">
        <f>SUMIFS(TB!AF:AF,TB!$J:$J,$C18)</f>
        <v>5.2520000000000004E-2</v>
      </c>
      <c r="AA18" s="2">
        <f>SUMIFS(TB!AG:AG,TB!$J:$J,$C18)</f>
        <v>5.2520000000000004E-2</v>
      </c>
      <c r="AB18" s="2">
        <f>SUMIFS(TB!AH:AH,TB!$J:$J,$C18)</f>
        <v>5.2520000000000004E-2</v>
      </c>
      <c r="AC18" s="2">
        <f>SUMIFS(TB!AI:AI,TB!$J:$J,$C18)</f>
        <v>5.2520000000000004E-2</v>
      </c>
      <c r="AD18" s="2">
        <f>SUMIFS(TB!AJ:AJ,TB!$J:$J,$C18)</f>
        <v>5.2520000000000004E-2</v>
      </c>
      <c r="AE18" s="2">
        <f>SUMIFS(TB!AK:AK,TB!$J:$J,$C18)</f>
        <v>5.2520000000000004E-2</v>
      </c>
      <c r="AF18" s="2">
        <f>SUMIFS(TB!AL:AL,TB!$J:$J,$C18)</f>
        <v>5.2520000000000004E-2</v>
      </c>
      <c r="AG18" s="2">
        <f>SUMIFS(TB!AM:AM,TB!$J:$J,$C18)</f>
        <v>5.2520000000000004E-2</v>
      </c>
      <c r="AH18" s="2">
        <f>SUMIFS(TB!AN:AN,TB!$J:$J,$C18)</f>
        <v>5.2520000000000004E-2</v>
      </c>
      <c r="AI18" s="2">
        <f>SUMIFS(TB!AO:AO,TB!$J:$J,$C18)</f>
        <v>5.2520000000000004E-2</v>
      </c>
      <c r="AJ18" s="2"/>
      <c r="AK18" s="2">
        <f>P18</f>
        <v>5.2520000000000004E-2</v>
      </c>
      <c r="AL18" s="2">
        <f>AB18</f>
        <v>5.2520000000000004E-2</v>
      </c>
      <c r="AM18" s="2">
        <f>AI18</f>
        <v>5.2520000000000004E-2</v>
      </c>
    </row>
    <row r="19" spans="3:39" ht="11.25" hidden="1" customHeight="1" outlineLevel="1" x14ac:dyDescent="0.2">
      <c r="C19" t="s">
        <v>171</v>
      </c>
      <c r="D19" s="4"/>
      <c r="E19" s="2">
        <f>SUMIFS(TB!K:K,TB!$J:$J,$C19)</f>
        <v>2.887E-2</v>
      </c>
      <c r="F19" s="2">
        <f>SUMIFS(TB!L:L,TB!$J:$J,$C19)</f>
        <v>2.887E-2</v>
      </c>
      <c r="G19" s="2">
        <f>SUMIFS(TB!M:M,TB!$J:$J,$C19)</f>
        <v>2.887E-2</v>
      </c>
      <c r="H19" s="2">
        <f>SUMIFS(TB!N:N,TB!$J:$J,$C19)</f>
        <v>2.887E-2</v>
      </c>
      <c r="I19" s="2">
        <f>SUMIFS(TB!O:O,TB!$J:$J,$C19)</f>
        <v>2.887E-2</v>
      </c>
      <c r="J19" s="2">
        <f>SUMIFS(TB!P:P,TB!$J:$J,$C19)</f>
        <v>2.887E-2</v>
      </c>
      <c r="K19" s="2">
        <f>SUMIFS(TB!Q:Q,TB!$J:$J,$C19)</f>
        <v>0</v>
      </c>
      <c r="L19" s="2">
        <f>SUMIFS(TB!R:R,TB!$J:$J,$C19)</f>
        <v>0</v>
      </c>
      <c r="M19" s="2">
        <f>SUMIFS(TB!S:S,TB!$J:$J,$C19)</f>
        <v>0</v>
      </c>
      <c r="N19" s="2">
        <f>SUMIFS(TB!T:T,TB!$J:$J,$C19)</f>
        <v>0</v>
      </c>
      <c r="O19" s="2">
        <f>SUMIFS(TB!U:U,TB!$J:$J,$C19)</f>
        <v>0</v>
      </c>
      <c r="P19" s="2">
        <f>SUMIFS(TB!V:V,TB!$J:$J,$C19)</f>
        <v>0</v>
      </c>
      <c r="Q19" s="2">
        <f>SUMIFS(TB!W:W,TB!$J:$J,$C19)</f>
        <v>0</v>
      </c>
      <c r="R19" s="2">
        <f>SUMIFS(TB!X:X,TB!$J:$J,$C19)</f>
        <v>0</v>
      </c>
      <c r="S19" s="2">
        <f>SUMIFS(TB!Y:Y,TB!$J:$J,$C19)</f>
        <v>0</v>
      </c>
      <c r="T19" s="2">
        <f>SUMIFS(TB!Z:Z,TB!$J:$J,$C19)</f>
        <v>0</v>
      </c>
      <c r="U19" s="2">
        <f>SUMIFS(TB!AA:AA,TB!$J:$J,$C19)</f>
        <v>0</v>
      </c>
      <c r="V19" s="2">
        <f>SUMIFS(TB!AB:AB,TB!$J:$J,$C19)</f>
        <v>0</v>
      </c>
      <c r="W19" s="2">
        <f>SUMIFS(TB!AC:AC,TB!$J:$J,$C19)</f>
        <v>0</v>
      </c>
      <c r="X19" s="2">
        <f>SUMIFS(TB!AD:AD,TB!$J:$J,$C19)</f>
        <v>0</v>
      </c>
      <c r="Y19" s="2">
        <f>SUMIFS(TB!AE:AE,TB!$J:$J,$C19)</f>
        <v>0</v>
      </c>
      <c r="Z19" s="2">
        <f>SUMIFS(TB!AF:AF,TB!$J:$J,$C19)</f>
        <v>0</v>
      </c>
      <c r="AA19" s="2">
        <f>SUMIFS(TB!AG:AG,TB!$J:$J,$C19)</f>
        <v>0</v>
      </c>
      <c r="AB19" s="2">
        <f>SUMIFS(TB!AH:AH,TB!$J:$J,$C19)</f>
        <v>0</v>
      </c>
      <c r="AC19" s="2">
        <f>SUMIFS(TB!AI:AI,TB!$J:$J,$C19)</f>
        <v>0</v>
      </c>
      <c r="AD19" s="2">
        <f>SUMIFS(TB!AJ:AJ,TB!$J:$J,$C19)</f>
        <v>0</v>
      </c>
      <c r="AE19" s="2">
        <f>SUMIFS(TB!AK:AK,TB!$J:$J,$C19)</f>
        <v>0</v>
      </c>
      <c r="AF19" s="2">
        <f>SUMIFS(TB!AL:AL,TB!$J:$J,$C19)</f>
        <v>0</v>
      </c>
      <c r="AG19" s="2">
        <f>SUMIFS(TB!AM:AM,TB!$J:$J,$C19)</f>
        <v>0</v>
      </c>
      <c r="AH19" s="2">
        <f>SUMIFS(TB!AN:AN,TB!$J:$J,$C19)</f>
        <v>0</v>
      </c>
      <c r="AI19" s="2">
        <f>SUMIFS(TB!AO:AO,TB!$J:$J,$C19)</f>
        <v>0</v>
      </c>
      <c r="AJ19" s="2"/>
      <c r="AK19" s="2">
        <f>P19</f>
        <v>0</v>
      </c>
      <c r="AL19" s="2">
        <f>AB19</f>
        <v>0</v>
      </c>
      <c r="AM19" s="2">
        <f>AI19</f>
        <v>0</v>
      </c>
    </row>
    <row r="20" spans="3:39" ht="11.25" hidden="1" customHeight="1" outlineLevel="1" x14ac:dyDescent="0.2">
      <c r="C20" t="s">
        <v>170</v>
      </c>
      <c r="D20" s="4"/>
      <c r="E20" s="2">
        <f>SUMIFS(TB!K:K,TB!$J:$J,$C20)</f>
        <v>4.1930000000000002E-2</v>
      </c>
      <c r="F20" s="2">
        <f>SUMIFS(TB!L:L,TB!$J:$J,$C20)</f>
        <v>4.1930000000000002E-2</v>
      </c>
      <c r="G20" s="2">
        <f>SUMIFS(TB!M:M,TB!$J:$J,$C20)</f>
        <v>4.1930000000000002E-2</v>
      </c>
      <c r="H20" s="2">
        <f>SUMIFS(TB!N:N,TB!$J:$J,$C20)</f>
        <v>4.1930000000000002E-2</v>
      </c>
      <c r="I20" s="2">
        <f>SUMIFS(TB!O:O,TB!$J:$J,$C20)</f>
        <v>4.1930000000000002E-2</v>
      </c>
      <c r="J20" s="2">
        <f>SUMIFS(TB!P:P,TB!$J:$J,$C20)</f>
        <v>4.1930000000000002E-2</v>
      </c>
      <c r="K20" s="2">
        <f>SUMIFS(TB!Q:Q,TB!$J:$J,$C20)</f>
        <v>0</v>
      </c>
      <c r="L20" s="2">
        <f>SUMIFS(TB!R:R,TB!$J:$J,$C20)</f>
        <v>0</v>
      </c>
      <c r="M20" s="2">
        <f>SUMIFS(TB!S:S,TB!$J:$J,$C20)</f>
        <v>0</v>
      </c>
      <c r="N20" s="2">
        <f>SUMIFS(TB!T:T,TB!$J:$J,$C20)</f>
        <v>0</v>
      </c>
      <c r="O20" s="2">
        <f>SUMIFS(TB!U:U,TB!$J:$J,$C20)</f>
        <v>0</v>
      </c>
      <c r="P20" s="2">
        <f>SUMIFS(TB!V:V,TB!$J:$J,$C20)</f>
        <v>0</v>
      </c>
      <c r="Q20" s="2">
        <f>SUMIFS(TB!W:W,TB!$J:$J,$C20)</f>
        <v>0</v>
      </c>
      <c r="R20" s="2">
        <f>SUMIFS(TB!X:X,TB!$J:$J,$C20)</f>
        <v>0</v>
      </c>
      <c r="S20" s="2">
        <f>SUMIFS(TB!Y:Y,TB!$J:$J,$C20)</f>
        <v>0</v>
      </c>
      <c r="T20" s="2">
        <f>SUMIFS(TB!Z:Z,TB!$J:$J,$C20)</f>
        <v>0</v>
      </c>
      <c r="U20" s="2">
        <f>SUMIFS(TB!AA:AA,TB!$J:$J,$C20)</f>
        <v>0</v>
      </c>
      <c r="V20" s="2">
        <f>SUMIFS(TB!AB:AB,TB!$J:$J,$C20)</f>
        <v>0</v>
      </c>
      <c r="W20" s="2">
        <f>SUMIFS(TB!AC:AC,TB!$J:$J,$C20)</f>
        <v>0</v>
      </c>
      <c r="X20" s="2">
        <f>SUMIFS(TB!AD:AD,TB!$J:$J,$C20)</f>
        <v>0</v>
      </c>
      <c r="Y20" s="2">
        <f>SUMIFS(TB!AE:AE,TB!$J:$J,$C20)</f>
        <v>0</v>
      </c>
      <c r="Z20" s="2">
        <f>SUMIFS(TB!AF:AF,TB!$J:$J,$C20)</f>
        <v>0</v>
      </c>
      <c r="AA20" s="2">
        <f>SUMIFS(TB!AG:AG,TB!$J:$J,$C20)</f>
        <v>0</v>
      </c>
      <c r="AB20" s="2">
        <f>SUMIFS(TB!AH:AH,TB!$J:$J,$C20)</f>
        <v>0</v>
      </c>
      <c r="AC20" s="2">
        <f>SUMIFS(TB!AI:AI,TB!$J:$J,$C20)</f>
        <v>0</v>
      </c>
      <c r="AD20" s="2">
        <f>SUMIFS(TB!AJ:AJ,TB!$J:$J,$C20)</f>
        <v>0</v>
      </c>
      <c r="AE20" s="2">
        <f>SUMIFS(TB!AK:AK,TB!$J:$J,$C20)</f>
        <v>0</v>
      </c>
      <c r="AF20" s="2">
        <f>SUMIFS(TB!AL:AL,TB!$J:$J,$C20)</f>
        <v>0</v>
      </c>
      <c r="AG20" s="2">
        <f>SUMIFS(TB!AM:AM,TB!$J:$J,$C20)</f>
        <v>0</v>
      </c>
      <c r="AH20" s="2">
        <f>SUMIFS(TB!AN:AN,TB!$J:$J,$C20)</f>
        <v>0</v>
      </c>
      <c r="AI20" s="2">
        <f>SUMIFS(TB!AO:AO,TB!$J:$J,$C20)</f>
        <v>0</v>
      </c>
      <c r="AJ20" s="2"/>
      <c r="AK20" s="2">
        <f>P20</f>
        <v>0</v>
      </c>
      <c r="AL20" s="2">
        <f>AB20</f>
        <v>0</v>
      </c>
      <c r="AM20" s="2">
        <f>AI20</f>
        <v>0</v>
      </c>
    </row>
    <row r="21" spans="3:39" ht="11.25" hidden="1" customHeight="1" outlineLevel="1" x14ac:dyDescent="0.2">
      <c r="C21" s="17" t="s">
        <v>169</v>
      </c>
      <c r="D21" s="15"/>
      <c r="E21" s="14">
        <f>SUMIFS(TB!K:K,TB!$J:$J,$C21)</f>
        <v>0</v>
      </c>
      <c r="F21" s="14">
        <f>SUMIFS(TB!L:L,TB!$J:$J,$C21)</f>
        <v>0</v>
      </c>
      <c r="G21" s="14">
        <f>SUMIFS(TB!M:M,TB!$J:$J,$C21)</f>
        <v>0</v>
      </c>
      <c r="H21" s="14">
        <f>SUMIFS(TB!N:N,TB!$J:$J,$C21)</f>
        <v>0</v>
      </c>
      <c r="I21" s="14">
        <f>SUMIFS(TB!O:O,TB!$J:$J,$C21)</f>
        <v>0</v>
      </c>
      <c r="J21" s="14">
        <f>SUMIFS(TB!P:P,TB!$J:$J,$C21)</f>
        <v>0</v>
      </c>
      <c r="K21" s="14">
        <f>SUMIFS(TB!Q:Q,TB!$J:$J,$C21)</f>
        <v>0</v>
      </c>
      <c r="L21" s="14">
        <f>SUMIFS(TB!R:R,TB!$J:$J,$C21)</f>
        <v>0</v>
      </c>
      <c r="M21" s="14">
        <f>SUMIFS(TB!S:S,TB!$J:$J,$C21)</f>
        <v>0</v>
      </c>
      <c r="N21" s="14">
        <f>SUMIFS(TB!T:T,TB!$J:$J,$C21)</f>
        <v>0</v>
      </c>
      <c r="O21" s="14">
        <f>SUMIFS(TB!U:U,TB!$J:$J,$C21)</f>
        <v>0</v>
      </c>
      <c r="P21" s="14">
        <f>SUMIFS(TB!V:V,TB!$J:$J,$C21)</f>
        <v>0</v>
      </c>
      <c r="Q21" s="14">
        <f>SUMIFS(TB!W:W,TB!$J:$J,$C21)</f>
        <v>0</v>
      </c>
      <c r="R21" s="14">
        <f>SUMIFS(TB!X:X,TB!$J:$J,$C21)</f>
        <v>0</v>
      </c>
      <c r="S21" s="14">
        <f>SUMIFS(TB!Y:Y,TB!$J:$J,$C21)</f>
        <v>0</v>
      </c>
      <c r="T21" s="14">
        <f>SUMIFS(TB!Z:Z,TB!$J:$J,$C21)</f>
        <v>0</v>
      </c>
      <c r="U21" s="14">
        <f>SUMIFS(TB!AA:AA,TB!$J:$J,$C21)</f>
        <v>0.02</v>
      </c>
      <c r="V21" s="14">
        <f>SUMIFS(TB!AB:AB,TB!$J:$J,$C21)</f>
        <v>0</v>
      </c>
      <c r="W21" s="14">
        <f>SUMIFS(TB!AC:AC,TB!$J:$J,$C21)</f>
        <v>0</v>
      </c>
      <c r="X21" s="14">
        <f>SUMIFS(TB!AD:AD,TB!$J:$J,$C21)</f>
        <v>0</v>
      </c>
      <c r="Y21" s="14">
        <f>SUMIFS(TB!AE:AE,TB!$J:$J,$C21)</f>
        <v>0</v>
      </c>
      <c r="Z21" s="14">
        <f>SUMIFS(TB!AF:AF,TB!$J:$J,$C21)</f>
        <v>0</v>
      </c>
      <c r="AA21" s="14">
        <f>SUMIFS(TB!AG:AG,TB!$J:$J,$C21)</f>
        <v>0</v>
      </c>
      <c r="AB21" s="14">
        <f>SUMIFS(TB!AH:AH,TB!$J:$J,$C21)</f>
        <v>0</v>
      </c>
      <c r="AC21" s="14">
        <f>SUMIFS(TB!AI:AI,TB!$J:$J,$C21)</f>
        <v>0</v>
      </c>
      <c r="AD21" s="14">
        <f>SUMIFS(TB!AJ:AJ,TB!$J:$J,$C21)</f>
        <v>0</v>
      </c>
      <c r="AE21" s="14">
        <f>SUMIFS(TB!AK:AK,TB!$J:$J,$C21)</f>
        <v>0</v>
      </c>
      <c r="AF21" s="14">
        <f>SUMIFS(TB!AL:AL,TB!$J:$J,$C21)</f>
        <v>0</v>
      </c>
      <c r="AG21" s="14">
        <f>SUMIFS(TB!AM:AM,TB!$J:$J,$C21)</f>
        <v>0</v>
      </c>
      <c r="AH21" s="14">
        <f>SUMIFS(TB!AN:AN,TB!$J:$J,$C21)</f>
        <v>0</v>
      </c>
      <c r="AI21" s="14">
        <f>SUMIFS(TB!AO:AO,TB!$J:$J,$C21)</f>
        <v>0</v>
      </c>
      <c r="AJ21" s="14"/>
      <c r="AK21" s="14">
        <f>P21</f>
        <v>0</v>
      </c>
      <c r="AL21" s="14">
        <f>AB21</f>
        <v>0</v>
      </c>
      <c r="AM21" s="14">
        <f>AI21</f>
        <v>0</v>
      </c>
    </row>
    <row r="22" spans="3:39" ht="11.25" customHeight="1" collapsed="1" x14ac:dyDescent="0.2">
      <c r="C22" t="s">
        <v>168</v>
      </c>
      <c r="D22" s="4"/>
      <c r="E22" s="2">
        <f>SUM(E15:E21)</f>
        <v>0.37080000000000002</v>
      </c>
      <c r="F22" s="2">
        <f>SUM(F15:F21)</f>
        <v>0.37080000000000002</v>
      </c>
      <c r="G22" s="2">
        <f>SUM(G15:G21)</f>
        <v>0.37080000000000002</v>
      </c>
      <c r="H22" s="2">
        <f>SUM(H15:H21)</f>
        <v>0.42332000000000003</v>
      </c>
      <c r="I22" s="2">
        <f>SUM(I15:I21)</f>
        <v>0.42332000000000003</v>
      </c>
      <c r="J22" s="2">
        <f>SUM(J15:J21)</f>
        <v>0.42332000000000003</v>
      </c>
      <c r="K22" s="2">
        <f>SUM(K15:K21)</f>
        <v>0.35252</v>
      </c>
      <c r="L22" s="2">
        <f>SUM(L15:L21)</f>
        <v>0.35252</v>
      </c>
      <c r="M22" s="2">
        <f>SUM(M15:M21)</f>
        <v>0.35252</v>
      </c>
      <c r="N22" s="2">
        <f>SUM(N15:N21)</f>
        <v>0.35252</v>
      </c>
      <c r="O22" s="2">
        <f>SUM(O15:O21)</f>
        <v>0.35252</v>
      </c>
      <c r="P22" s="2">
        <f>SUM(P15:P21)</f>
        <v>0.35252</v>
      </c>
      <c r="Q22" s="2">
        <f>SUM(Q15:Q21)</f>
        <v>0.35252</v>
      </c>
      <c r="R22" s="2">
        <f>SUM(R15:R21)</f>
        <v>0.35252</v>
      </c>
      <c r="S22" s="2">
        <f>SUM(S15:S21)</f>
        <v>0.35252</v>
      </c>
      <c r="T22" s="2">
        <f>SUM(T15:T21)</f>
        <v>0.35252</v>
      </c>
      <c r="U22" s="2">
        <f>SUM(U15:U21)</f>
        <v>0.37252000000000002</v>
      </c>
      <c r="V22" s="2">
        <f>SUM(V15:V21)</f>
        <v>2.99152</v>
      </c>
      <c r="W22" s="2">
        <f>SUM(W15:W21)</f>
        <v>2.99152</v>
      </c>
      <c r="X22" s="2">
        <f>SUM(X15:X21)</f>
        <v>2.99152</v>
      </c>
      <c r="Y22" s="2">
        <f>SUM(Y15:Y21)</f>
        <v>2.99152</v>
      </c>
      <c r="Z22" s="2">
        <f>SUM(Z15:Z21)</f>
        <v>2.99152</v>
      </c>
      <c r="AA22" s="2">
        <f>SUM(AA15:AA21)</f>
        <v>4.2915200000000002</v>
      </c>
      <c r="AB22" s="2">
        <f>SUM(AB15:AB21)</f>
        <v>4.2915200000000002</v>
      </c>
      <c r="AC22" s="2">
        <f>SUM(AC15:AC21)</f>
        <v>4.2915200000000002</v>
      </c>
      <c r="AD22" s="2">
        <f>SUM(AD15:AD21)</f>
        <v>4.2915200000000002</v>
      </c>
      <c r="AE22" s="2">
        <f>SUM(AE15:AE21)</f>
        <v>4.2915200000000002</v>
      </c>
      <c r="AF22" s="2">
        <f>SUM(AF15:AF21)</f>
        <v>4.2915200000000002</v>
      </c>
      <c r="AG22" s="2">
        <f>SUM(AG15:AG21)</f>
        <v>4.2915200000000002</v>
      </c>
      <c r="AH22" s="2">
        <f>SUM(AH15:AH21)</f>
        <v>4.2915200000000002</v>
      </c>
      <c r="AI22" s="2">
        <f>SUM(AI15:AI21)</f>
        <v>4.2915200000000002</v>
      </c>
      <c r="AJ22" s="2"/>
      <c r="AK22" s="2">
        <f>SUM(AK15:AK21)</f>
        <v>0.35252</v>
      </c>
      <c r="AL22" s="2">
        <f>SUM(AL15:AL21)</f>
        <v>4.2915200000000002</v>
      </c>
      <c r="AM22" s="2">
        <f>SUM(AM15:AM21)</f>
        <v>4.2915200000000002</v>
      </c>
    </row>
    <row r="23" spans="3:39" ht="6" hidden="1" customHeight="1" outlineLevel="1" x14ac:dyDescent="0.2">
      <c r="D23" s="4"/>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row>
    <row r="24" spans="3:39" ht="11.25" hidden="1" customHeight="1" outlineLevel="1" x14ac:dyDescent="0.2">
      <c r="C24" s="17" t="s">
        <v>167</v>
      </c>
      <c r="D24" s="15"/>
      <c r="E24" s="14">
        <f>SUMIFS(TB!K:K,TB!$J:$J,$C24)</f>
        <v>0</v>
      </c>
      <c r="F24" s="14">
        <f>SUMIFS(TB!L:L,TB!$J:$J,$C24)</f>
        <v>0</v>
      </c>
      <c r="G24" s="14">
        <f>SUMIFS(TB!M:M,TB!$J:$J,$C24)</f>
        <v>0</v>
      </c>
      <c r="H24" s="14">
        <f>SUMIFS(TB!N:N,TB!$J:$J,$C24)</f>
        <v>0</v>
      </c>
      <c r="I24" s="14">
        <f>SUMIFS(TB!O:O,TB!$J:$J,$C24)</f>
        <v>0</v>
      </c>
      <c r="J24" s="14">
        <f>SUMIFS(TB!P:P,TB!$J:$J,$C24)</f>
        <v>0</v>
      </c>
      <c r="K24" s="14">
        <f>SUMIFS(TB!Q:Q,TB!$J:$J,$C24)</f>
        <v>0</v>
      </c>
      <c r="L24" s="14">
        <f>SUMIFS(TB!R:R,TB!$J:$J,$C24)</f>
        <v>0</v>
      </c>
      <c r="M24" s="14">
        <f>SUMIFS(TB!S:S,TB!$J:$J,$C24)</f>
        <v>-5</v>
      </c>
      <c r="N24" s="14">
        <f>SUMIFS(TB!T:T,TB!$J:$J,$C24)</f>
        <v>-5</v>
      </c>
      <c r="O24" s="14">
        <f>SUMIFS(TB!U:U,TB!$J:$J,$C24)</f>
        <v>-5</v>
      </c>
      <c r="P24" s="14">
        <f>SUMIFS(TB!V:V,TB!$J:$J,$C24)</f>
        <v>-5</v>
      </c>
      <c r="Q24" s="14">
        <f>SUMIFS(TB!W:W,TB!$J:$J,$C24)</f>
        <v>0</v>
      </c>
      <c r="R24" s="14">
        <f>SUMIFS(TB!X:X,TB!$J:$J,$C24)</f>
        <v>0</v>
      </c>
      <c r="S24" s="14">
        <f>SUMIFS(TB!Y:Y,TB!$J:$J,$C24)</f>
        <v>0</v>
      </c>
      <c r="T24" s="14">
        <f>SUMIFS(TB!Z:Z,TB!$J:$J,$C24)</f>
        <v>0</v>
      </c>
      <c r="U24" s="14">
        <f>SUMIFS(TB!AA:AA,TB!$J:$J,$C24)</f>
        <v>0</v>
      </c>
      <c r="V24" s="14">
        <f>SUMIFS(TB!AB:AB,TB!$J:$J,$C24)</f>
        <v>0</v>
      </c>
      <c r="W24" s="14">
        <f>SUMIFS(TB!AC:AC,TB!$J:$J,$C24)</f>
        <v>0</v>
      </c>
      <c r="X24" s="14">
        <f>SUMIFS(TB!AD:AD,TB!$J:$J,$C24)</f>
        <v>0</v>
      </c>
      <c r="Y24" s="14">
        <f>SUMIFS(TB!AE:AE,TB!$J:$J,$C24)</f>
        <v>0</v>
      </c>
      <c r="Z24" s="14">
        <f>SUMIFS(TB!AF:AF,TB!$J:$J,$C24)</f>
        <v>0</v>
      </c>
      <c r="AA24" s="14">
        <f>SUMIFS(TB!AG:AG,TB!$J:$J,$C24)</f>
        <v>0</v>
      </c>
      <c r="AB24" s="14">
        <f>SUMIFS(TB!AH:AH,TB!$J:$J,$C24)</f>
        <v>0</v>
      </c>
      <c r="AC24" s="14">
        <f>SUMIFS(TB!AI:AI,TB!$J:$J,$C24)</f>
        <v>0</v>
      </c>
      <c r="AD24" s="14">
        <f>SUMIFS(TB!AJ:AJ,TB!$J:$J,$C24)</f>
        <v>0</v>
      </c>
      <c r="AE24" s="14">
        <f>SUMIFS(TB!AK:AK,TB!$J:$J,$C24)</f>
        <v>0</v>
      </c>
      <c r="AF24" s="14">
        <f>SUMIFS(TB!AL:AL,TB!$J:$J,$C24)</f>
        <v>0</v>
      </c>
      <c r="AG24" s="14">
        <f>SUMIFS(TB!AM:AM,TB!$J:$J,$C24)</f>
        <v>0</v>
      </c>
      <c r="AH24" s="14">
        <f>SUMIFS(TB!AN:AN,TB!$J:$J,$C24)</f>
        <v>0</v>
      </c>
      <c r="AI24" s="14">
        <f>SUMIFS(TB!AO:AO,TB!$J:$J,$C24)</f>
        <v>0</v>
      </c>
      <c r="AJ24" s="14"/>
      <c r="AK24" s="14">
        <f>P24</f>
        <v>-5</v>
      </c>
      <c r="AL24" s="14">
        <f>AB24</f>
        <v>0</v>
      </c>
      <c r="AM24" s="14">
        <f>AI24</f>
        <v>0</v>
      </c>
    </row>
    <row r="25" spans="3:39" ht="11.25" customHeight="1" collapsed="1" x14ac:dyDescent="0.2">
      <c r="C25" t="s">
        <v>188</v>
      </c>
      <c r="D25" s="4"/>
      <c r="E25" s="2">
        <f>SUM(E24)</f>
        <v>0</v>
      </c>
      <c r="F25" s="2">
        <f>SUM(F24)</f>
        <v>0</v>
      </c>
      <c r="G25" s="2">
        <f>SUM(G24)</f>
        <v>0</v>
      </c>
      <c r="H25" s="2">
        <f>SUM(H24)</f>
        <v>0</v>
      </c>
      <c r="I25" s="2">
        <f>SUM(I24)</f>
        <v>0</v>
      </c>
      <c r="J25" s="2">
        <f>SUM(J24)</f>
        <v>0</v>
      </c>
      <c r="K25" s="2">
        <f>SUM(K24)</f>
        <v>0</v>
      </c>
      <c r="L25" s="2">
        <f>SUM(L24)</f>
        <v>0</v>
      </c>
      <c r="M25" s="2">
        <f>SUM(M24)</f>
        <v>-5</v>
      </c>
      <c r="N25" s="2">
        <f>SUM(N24)</f>
        <v>-5</v>
      </c>
      <c r="O25" s="2">
        <f>SUM(O24)</f>
        <v>-5</v>
      </c>
      <c r="P25" s="2">
        <f>SUM(P24)</f>
        <v>-5</v>
      </c>
      <c r="Q25" s="2">
        <f>SUM(Q24)</f>
        <v>0</v>
      </c>
      <c r="R25" s="2">
        <f>SUM(R24)</f>
        <v>0</v>
      </c>
      <c r="S25" s="2">
        <f>SUM(S24)</f>
        <v>0</v>
      </c>
      <c r="T25" s="2">
        <f>SUM(T24)</f>
        <v>0</v>
      </c>
      <c r="U25" s="2">
        <f>SUM(U24)</f>
        <v>0</v>
      </c>
      <c r="V25" s="2">
        <f>SUM(V24)</f>
        <v>0</v>
      </c>
      <c r="W25" s="2">
        <f>SUM(W24)</f>
        <v>0</v>
      </c>
      <c r="X25" s="2">
        <f>SUM(X24)</f>
        <v>0</v>
      </c>
      <c r="Y25" s="2">
        <f>SUM(Y24)</f>
        <v>0</v>
      </c>
      <c r="Z25" s="2">
        <f>SUM(Z24)</f>
        <v>0</v>
      </c>
      <c r="AA25" s="2">
        <f>SUM(AA24)</f>
        <v>0</v>
      </c>
      <c r="AB25" s="2">
        <f>SUM(AB24)</f>
        <v>0</v>
      </c>
      <c r="AC25" s="2">
        <f>SUM(AC24)</f>
        <v>0</v>
      </c>
      <c r="AD25" s="2">
        <f>SUM(AD24)</f>
        <v>0</v>
      </c>
      <c r="AE25" s="2">
        <f>SUM(AE24)</f>
        <v>0</v>
      </c>
      <c r="AF25" s="2">
        <f>SUM(AF24)</f>
        <v>0</v>
      </c>
      <c r="AG25" s="2">
        <f>SUM(AG24)</f>
        <v>0</v>
      </c>
      <c r="AH25" s="2">
        <f>SUM(AH24)</f>
        <v>0</v>
      </c>
      <c r="AI25" s="2">
        <f>SUM(AI24)</f>
        <v>0</v>
      </c>
      <c r="AJ25" s="2"/>
      <c r="AK25" s="2">
        <f>SUM(AK24)</f>
        <v>-5</v>
      </c>
      <c r="AL25" s="2">
        <f>SUM(AL24)</f>
        <v>0</v>
      </c>
      <c r="AM25" s="2">
        <f>SUM(AM24)</f>
        <v>0</v>
      </c>
    </row>
    <row r="26" spans="3:39" ht="11.25" customHeight="1" x14ac:dyDescent="0.2">
      <c r="C26" s="50" t="s">
        <v>165</v>
      </c>
      <c r="D26" s="27"/>
      <c r="E26" s="25">
        <f>SUM(E11,E14,E22,E25)</f>
        <v>1932.9507000000001</v>
      </c>
      <c r="F26" s="25">
        <f>SUM(F11,F14,F22,F25)</f>
        <v>1864.09961</v>
      </c>
      <c r="G26" s="25">
        <f>SUM(G11,G14,G22,G25)</f>
        <v>2052.4213500000001</v>
      </c>
      <c r="H26" s="25">
        <f>SUM(H11,H14,H22,H25)</f>
        <v>2274.0476399999998</v>
      </c>
      <c r="I26" s="25">
        <f>SUM(I11,I14,I22,I25)</f>
        <v>2353.3169099999996</v>
      </c>
      <c r="J26" s="25">
        <f>SUM(J11,J14,J22,J25)</f>
        <v>2350.7603999999997</v>
      </c>
      <c r="K26" s="25">
        <f>SUM(K11,K14,K22,K25)</f>
        <v>2553.9765699999998</v>
      </c>
      <c r="L26" s="25">
        <f>SUM(L11,L14,L22,L25)</f>
        <v>3200.33</v>
      </c>
      <c r="M26" s="25">
        <f>SUM(M11,M14,M22,M25)</f>
        <v>3862.94</v>
      </c>
      <c r="N26" s="25">
        <f>SUM(N11,N14,N22,N25)</f>
        <v>3695.8572799999997</v>
      </c>
      <c r="O26" s="25">
        <f>SUM(O11,O14,O22,O25)</f>
        <v>3727.9847599999998</v>
      </c>
      <c r="P26" s="25">
        <f>SUM(P11,P14,P22,P25)</f>
        <v>3099.3656900000001</v>
      </c>
      <c r="Q26" s="25">
        <f>SUM(Q11,Q14,Q22,Q25)</f>
        <v>3094.8509199999999</v>
      </c>
      <c r="R26" s="25">
        <f>SUM(R11,R14,R22,R25)</f>
        <v>3174.9021499999999</v>
      </c>
      <c r="S26" s="25">
        <f>SUM(S11,S14,S22,S25)</f>
        <v>3059.7787999999996</v>
      </c>
      <c r="T26" s="25">
        <f>SUM(T11,T14,T22,T25)</f>
        <v>2859.8872399999996</v>
      </c>
      <c r="U26" s="25">
        <f>SUM(U11,U14,U22,U25)</f>
        <v>2952.40452</v>
      </c>
      <c r="V26" s="25">
        <f>SUM(V11,V14,V22,V25)</f>
        <v>2719.1369800000002</v>
      </c>
      <c r="W26" s="25">
        <f>SUM(W11,W14,W22,W25)</f>
        <v>2606.9300699999999</v>
      </c>
      <c r="X26" s="25">
        <f>SUM(X11,X14,X22,X25)</f>
        <v>3315.6637699999997</v>
      </c>
      <c r="Y26" s="25">
        <f>SUM(Y11,Y14,Y22,Y25)</f>
        <v>3809.9636999999998</v>
      </c>
      <c r="Z26" s="25">
        <f>SUM(Z11,Z14,Z22,Z25)</f>
        <v>3651.1874199999997</v>
      </c>
      <c r="AA26" s="25">
        <f>SUM(AA11,AA14,AA22,AA25)</f>
        <v>3523.0547499999998</v>
      </c>
      <c r="AB26" s="25">
        <f>SUM(AB11,AB14,AB22,AB25)</f>
        <v>3459.2895200000003</v>
      </c>
      <c r="AC26" s="25">
        <f>SUM(AC11,AC14,AC22,AC25)</f>
        <v>3102.6164100000001</v>
      </c>
      <c r="AD26" s="25">
        <f>SUM(AD11,AD14,AD22,AD25)</f>
        <v>2940.1249900000003</v>
      </c>
      <c r="AE26" s="25">
        <f>SUM(AE11,AE14,AE22,AE25)</f>
        <v>3106.6871700000002</v>
      </c>
      <c r="AF26" s="25">
        <f>SUM(AF11,AF14,AF22,AF25)</f>
        <v>2794.3529800000001</v>
      </c>
      <c r="AG26" s="25">
        <f>SUM(AG11,AG14,AG22,AG25)</f>
        <v>2707.1296000000002</v>
      </c>
      <c r="AH26" s="25">
        <f>SUM(AH11,AH14,AH22,AH25)</f>
        <v>2848.1308700000004</v>
      </c>
      <c r="AI26" s="25">
        <f>SUM(AI11,AI14,AI22,AI25)</f>
        <v>2539.1379900000002</v>
      </c>
      <c r="AJ26" s="25"/>
      <c r="AK26" s="25">
        <f>SUM(AK11,AK14,AK22,AK25)</f>
        <v>3099.3656900000001</v>
      </c>
      <c r="AL26" s="25">
        <f>SUM(AL11,AL14,AL22,AL25)</f>
        <v>3459.2895200000003</v>
      </c>
      <c r="AM26" s="25">
        <f>SUM(AM11,AM14,AM22,AM25)</f>
        <v>2539.1379900000002</v>
      </c>
    </row>
    <row r="27" spans="3:39" ht="6" customHeight="1" x14ac:dyDescent="0.2">
      <c r="D27" s="4"/>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row>
    <row r="28" spans="3:39" ht="11.25" hidden="1" customHeight="1" outlineLevel="2" x14ac:dyDescent="0.2">
      <c r="C28" t="s">
        <v>355</v>
      </c>
      <c r="D28" s="4"/>
      <c r="E28" s="2">
        <f>SUMIFS(TB!K:K,TB!$J:$J,$C28)</f>
        <v>144.28984</v>
      </c>
      <c r="F28" s="2">
        <f>SUMIFS(TB!L:L,TB!$J:$J,$C28)</f>
        <v>144.28984</v>
      </c>
      <c r="G28" s="2">
        <f>SUMIFS(TB!M:M,TB!$J:$J,$C28)</f>
        <v>144.28984</v>
      </c>
      <c r="H28" s="2">
        <f>SUMIFS(TB!N:N,TB!$J:$J,$C28)</f>
        <v>144.28984</v>
      </c>
      <c r="I28" s="2">
        <f>SUMIFS(TB!O:O,TB!$J:$J,$C28)</f>
        <v>144.28984</v>
      </c>
      <c r="J28" s="2">
        <f>SUMIFS(TB!P:P,TB!$J:$J,$C28)</f>
        <v>144.28984</v>
      </c>
      <c r="K28" s="2">
        <f>SUMIFS(TB!Q:Q,TB!$J:$J,$C28)</f>
        <v>144.28984</v>
      </c>
      <c r="L28" s="2">
        <f>SUMIFS(TB!R:R,TB!$J:$J,$C28)</f>
        <v>144.28984</v>
      </c>
      <c r="M28" s="2">
        <f>SUMIFS(TB!S:S,TB!$J:$J,$C28)</f>
        <v>144.28984</v>
      </c>
      <c r="N28" s="2">
        <f>SUMIFS(TB!T:T,TB!$J:$J,$C28)</f>
        <v>144.28984</v>
      </c>
      <c r="O28" s="2">
        <f>SUMIFS(TB!U:U,TB!$J:$J,$C28)</f>
        <v>144.28984</v>
      </c>
      <c r="P28" s="2">
        <f>SUMIFS(TB!V:V,TB!$J:$J,$C28)</f>
        <v>144.28984</v>
      </c>
      <c r="Q28" s="2">
        <f>SUMIFS(TB!W:W,TB!$J:$J,$C28)</f>
        <v>144.28984</v>
      </c>
      <c r="R28" s="2">
        <f>SUMIFS(TB!X:X,TB!$J:$J,$C28)</f>
        <v>144.28984</v>
      </c>
      <c r="S28" s="2">
        <f>SUMIFS(TB!Y:Y,TB!$J:$J,$C28)</f>
        <v>144.28984</v>
      </c>
      <c r="T28" s="2">
        <f>SUMIFS(TB!Z:Z,TB!$J:$J,$C28)</f>
        <v>144.28984</v>
      </c>
      <c r="U28" s="2">
        <f>SUMIFS(TB!AA:AA,TB!$J:$J,$C28)</f>
        <v>144.28984</v>
      </c>
      <c r="V28" s="2">
        <f>SUMIFS(TB!AB:AB,TB!$J:$J,$C28)</f>
        <v>144.28984</v>
      </c>
      <c r="W28" s="2">
        <f>SUMIFS(TB!AC:AC,TB!$J:$J,$C28)</f>
        <v>150.75585000000001</v>
      </c>
      <c r="X28" s="2">
        <f>SUMIFS(TB!AD:AD,TB!$J:$J,$C28)</f>
        <v>150.75585000000001</v>
      </c>
      <c r="Y28" s="2">
        <f>SUMIFS(TB!AE:AE,TB!$J:$J,$C28)</f>
        <v>150.75585000000001</v>
      </c>
      <c r="Z28" s="2">
        <f>SUMIFS(TB!AF:AF,TB!$J:$J,$C28)</f>
        <v>150.75585000000001</v>
      </c>
      <c r="AA28" s="2">
        <f>SUMIFS(TB!AG:AG,TB!$J:$J,$C28)</f>
        <v>152.05056999999999</v>
      </c>
      <c r="AB28" s="2">
        <f>SUMIFS(TB!AH:AH,TB!$J:$J,$C28)</f>
        <v>144.28984</v>
      </c>
      <c r="AC28" s="2">
        <f>SUMIFS(TB!AI:AI,TB!$J:$J,$C28)</f>
        <v>144.28984</v>
      </c>
      <c r="AD28" s="2">
        <f>SUMIFS(TB!AJ:AJ,TB!$J:$J,$C28)</f>
        <v>144.28984</v>
      </c>
      <c r="AE28" s="2">
        <f>SUMIFS(TB!AK:AK,TB!$J:$J,$C28)</f>
        <v>144.28984</v>
      </c>
      <c r="AF28" s="2">
        <f>SUMIFS(TB!AL:AL,TB!$J:$J,$C28)</f>
        <v>144.28984</v>
      </c>
      <c r="AG28" s="2">
        <f>SUMIFS(TB!AM:AM,TB!$J:$J,$C28)</f>
        <v>144.28984</v>
      </c>
      <c r="AH28" s="2">
        <f>SUMIFS(TB!AN:AN,TB!$J:$J,$C28)</f>
        <v>144.28984</v>
      </c>
      <c r="AI28" s="2">
        <f>SUMIFS(TB!AO:AO,TB!$J:$J,$C28)</f>
        <v>144.28984</v>
      </c>
      <c r="AJ28" s="2"/>
      <c r="AK28" s="2">
        <f>P28</f>
        <v>144.28984</v>
      </c>
      <c r="AL28" s="2">
        <f>AB28</f>
        <v>144.28984</v>
      </c>
      <c r="AM28" s="2">
        <f>AI28</f>
        <v>144.28984</v>
      </c>
    </row>
    <row r="29" spans="3:39" ht="11.25" hidden="1" customHeight="1" outlineLevel="2" x14ac:dyDescent="0.2">
      <c r="C29" t="s">
        <v>354</v>
      </c>
      <c r="D29" s="4"/>
      <c r="E29" s="2">
        <f>SUMIFS(TB!K:K,TB!$J:$J,$C29)</f>
        <v>40.617899999999999</v>
      </c>
      <c r="F29" s="2">
        <f>SUMIFS(TB!L:L,TB!$J:$J,$C29)</f>
        <v>40.617899999999999</v>
      </c>
      <c r="G29" s="2">
        <f>SUMIFS(TB!M:M,TB!$J:$J,$C29)</f>
        <v>40.617899999999999</v>
      </c>
      <c r="H29" s="2">
        <f>SUMIFS(TB!N:N,TB!$J:$J,$C29)</f>
        <v>40.617899999999999</v>
      </c>
      <c r="I29" s="2">
        <f>SUMIFS(TB!O:O,TB!$J:$J,$C29)</f>
        <v>40.617899999999999</v>
      </c>
      <c r="J29" s="2">
        <f>SUMIFS(TB!P:P,TB!$J:$J,$C29)</f>
        <v>40.617899999999999</v>
      </c>
      <c r="K29" s="2">
        <f>SUMIFS(TB!Q:Q,TB!$J:$J,$C29)</f>
        <v>40.617899999999999</v>
      </c>
      <c r="L29" s="2">
        <f>SUMIFS(TB!R:R,TB!$J:$J,$C29)</f>
        <v>40.617899999999999</v>
      </c>
      <c r="M29" s="2">
        <f>SUMIFS(TB!S:S,TB!$J:$J,$C29)</f>
        <v>40.617899999999999</v>
      </c>
      <c r="N29" s="2">
        <f>SUMIFS(TB!T:T,TB!$J:$J,$C29)</f>
        <v>40.617899999999999</v>
      </c>
      <c r="O29" s="2">
        <f>SUMIFS(TB!U:U,TB!$J:$J,$C29)</f>
        <v>40.617899999999999</v>
      </c>
      <c r="P29" s="2">
        <f>SUMIFS(TB!V:V,TB!$J:$J,$C29)</f>
        <v>40.617899999999999</v>
      </c>
      <c r="Q29" s="2">
        <f>SUMIFS(TB!W:W,TB!$J:$J,$C29)</f>
        <v>40.617899999999999</v>
      </c>
      <c r="R29" s="2">
        <f>SUMIFS(TB!X:X,TB!$J:$J,$C29)</f>
        <v>40.617899999999999</v>
      </c>
      <c r="S29" s="2">
        <f>SUMIFS(TB!Y:Y,TB!$J:$J,$C29)</f>
        <v>40.617899999999999</v>
      </c>
      <c r="T29" s="2">
        <f>SUMIFS(TB!Z:Z,TB!$J:$J,$C29)</f>
        <v>40.617899999999999</v>
      </c>
      <c r="U29" s="2">
        <f>SUMIFS(TB!AA:AA,TB!$J:$J,$C29)</f>
        <v>40.617899999999999</v>
      </c>
      <c r="V29" s="2">
        <f>SUMIFS(TB!AB:AB,TB!$J:$J,$C29)</f>
        <v>40.617899999999999</v>
      </c>
      <c r="W29" s="2">
        <f>SUMIFS(TB!AC:AC,TB!$J:$J,$C29)</f>
        <v>40.617899999999999</v>
      </c>
      <c r="X29" s="2">
        <f>SUMIFS(TB!AD:AD,TB!$J:$J,$C29)</f>
        <v>40.617899999999999</v>
      </c>
      <c r="Y29" s="2">
        <f>SUMIFS(TB!AE:AE,TB!$J:$J,$C29)</f>
        <v>40.617899999999999</v>
      </c>
      <c r="Z29" s="2">
        <f>SUMIFS(TB!AF:AF,TB!$J:$J,$C29)</f>
        <v>40.617899999999999</v>
      </c>
      <c r="AA29" s="2">
        <f>SUMIFS(TB!AG:AG,TB!$J:$J,$C29)</f>
        <v>40.617899999999999</v>
      </c>
      <c r="AB29" s="2">
        <f>SUMIFS(TB!AH:AH,TB!$J:$J,$C29)</f>
        <v>40.617899999999999</v>
      </c>
      <c r="AC29" s="2">
        <f>SUMIFS(TB!AI:AI,TB!$J:$J,$C29)</f>
        <v>40.617899999999999</v>
      </c>
      <c r="AD29" s="2">
        <f>SUMIFS(TB!AJ:AJ,TB!$J:$J,$C29)</f>
        <v>40.617899999999999</v>
      </c>
      <c r="AE29" s="2">
        <f>SUMIFS(TB!AK:AK,TB!$J:$J,$C29)</f>
        <v>40.617899999999999</v>
      </c>
      <c r="AF29" s="2">
        <f>SUMIFS(TB!AL:AL,TB!$J:$J,$C29)</f>
        <v>40.617899999999999</v>
      </c>
      <c r="AG29" s="2">
        <f>SUMIFS(TB!AM:AM,TB!$J:$J,$C29)</f>
        <v>40.617899999999999</v>
      </c>
      <c r="AH29" s="2">
        <f>SUMIFS(TB!AN:AN,TB!$J:$J,$C29)</f>
        <v>40.617899999999999</v>
      </c>
      <c r="AI29" s="2">
        <f>SUMIFS(TB!AO:AO,TB!$J:$J,$C29)</f>
        <v>40.617899999999999</v>
      </c>
      <c r="AJ29" s="2"/>
      <c r="AK29" s="2">
        <f>P29</f>
        <v>40.617899999999999</v>
      </c>
      <c r="AL29" s="2">
        <f>AB29</f>
        <v>40.617899999999999</v>
      </c>
      <c r="AM29" s="2">
        <f>AI29</f>
        <v>40.617899999999999</v>
      </c>
    </row>
    <row r="30" spans="3:39" ht="11.25" hidden="1" customHeight="1" outlineLevel="2" x14ac:dyDescent="0.2">
      <c r="C30" s="17" t="s">
        <v>353</v>
      </c>
      <c r="D30" s="15"/>
      <c r="E30" s="14">
        <f>SUMIFS(TB!K:K,TB!$J:$J,$C30)</f>
        <v>15.13109</v>
      </c>
      <c r="F30" s="14">
        <f>SUMIFS(TB!L:L,TB!$J:$J,$C30)</f>
        <v>15.13109</v>
      </c>
      <c r="G30" s="14">
        <f>SUMIFS(TB!M:M,TB!$J:$J,$C30)</f>
        <v>15.13109</v>
      </c>
      <c r="H30" s="14">
        <f>SUMIFS(TB!N:N,TB!$J:$J,$C30)</f>
        <v>15.13109</v>
      </c>
      <c r="I30" s="14">
        <f>SUMIFS(TB!O:O,TB!$J:$J,$C30)</f>
        <v>15.13109</v>
      </c>
      <c r="J30" s="14">
        <f>SUMIFS(TB!P:P,TB!$J:$J,$C30)</f>
        <v>15.13109</v>
      </c>
      <c r="K30" s="14">
        <f>SUMIFS(TB!Q:Q,TB!$J:$J,$C30)</f>
        <v>15.13109</v>
      </c>
      <c r="L30" s="14">
        <f>SUMIFS(TB!R:R,TB!$J:$J,$C30)</f>
        <v>15.13109</v>
      </c>
      <c r="M30" s="14">
        <f>SUMIFS(TB!S:S,TB!$J:$J,$C30)</f>
        <v>15.13109</v>
      </c>
      <c r="N30" s="14">
        <f>SUMIFS(TB!T:T,TB!$J:$J,$C30)</f>
        <v>15.13109</v>
      </c>
      <c r="O30" s="14">
        <f>SUMIFS(TB!U:U,TB!$J:$J,$C30)</f>
        <v>15.13109</v>
      </c>
      <c r="P30" s="14">
        <f>SUMIFS(TB!V:V,TB!$J:$J,$C30)</f>
        <v>15.13109</v>
      </c>
      <c r="Q30" s="14">
        <f>SUMIFS(TB!W:W,TB!$J:$J,$C30)</f>
        <v>15.13109</v>
      </c>
      <c r="R30" s="14">
        <f>SUMIFS(TB!X:X,TB!$J:$J,$C30)</f>
        <v>15.13109</v>
      </c>
      <c r="S30" s="14">
        <f>SUMIFS(TB!Y:Y,TB!$J:$J,$C30)</f>
        <v>15.13109</v>
      </c>
      <c r="T30" s="14">
        <f>SUMIFS(TB!Z:Z,TB!$J:$J,$C30)</f>
        <v>15.13109</v>
      </c>
      <c r="U30" s="14">
        <f>SUMIFS(TB!AA:AA,TB!$J:$J,$C30)</f>
        <v>15.13109</v>
      </c>
      <c r="V30" s="14">
        <f>SUMIFS(TB!AB:AB,TB!$J:$J,$C30)</f>
        <v>15.13109</v>
      </c>
      <c r="W30" s="14">
        <f>SUMIFS(TB!AC:AC,TB!$J:$J,$C30)</f>
        <v>15.13109</v>
      </c>
      <c r="X30" s="14">
        <f>SUMIFS(TB!AD:AD,TB!$J:$J,$C30)</f>
        <v>15.13109</v>
      </c>
      <c r="Y30" s="14">
        <f>SUMIFS(TB!AE:AE,TB!$J:$J,$C30)</f>
        <v>15.13109</v>
      </c>
      <c r="Z30" s="14">
        <f>SUMIFS(TB!AF:AF,TB!$J:$J,$C30)</f>
        <v>15.13109</v>
      </c>
      <c r="AA30" s="14">
        <f>SUMIFS(TB!AG:AG,TB!$J:$J,$C30)</f>
        <v>15.13109</v>
      </c>
      <c r="AB30" s="14">
        <f>SUMIFS(TB!AH:AH,TB!$J:$J,$C30)</f>
        <v>15.13109</v>
      </c>
      <c r="AC30" s="14">
        <f>SUMIFS(TB!AI:AI,TB!$J:$J,$C30)</f>
        <v>15.13109</v>
      </c>
      <c r="AD30" s="14">
        <f>SUMIFS(TB!AJ:AJ,TB!$J:$J,$C30)</f>
        <v>15.13109</v>
      </c>
      <c r="AE30" s="14">
        <f>SUMIFS(TB!AK:AK,TB!$J:$J,$C30)</f>
        <v>15.13109</v>
      </c>
      <c r="AF30" s="14">
        <f>SUMIFS(TB!AL:AL,TB!$J:$J,$C30)</f>
        <v>15.13109</v>
      </c>
      <c r="AG30" s="14">
        <f>SUMIFS(TB!AM:AM,TB!$J:$J,$C30)</f>
        <v>15.13109</v>
      </c>
      <c r="AH30" s="14">
        <f>SUMIFS(TB!AN:AN,TB!$J:$J,$C30)</f>
        <v>15.13109</v>
      </c>
      <c r="AI30" s="14">
        <f>SUMIFS(TB!AO:AO,TB!$J:$J,$C30)</f>
        <v>15.13109</v>
      </c>
      <c r="AJ30" s="14"/>
      <c r="AK30" s="14">
        <f>P30</f>
        <v>15.13109</v>
      </c>
      <c r="AL30" s="14">
        <f>AB30</f>
        <v>15.13109</v>
      </c>
      <c r="AM30" s="14">
        <f>AI30</f>
        <v>15.13109</v>
      </c>
    </row>
    <row r="31" spans="3:39" ht="11.25" hidden="1" customHeight="1" outlineLevel="1" x14ac:dyDescent="0.2">
      <c r="C31" t="s">
        <v>346</v>
      </c>
      <c r="D31" s="4"/>
      <c r="E31" s="2">
        <f>SUM(E28:E30)</f>
        <v>200.03882999999999</v>
      </c>
      <c r="F31" s="2">
        <f>SUM(F28:F30)</f>
        <v>200.03882999999999</v>
      </c>
      <c r="G31" s="2">
        <f>SUM(G28:G30)</f>
        <v>200.03882999999999</v>
      </c>
      <c r="H31" s="2">
        <f>SUM(H28:H30)</f>
        <v>200.03882999999999</v>
      </c>
      <c r="I31" s="2">
        <f>SUM(I28:I30)</f>
        <v>200.03882999999999</v>
      </c>
      <c r="J31" s="2">
        <f>SUM(J28:J30)</f>
        <v>200.03882999999999</v>
      </c>
      <c r="K31" s="2">
        <f>SUM(K28:K30)</f>
        <v>200.03882999999999</v>
      </c>
      <c r="L31" s="2">
        <f>SUM(L28:L30)</f>
        <v>200.03882999999999</v>
      </c>
      <c r="M31" s="2">
        <f>SUM(M28:M30)</f>
        <v>200.03882999999999</v>
      </c>
      <c r="N31" s="2">
        <f>SUM(N28:N30)</f>
        <v>200.03882999999999</v>
      </c>
      <c r="O31" s="2">
        <f>SUM(O28:O30)</f>
        <v>200.03882999999999</v>
      </c>
      <c r="P31" s="2">
        <f>SUM(P28:P30)</f>
        <v>200.03882999999999</v>
      </c>
      <c r="Q31" s="2">
        <f>SUM(Q28:Q30)</f>
        <v>200.03882999999999</v>
      </c>
      <c r="R31" s="2">
        <f>SUM(R28:R30)</f>
        <v>200.03882999999999</v>
      </c>
      <c r="S31" s="2">
        <f>SUM(S28:S30)</f>
        <v>200.03882999999999</v>
      </c>
      <c r="T31" s="2">
        <f>SUM(T28:T30)</f>
        <v>200.03882999999999</v>
      </c>
      <c r="U31" s="2">
        <f>SUM(U28:U30)</f>
        <v>200.03882999999999</v>
      </c>
      <c r="V31" s="2">
        <f>SUM(V28:V30)</f>
        <v>200.03882999999999</v>
      </c>
      <c r="W31" s="2">
        <f>SUM(W28:W30)</f>
        <v>206.50484</v>
      </c>
      <c r="X31" s="2">
        <f>SUM(X28:X30)</f>
        <v>206.50484</v>
      </c>
      <c r="Y31" s="2">
        <f>SUM(Y28:Y30)</f>
        <v>206.50484</v>
      </c>
      <c r="Z31" s="2">
        <f>SUM(Z28:Z30)</f>
        <v>206.50484</v>
      </c>
      <c r="AA31" s="2">
        <f>SUM(AA28:AA30)</f>
        <v>207.79955999999999</v>
      </c>
      <c r="AB31" s="2">
        <f>SUM(AB28:AB30)</f>
        <v>200.03882999999999</v>
      </c>
      <c r="AC31" s="2">
        <f>SUM(AC28:AC30)</f>
        <v>200.03882999999999</v>
      </c>
      <c r="AD31" s="2">
        <f>SUM(AD28:AD30)</f>
        <v>200.03882999999999</v>
      </c>
      <c r="AE31" s="2">
        <f>SUM(AE28:AE30)</f>
        <v>200.03882999999999</v>
      </c>
      <c r="AF31" s="2">
        <f>SUM(AF28:AF30)</f>
        <v>200.03882999999999</v>
      </c>
      <c r="AG31" s="2">
        <f>SUM(AG28:AG30)</f>
        <v>200.03882999999999</v>
      </c>
      <c r="AH31" s="2">
        <f>SUM(AH28:AH30)</f>
        <v>200.03882999999999</v>
      </c>
      <c r="AI31" s="2">
        <f>SUM(AI28:AI30)</f>
        <v>200.03882999999999</v>
      </c>
      <c r="AJ31" s="2"/>
      <c r="AK31" s="2">
        <f>SUM(AK28:AK30)</f>
        <v>200.03882999999999</v>
      </c>
      <c r="AL31" s="2">
        <f>SUM(AL28:AL30)</f>
        <v>200.03882999999999</v>
      </c>
      <c r="AM31" s="2">
        <f>SUM(AM28:AM30)</f>
        <v>200.03882999999999</v>
      </c>
    </row>
    <row r="32" spans="3:39" ht="6" hidden="1" customHeight="1" outlineLevel="2" x14ac:dyDescent="0.2">
      <c r="D32" s="4"/>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row>
    <row r="33" spans="3:39" ht="11.25" hidden="1" customHeight="1" outlineLevel="2" x14ac:dyDescent="0.2">
      <c r="C33" s="17" t="s">
        <v>352</v>
      </c>
      <c r="D33" s="15"/>
      <c r="E33" s="14">
        <f>SUMIFS(TB!K:K,TB!$J:$J,$C33)</f>
        <v>-187.179</v>
      </c>
      <c r="F33" s="14">
        <f>SUMIFS(TB!L:L,TB!$J:$J,$C33)</f>
        <v>-187.179</v>
      </c>
      <c r="G33" s="14">
        <f>SUMIFS(TB!M:M,TB!$J:$J,$C33)</f>
        <v>-187.179</v>
      </c>
      <c r="H33" s="14">
        <f>SUMIFS(TB!N:N,TB!$J:$J,$C33)</f>
        <v>-187.179</v>
      </c>
      <c r="I33" s="14">
        <f>SUMIFS(TB!O:O,TB!$J:$J,$C33)</f>
        <v>-187.179</v>
      </c>
      <c r="J33" s="14">
        <f>SUMIFS(TB!P:P,TB!$J:$J,$C33)</f>
        <v>-187.179</v>
      </c>
      <c r="K33" s="14">
        <f>SUMIFS(TB!Q:Q,TB!$J:$J,$C33)</f>
        <v>-187.179</v>
      </c>
      <c r="L33" s="14">
        <f>SUMIFS(TB!R:R,TB!$J:$J,$C33)</f>
        <v>-187.179</v>
      </c>
      <c r="M33" s="14">
        <f>SUMIFS(TB!S:S,TB!$J:$J,$C33)</f>
        <v>-187.179</v>
      </c>
      <c r="N33" s="14">
        <f>SUMIFS(TB!T:T,TB!$J:$J,$C33)</f>
        <v>-187.179</v>
      </c>
      <c r="O33" s="14">
        <f>SUMIFS(TB!U:U,TB!$J:$J,$C33)</f>
        <v>-187.179</v>
      </c>
      <c r="P33" s="14">
        <f>SUMIFS(TB!V:V,TB!$J:$J,$C33)</f>
        <v>-191.62700000000001</v>
      </c>
      <c r="Q33" s="14">
        <f>SUMIFS(TB!W:W,TB!$J:$J,$C33)</f>
        <v>-191.62700000000001</v>
      </c>
      <c r="R33" s="14">
        <f>SUMIFS(TB!X:X,TB!$J:$J,$C33)</f>
        <v>-191.62700000000001</v>
      </c>
      <c r="S33" s="14">
        <f>SUMIFS(TB!Y:Y,TB!$J:$J,$C33)</f>
        <v>-191.62700000000001</v>
      </c>
      <c r="T33" s="14">
        <f>SUMIFS(TB!Z:Z,TB!$J:$J,$C33)</f>
        <v>-191.62700000000001</v>
      </c>
      <c r="U33" s="14">
        <f>SUMIFS(TB!AA:AA,TB!$J:$J,$C33)</f>
        <v>-191.62700000000001</v>
      </c>
      <c r="V33" s="14">
        <f>SUMIFS(TB!AB:AB,TB!$J:$J,$C33)</f>
        <v>-191.62700000000001</v>
      </c>
      <c r="W33" s="14">
        <f>SUMIFS(TB!AC:AC,TB!$J:$J,$C33)</f>
        <v>-191.62700000000001</v>
      </c>
      <c r="X33" s="14">
        <f>SUMIFS(TB!AD:AD,TB!$J:$J,$C33)</f>
        <v>-191.62700000000001</v>
      </c>
      <c r="Y33" s="14">
        <f>SUMIFS(TB!AE:AE,TB!$J:$J,$C33)</f>
        <v>-191.62700000000001</v>
      </c>
      <c r="Z33" s="14">
        <f>SUMIFS(TB!AF:AF,TB!$J:$J,$C33)</f>
        <v>-198.09301000000002</v>
      </c>
      <c r="AA33" s="14">
        <f>SUMIFS(TB!AG:AG,TB!$J:$J,$C33)</f>
        <v>-198.09301000000002</v>
      </c>
      <c r="AB33" s="14">
        <f>SUMIFS(TB!AH:AH,TB!$J:$J,$C33)</f>
        <v>-195.143</v>
      </c>
      <c r="AC33" s="14">
        <f>SUMIFS(TB!AI:AI,TB!$J:$J,$C33)</f>
        <v>-195.143</v>
      </c>
      <c r="AD33" s="14">
        <f>SUMIFS(TB!AJ:AJ,TB!$J:$J,$C33)</f>
        <v>-195.143</v>
      </c>
      <c r="AE33" s="14">
        <f>SUMIFS(TB!AK:AK,TB!$J:$J,$C33)</f>
        <v>-195.143</v>
      </c>
      <c r="AF33" s="14">
        <f>SUMIFS(TB!AL:AL,TB!$J:$J,$C33)</f>
        <v>-195.143</v>
      </c>
      <c r="AG33" s="14">
        <f>SUMIFS(TB!AM:AM,TB!$J:$J,$C33)</f>
        <v>-195.143</v>
      </c>
      <c r="AH33" s="14">
        <f>SUMIFS(TB!AN:AN,TB!$J:$J,$C33)</f>
        <v>-195.143</v>
      </c>
      <c r="AI33" s="14">
        <f>SUMIFS(TB!AO:AO,TB!$J:$J,$C33)</f>
        <v>-195.143</v>
      </c>
      <c r="AJ33" s="14"/>
      <c r="AK33" s="14">
        <f>P33</f>
        <v>-191.62700000000001</v>
      </c>
      <c r="AL33" s="14">
        <f>AB33</f>
        <v>-195.143</v>
      </c>
      <c r="AM33" s="14">
        <f>AI33</f>
        <v>-195.143</v>
      </c>
    </row>
    <row r="34" spans="3:39" ht="11.25" hidden="1" customHeight="1" outlineLevel="1" x14ac:dyDescent="0.2">
      <c r="C34" s="17" t="s">
        <v>345</v>
      </c>
      <c r="D34" s="15"/>
      <c r="E34" s="14">
        <f>SUM(E33:E33)</f>
        <v>-187.179</v>
      </c>
      <c r="F34" s="14">
        <f>SUM(F33:F33)</f>
        <v>-187.179</v>
      </c>
      <c r="G34" s="14">
        <f>SUM(G33:G33)</f>
        <v>-187.179</v>
      </c>
      <c r="H34" s="14">
        <f>SUM(H33:H33)</f>
        <v>-187.179</v>
      </c>
      <c r="I34" s="14">
        <f>SUM(I33:I33)</f>
        <v>-187.179</v>
      </c>
      <c r="J34" s="14">
        <f>SUM(J33:J33)</f>
        <v>-187.179</v>
      </c>
      <c r="K34" s="14">
        <f>SUM(K33:K33)</f>
        <v>-187.179</v>
      </c>
      <c r="L34" s="14">
        <f>SUM(L33:L33)</f>
        <v>-187.179</v>
      </c>
      <c r="M34" s="14">
        <f>SUM(M33:M33)</f>
        <v>-187.179</v>
      </c>
      <c r="N34" s="14">
        <f>SUM(N33:N33)</f>
        <v>-187.179</v>
      </c>
      <c r="O34" s="14">
        <f>SUM(O33:O33)</f>
        <v>-187.179</v>
      </c>
      <c r="P34" s="14">
        <f>SUM(P33:P33)</f>
        <v>-191.62700000000001</v>
      </c>
      <c r="Q34" s="14">
        <f>SUM(Q33:Q33)</f>
        <v>-191.62700000000001</v>
      </c>
      <c r="R34" s="14">
        <f>SUM(R33:R33)</f>
        <v>-191.62700000000001</v>
      </c>
      <c r="S34" s="14">
        <f>SUM(S33:S33)</f>
        <v>-191.62700000000001</v>
      </c>
      <c r="T34" s="14">
        <f>SUM(T33:T33)</f>
        <v>-191.62700000000001</v>
      </c>
      <c r="U34" s="14">
        <f>SUM(U33:U33)</f>
        <v>-191.62700000000001</v>
      </c>
      <c r="V34" s="14">
        <f>SUM(V33:V33)</f>
        <v>-191.62700000000001</v>
      </c>
      <c r="W34" s="14">
        <f>SUM(W33:W33)</f>
        <v>-191.62700000000001</v>
      </c>
      <c r="X34" s="14">
        <f>SUM(X33:X33)</f>
        <v>-191.62700000000001</v>
      </c>
      <c r="Y34" s="14">
        <f>SUM(Y33:Y33)</f>
        <v>-191.62700000000001</v>
      </c>
      <c r="Z34" s="14">
        <f>SUM(Z33:Z33)</f>
        <v>-198.09301000000002</v>
      </c>
      <c r="AA34" s="14">
        <f>SUM(AA33:AA33)</f>
        <v>-198.09301000000002</v>
      </c>
      <c r="AB34" s="14">
        <f>SUM(AB33:AB33)</f>
        <v>-195.143</v>
      </c>
      <c r="AC34" s="14">
        <f>SUM(AC33:AC33)</f>
        <v>-195.143</v>
      </c>
      <c r="AD34" s="14">
        <f>SUM(AD33:AD33)</f>
        <v>-195.143</v>
      </c>
      <c r="AE34" s="14">
        <f>SUM(AE33:AE33)</f>
        <v>-195.143</v>
      </c>
      <c r="AF34" s="14">
        <f>SUM(AF33:AF33)</f>
        <v>-195.143</v>
      </c>
      <c r="AG34" s="14">
        <f>SUM(AG33:AG33)</f>
        <v>-195.143</v>
      </c>
      <c r="AH34" s="14">
        <f>SUM(AH33:AH33)</f>
        <v>-195.143</v>
      </c>
      <c r="AI34" s="14">
        <f>SUM(AI33:AI33)</f>
        <v>-195.143</v>
      </c>
      <c r="AJ34" s="14"/>
      <c r="AK34" s="14">
        <f>SUM(AK33:AK33)</f>
        <v>-191.62700000000001</v>
      </c>
      <c r="AL34" s="14">
        <f>SUM(AL33:AL33)</f>
        <v>-195.143</v>
      </c>
      <c r="AM34" s="14">
        <f>SUM(AM33:AM33)</f>
        <v>-195.143</v>
      </c>
    </row>
    <row r="35" spans="3:39" ht="11.25" customHeight="1" collapsed="1" x14ac:dyDescent="0.2">
      <c r="C35" t="s">
        <v>344</v>
      </c>
      <c r="D35" s="4"/>
      <c r="E35" s="2">
        <f>SUM(E31,E34)</f>
        <v>12.859829999999988</v>
      </c>
      <c r="F35" s="2">
        <f>SUM(F31,F34)</f>
        <v>12.859829999999988</v>
      </c>
      <c r="G35" s="2">
        <f>SUM(G31,G34)</f>
        <v>12.859829999999988</v>
      </c>
      <c r="H35" s="2">
        <f>SUM(H31,H34)</f>
        <v>12.859829999999988</v>
      </c>
      <c r="I35" s="2">
        <f>SUM(I31,I34)</f>
        <v>12.859829999999988</v>
      </c>
      <c r="J35" s="2">
        <f>SUM(J31,J34)</f>
        <v>12.859829999999988</v>
      </c>
      <c r="K35" s="2">
        <f>SUM(K31,K34)</f>
        <v>12.859829999999988</v>
      </c>
      <c r="L35" s="2">
        <f>SUM(L31,L34)</f>
        <v>12.859829999999988</v>
      </c>
      <c r="M35" s="2">
        <f>SUM(M31,M34)</f>
        <v>12.859829999999988</v>
      </c>
      <c r="N35" s="2">
        <f>SUM(N31,N34)</f>
        <v>12.859829999999988</v>
      </c>
      <c r="O35" s="2">
        <f>SUM(O31,O34)</f>
        <v>12.859829999999988</v>
      </c>
      <c r="P35" s="2">
        <f>SUM(P31,P34)</f>
        <v>8.4118299999999806</v>
      </c>
      <c r="Q35" s="2">
        <f>SUM(Q31,Q34)</f>
        <v>8.4118299999999806</v>
      </c>
      <c r="R35" s="2">
        <f>SUM(R31,R34)</f>
        <v>8.4118299999999806</v>
      </c>
      <c r="S35" s="2">
        <f>SUM(S31,S34)</f>
        <v>8.4118299999999806</v>
      </c>
      <c r="T35" s="2">
        <f>SUM(T31,T34)</f>
        <v>8.4118299999999806</v>
      </c>
      <c r="U35" s="2">
        <f>SUM(U31,U34)</f>
        <v>8.4118299999999806</v>
      </c>
      <c r="V35" s="2">
        <f>SUM(V31,V34)</f>
        <v>8.4118299999999806</v>
      </c>
      <c r="W35" s="2">
        <f>SUM(W31,W34)</f>
        <v>14.877839999999992</v>
      </c>
      <c r="X35" s="2">
        <f>SUM(X31,X34)</f>
        <v>14.877839999999992</v>
      </c>
      <c r="Y35" s="2">
        <f>SUM(Y31,Y34)</f>
        <v>14.877839999999992</v>
      </c>
      <c r="Z35" s="2">
        <f>SUM(Z31,Z34)</f>
        <v>8.4118299999999806</v>
      </c>
      <c r="AA35" s="2">
        <f>SUM(AA31,AA34)</f>
        <v>9.7065499999999645</v>
      </c>
      <c r="AB35" s="2">
        <f>SUM(AB31,AB34)</f>
        <v>4.8958299999999895</v>
      </c>
      <c r="AC35" s="2">
        <f>SUM(AC31,AC34)</f>
        <v>4.8958299999999895</v>
      </c>
      <c r="AD35" s="2">
        <f>SUM(AD31,AD34)</f>
        <v>4.8958299999999895</v>
      </c>
      <c r="AE35" s="2">
        <f>SUM(AE31,AE34)</f>
        <v>4.8958299999999895</v>
      </c>
      <c r="AF35" s="2">
        <f>SUM(AF31,AF34)</f>
        <v>4.8958299999999895</v>
      </c>
      <c r="AG35" s="2">
        <f>SUM(AG31,AG34)</f>
        <v>4.8958299999999895</v>
      </c>
      <c r="AH35" s="2">
        <f>SUM(AH31,AH34)</f>
        <v>4.8958299999999895</v>
      </c>
      <c r="AI35" s="2">
        <f>SUM(AI31,AI34)</f>
        <v>4.8958299999999895</v>
      </c>
      <c r="AJ35" s="2"/>
      <c r="AK35" s="2">
        <f>SUM(AK31,AK34)</f>
        <v>8.4118299999999806</v>
      </c>
      <c r="AL35" s="2">
        <f>SUM(AL31,AL34)</f>
        <v>4.8958299999999895</v>
      </c>
      <c r="AM35" s="2">
        <f>SUM(AM31,AM34)</f>
        <v>4.8958299999999895</v>
      </c>
    </row>
    <row r="36" spans="3:39" ht="12" customHeight="1" x14ac:dyDescent="0.25">
      <c r="C36" s="85" t="s">
        <v>343</v>
      </c>
      <c r="D36" s="84"/>
      <c r="E36" s="83">
        <f>SUM(E26,E35)</f>
        <v>1945.8105300000002</v>
      </c>
      <c r="F36" s="83">
        <f>SUM(F26,F35)</f>
        <v>1876.9594400000001</v>
      </c>
      <c r="G36" s="83">
        <f>SUM(G26,G35)</f>
        <v>2065.2811799999999</v>
      </c>
      <c r="H36" s="83">
        <f>SUM(H26,H35)</f>
        <v>2286.9074699999996</v>
      </c>
      <c r="I36" s="83">
        <f>SUM(I26,I35)</f>
        <v>2366.1767399999994</v>
      </c>
      <c r="J36" s="83">
        <f>SUM(J26,J35)</f>
        <v>2363.6202299999995</v>
      </c>
      <c r="K36" s="83">
        <f>SUM(K26,K35)</f>
        <v>2566.8363999999997</v>
      </c>
      <c r="L36" s="83">
        <f>SUM(L26,L35)</f>
        <v>3213.1898299999998</v>
      </c>
      <c r="M36" s="83">
        <f>SUM(M26,M35)</f>
        <v>3875.7998299999999</v>
      </c>
      <c r="N36" s="83">
        <f>SUM(N26,N35)</f>
        <v>3708.7171099999996</v>
      </c>
      <c r="O36" s="83">
        <f>SUM(O26,O35)</f>
        <v>3740.8445899999997</v>
      </c>
      <c r="P36" s="83">
        <f>SUM(P26,P35)</f>
        <v>3107.7775200000001</v>
      </c>
      <c r="Q36" s="83">
        <f>SUM(Q26,Q35)</f>
        <v>3103.2627499999999</v>
      </c>
      <c r="R36" s="83">
        <f>SUM(R26,R35)</f>
        <v>3183.3139799999999</v>
      </c>
      <c r="S36" s="83">
        <f>SUM(S26,S35)</f>
        <v>3068.1906299999996</v>
      </c>
      <c r="T36" s="83">
        <f>SUM(T26,T35)</f>
        <v>2868.2990699999996</v>
      </c>
      <c r="U36" s="83">
        <f>SUM(U26,U35)</f>
        <v>2960.8163500000001</v>
      </c>
      <c r="V36" s="83">
        <f>SUM(V26,V35)</f>
        <v>2727.5488100000002</v>
      </c>
      <c r="W36" s="83">
        <f>SUM(W26,W35)</f>
        <v>2621.80791</v>
      </c>
      <c r="X36" s="83">
        <f>SUM(X26,X35)</f>
        <v>3330.5416099999998</v>
      </c>
      <c r="Y36" s="83">
        <f>SUM(Y26,Y35)</f>
        <v>3824.8415399999999</v>
      </c>
      <c r="Z36" s="83">
        <f>SUM(Z26,Z35)</f>
        <v>3659.5992499999998</v>
      </c>
      <c r="AA36" s="83">
        <f>SUM(AA26,AA35)</f>
        <v>3532.7612999999997</v>
      </c>
      <c r="AB36" s="83">
        <f>SUM(AB26,AB35)</f>
        <v>3464.1853500000002</v>
      </c>
      <c r="AC36" s="83">
        <f>SUM(AC26,AC35)</f>
        <v>3107.51224</v>
      </c>
      <c r="AD36" s="83">
        <f>SUM(AD26,AD35)</f>
        <v>2945.0208200000002</v>
      </c>
      <c r="AE36" s="83">
        <f>SUM(AE26,AE35)</f>
        <v>3111.5830000000001</v>
      </c>
      <c r="AF36" s="83">
        <f>SUM(AF26,AF35)</f>
        <v>2799.24881</v>
      </c>
      <c r="AG36" s="83">
        <f>SUM(AG26,AG35)</f>
        <v>2712.0254300000001</v>
      </c>
      <c r="AH36" s="83">
        <f>SUM(AH26,AH35)</f>
        <v>2853.0267000000003</v>
      </c>
      <c r="AI36" s="83">
        <f>SUM(AI26,AI35)</f>
        <v>2544.0338200000001</v>
      </c>
      <c r="AJ36" s="83"/>
      <c r="AK36" s="83">
        <f>SUM(AK26,AK35)</f>
        <v>3107.7775200000001</v>
      </c>
      <c r="AL36" s="83">
        <f>SUM(AL26,AL35)</f>
        <v>3464.1853500000002</v>
      </c>
      <c r="AM36" s="83">
        <f>SUM(AM26,AM35)</f>
        <v>2544.0338200000001</v>
      </c>
    </row>
    <row r="37" spans="3:39" ht="6" customHeight="1" x14ac:dyDescent="0.2">
      <c r="D37" s="4"/>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row>
    <row r="38" spans="3:39" ht="11.25" hidden="1" customHeight="1" outlineLevel="1" x14ac:dyDescent="0.2">
      <c r="C38" s="17" t="s">
        <v>164</v>
      </c>
      <c r="D38" s="15"/>
      <c r="E38" s="14">
        <f>-SUMIFS(TB!K:K,TB!$J:$J,$C38)</f>
        <v>102.97868</v>
      </c>
      <c r="F38" s="14">
        <f>-SUMIFS(TB!L:L,TB!$J:$J,$C38)</f>
        <v>125.28341999999999</v>
      </c>
      <c r="G38" s="14">
        <f>-SUMIFS(TB!M:M,TB!$J:$J,$C38)</f>
        <v>176.99108999999999</v>
      </c>
      <c r="H38" s="14">
        <f>-SUMIFS(TB!N:N,TB!$J:$J,$C38)</f>
        <v>66.261679999999998</v>
      </c>
      <c r="I38" s="14">
        <f>-SUMIFS(TB!O:O,TB!$J:$J,$C38)</f>
        <v>116.23258</v>
      </c>
      <c r="J38" s="14">
        <f>-SUMIFS(TB!P:P,TB!$J:$J,$C38)</f>
        <v>121.51022999999999</v>
      </c>
      <c r="K38" s="14">
        <f>-SUMIFS(TB!Q:Q,TB!$J:$J,$C38)</f>
        <v>187.83073000000002</v>
      </c>
      <c r="L38" s="14">
        <f>-SUMIFS(TB!R:R,TB!$J:$J,$C38)</f>
        <v>127.91239999999999</v>
      </c>
      <c r="M38" s="14">
        <f>-SUMIFS(TB!S:S,TB!$J:$J,$C38)</f>
        <v>-70.614460000000008</v>
      </c>
      <c r="N38" s="14">
        <f>-SUMIFS(TB!T:T,TB!$J:$J,$C38)</f>
        <v>-35.702379999999998</v>
      </c>
      <c r="O38" s="14">
        <f>-SUMIFS(TB!U:U,TB!$J:$J,$C38)</f>
        <v>175.42123999999998</v>
      </c>
      <c r="P38" s="14">
        <f>-SUMIFS(TB!V:V,TB!$J:$J,$C38)</f>
        <v>0</v>
      </c>
      <c r="Q38" s="14">
        <f>-SUMIFS(TB!W:W,TB!$J:$J,$C38)</f>
        <v>57.586829999999999</v>
      </c>
      <c r="R38" s="14">
        <f>-SUMIFS(TB!X:X,TB!$J:$J,$C38)</f>
        <v>5.61409</v>
      </c>
      <c r="S38" s="14">
        <f>-SUMIFS(TB!Y:Y,TB!$J:$J,$C38)</f>
        <v>95.67886</v>
      </c>
      <c r="T38" s="14">
        <f>-SUMIFS(TB!Z:Z,TB!$J:$J,$C38)</f>
        <v>10.043340000000001</v>
      </c>
      <c r="U38" s="14">
        <f>-SUMIFS(TB!AA:AA,TB!$J:$J,$C38)</f>
        <v>131.57436999999999</v>
      </c>
      <c r="V38" s="14">
        <f>-SUMIFS(TB!AB:AB,TB!$J:$J,$C38)</f>
        <v>51.048589999999997</v>
      </c>
      <c r="W38" s="14">
        <f>-SUMIFS(TB!AC:AC,TB!$J:$J,$C38)</f>
        <v>118.19169000000001</v>
      </c>
      <c r="X38" s="14">
        <f>-SUMIFS(TB!AD:AD,TB!$J:$J,$C38)</f>
        <v>169.12200000000001</v>
      </c>
      <c r="Y38" s="14">
        <f>-SUMIFS(TB!AE:AE,TB!$J:$J,$C38)</f>
        <v>118.87128999999999</v>
      </c>
      <c r="Z38" s="14">
        <f>-SUMIFS(TB!AF:AF,TB!$J:$J,$C38)</f>
        <v>222.63320000000002</v>
      </c>
      <c r="AA38" s="14">
        <f>-SUMIFS(TB!AG:AG,TB!$J:$J,$C38)</f>
        <v>96.150399999999991</v>
      </c>
      <c r="AB38" s="14">
        <f>-SUMIFS(TB!AH:AH,TB!$J:$J,$C38)</f>
        <v>66.373259999999988</v>
      </c>
      <c r="AC38" s="14">
        <f>-SUMIFS(TB!AI:AI,TB!$J:$J,$C38)</f>
        <v>111.65541999999999</v>
      </c>
      <c r="AD38" s="14">
        <f>-SUMIFS(TB!AJ:AJ,TB!$J:$J,$C38)</f>
        <v>144.52427</v>
      </c>
      <c r="AE38" s="14">
        <f>-SUMIFS(TB!AK:AK,TB!$J:$J,$C38)</f>
        <v>237.55035999999998</v>
      </c>
      <c r="AF38" s="14">
        <f>-SUMIFS(TB!AL:AL,TB!$J:$J,$C38)</f>
        <v>57.762129999999999</v>
      </c>
      <c r="AG38" s="14">
        <f>-SUMIFS(TB!AM:AM,TB!$J:$J,$C38)</f>
        <v>154.90525</v>
      </c>
      <c r="AH38" s="14">
        <f>-SUMIFS(TB!AN:AN,TB!$J:$J,$C38)</f>
        <v>105.925</v>
      </c>
      <c r="AI38" s="14">
        <f>-SUMIFS(TB!AO:AO,TB!$J:$J,$C38)</f>
        <v>95.755990000000011</v>
      </c>
      <c r="AJ38" s="14"/>
      <c r="AK38" s="14">
        <f>P38</f>
        <v>0</v>
      </c>
      <c r="AL38" s="14">
        <f>AB38</f>
        <v>66.373259999999988</v>
      </c>
      <c r="AM38" s="14">
        <f>AI38</f>
        <v>95.755990000000011</v>
      </c>
    </row>
    <row r="39" spans="3:39" ht="11.25" customHeight="1" collapsed="1" x14ac:dyDescent="0.2">
      <c r="C39" t="s">
        <v>187</v>
      </c>
      <c r="D39" s="4"/>
      <c r="E39" s="2">
        <f>SUM(E38:E38)</f>
        <v>102.97868</v>
      </c>
      <c r="F39" s="2">
        <f>SUM(F38:F38)</f>
        <v>125.28341999999999</v>
      </c>
      <c r="G39" s="2">
        <f>SUM(G38:G38)</f>
        <v>176.99108999999999</v>
      </c>
      <c r="H39" s="2">
        <f>SUM(H38:H38)</f>
        <v>66.261679999999998</v>
      </c>
      <c r="I39" s="2">
        <f>SUM(I38:I38)</f>
        <v>116.23258</v>
      </c>
      <c r="J39" s="2">
        <f>SUM(J38:J38)</f>
        <v>121.51022999999999</v>
      </c>
      <c r="K39" s="2">
        <f>SUM(K38:K38)</f>
        <v>187.83073000000002</v>
      </c>
      <c r="L39" s="2">
        <f>SUM(L38:L38)</f>
        <v>127.91239999999999</v>
      </c>
      <c r="M39" s="2">
        <f>SUM(M38:M38)</f>
        <v>-70.614460000000008</v>
      </c>
      <c r="N39" s="2">
        <f>SUM(N38:N38)</f>
        <v>-35.702379999999998</v>
      </c>
      <c r="O39" s="2">
        <f>SUM(O38:O38)</f>
        <v>175.42123999999998</v>
      </c>
      <c r="P39" s="2">
        <f>SUM(P38:P38)</f>
        <v>0</v>
      </c>
      <c r="Q39" s="2">
        <f>SUM(Q38:Q38)</f>
        <v>57.586829999999999</v>
      </c>
      <c r="R39" s="2">
        <f>SUM(R38:R38)</f>
        <v>5.61409</v>
      </c>
      <c r="S39" s="2">
        <f>SUM(S38:S38)</f>
        <v>95.67886</v>
      </c>
      <c r="T39" s="2">
        <f>SUM(T38:T38)</f>
        <v>10.043340000000001</v>
      </c>
      <c r="U39" s="2">
        <f>SUM(U38:U38)</f>
        <v>131.57436999999999</v>
      </c>
      <c r="V39" s="2">
        <f>SUM(V38:V38)</f>
        <v>51.048589999999997</v>
      </c>
      <c r="W39" s="2">
        <f>SUM(W38:W38)</f>
        <v>118.19169000000001</v>
      </c>
      <c r="X39" s="2">
        <f>SUM(X38:X38)</f>
        <v>169.12200000000001</v>
      </c>
      <c r="Y39" s="2">
        <f>SUM(Y38:Y38)</f>
        <v>118.87128999999999</v>
      </c>
      <c r="Z39" s="2">
        <f>SUM(Z38:Z38)</f>
        <v>222.63320000000002</v>
      </c>
      <c r="AA39" s="2">
        <f>SUM(AA38:AA38)</f>
        <v>96.150399999999991</v>
      </c>
      <c r="AB39" s="2">
        <f>SUM(AB38:AB38)</f>
        <v>66.373259999999988</v>
      </c>
      <c r="AC39" s="2">
        <f>SUM(AC38:AC38)</f>
        <v>111.65541999999999</v>
      </c>
      <c r="AD39" s="2">
        <f>SUM(AD38:AD38)</f>
        <v>144.52427</v>
      </c>
      <c r="AE39" s="2">
        <f>SUM(AE38:AE38)</f>
        <v>237.55035999999998</v>
      </c>
      <c r="AF39" s="2">
        <f>SUM(AF38:AF38)</f>
        <v>57.762129999999999</v>
      </c>
      <c r="AG39" s="2">
        <f>SUM(AG38:AG38)</f>
        <v>154.90525</v>
      </c>
      <c r="AH39" s="2">
        <f>SUM(AH38:AH38)</f>
        <v>105.925</v>
      </c>
      <c r="AI39" s="2">
        <f>SUM(AI38:AI38)</f>
        <v>95.755990000000011</v>
      </c>
      <c r="AJ39" s="2"/>
      <c r="AK39" s="2">
        <f>SUM(AK38:AK38)</f>
        <v>0</v>
      </c>
      <c r="AL39" s="2">
        <f>SUM(AL38:AL38)</f>
        <v>66.373259999999988</v>
      </c>
      <c r="AM39" s="2">
        <f>SUM(AM38:AM38)</f>
        <v>95.755990000000011</v>
      </c>
    </row>
    <row r="40" spans="3:39" ht="6" hidden="1" customHeight="1" outlineLevel="1" x14ac:dyDescent="0.2">
      <c r="D40" s="4"/>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row>
    <row r="41" spans="3:39" ht="11.25" hidden="1" customHeight="1" outlineLevel="1" x14ac:dyDescent="0.2">
      <c r="C41" t="s">
        <v>162</v>
      </c>
      <c r="D41" s="4"/>
      <c r="E41" s="2">
        <f>-SUMIFS(TB!K:K,TB!$J:$J,$C41)</f>
        <v>0</v>
      </c>
      <c r="F41" s="2">
        <f>-SUMIFS(TB!L:L,TB!$J:$J,$C41)</f>
        <v>0</v>
      </c>
      <c r="G41" s="2">
        <f>-SUMIFS(TB!M:M,TB!$J:$J,$C41)</f>
        <v>0</v>
      </c>
      <c r="H41" s="2">
        <f>-SUMIFS(TB!N:N,TB!$J:$J,$C41)</f>
        <v>0</v>
      </c>
      <c r="I41" s="2">
        <f>-SUMIFS(TB!O:O,TB!$J:$J,$C41)</f>
        <v>0</v>
      </c>
      <c r="J41" s="2">
        <f>-SUMIFS(TB!P:P,TB!$J:$J,$C41)</f>
        <v>0</v>
      </c>
      <c r="K41" s="2">
        <f>-SUMIFS(TB!Q:Q,TB!$J:$J,$C41)</f>
        <v>0</v>
      </c>
      <c r="L41" s="2">
        <f>-SUMIFS(TB!R:R,TB!$J:$J,$C41)</f>
        <v>0</v>
      </c>
      <c r="M41" s="2">
        <f>-SUMIFS(TB!S:S,TB!$J:$J,$C41)</f>
        <v>0</v>
      </c>
      <c r="N41" s="2">
        <f>-SUMIFS(TB!T:T,TB!$J:$J,$C41)</f>
        <v>0</v>
      </c>
      <c r="O41" s="2">
        <f>-SUMIFS(TB!U:U,TB!$J:$J,$C41)</f>
        <v>0</v>
      </c>
      <c r="P41" s="2">
        <f>-SUMIFS(TB!V:V,TB!$J:$J,$C41)</f>
        <v>0</v>
      </c>
      <c r="Q41" s="2">
        <f>-SUMIFS(TB!W:W,TB!$J:$J,$C41)</f>
        <v>0</v>
      </c>
      <c r="R41" s="2">
        <f>-SUMIFS(TB!X:X,TB!$J:$J,$C41)</f>
        <v>0</v>
      </c>
      <c r="S41" s="2">
        <f>-SUMIFS(TB!Y:Y,TB!$J:$J,$C41)</f>
        <v>0</v>
      </c>
      <c r="T41" s="2">
        <f>-SUMIFS(TB!Z:Z,TB!$J:$J,$C41)</f>
        <v>0</v>
      </c>
      <c r="U41" s="2">
        <f>-SUMIFS(TB!AA:AA,TB!$J:$J,$C41)</f>
        <v>0</v>
      </c>
      <c r="V41" s="2">
        <f>-SUMIFS(TB!AB:AB,TB!$J:$J,$C41)</f>
        <v>0</v>
      </c>
      <c r="W41" s="2">
        <f>-SUMIFS(TB!AC:AC,TB!$J:$J,$C41)</f>
        <v>15.654999999999999</v>
      </c>
      <c r="X41" s="2">
        <f>-SUMIFS(TB!AD:AD,TB!$J:$J,$C41)</f>
        <v>15.654999999999999</v>
      </c>
      <c r="Y41" s="2">
        <f>-SUMIFS(TB!AE:AE,TB!$J:$J,$C41)</f>
        <v>15.654999999999999</v>
      </c>
      <c r="Z41" s="2">
        <f>-SUMIFS(TB!AF:AF,TB!$J:$J,$C41)</f>
        <v>15.654999999999999</v>
      </c>
      <c r="AA41" s="2">
        <f>-SUMIFS(TB!AG:AG,TB!$J:$J,$C41)</f>
        <v>15.654999999999999</v>
      </c>
      <c r="AB41" s="2">
        <f>-SUMIFS(TB!AH:AH,TB!$J:$J,$C41)</f>
        <v>15.654999999999999</v>
      </c>
      <c r="AC41" s="2">
        <f>-SUMIFS(TB!AI:AI,TB!$J:$J,$C41)</f>
        <v>15.654999999999999</v>
      </c>
      <c r="AD41" s="2">
        <f>-SUMIFS(TB!AJ:AJ,TB!$J:$J,$C41)</f>
        <v>15.654999999999999</v>
      </c>
      <c r="AE41" s="2">
        <f>-SUMIFS(TB!AK:AK,TB!$J:$J,$C41)</f>
        <v>15.654999999999999</v>
      </c>
      <c r="AF41" s="2">
        <f>-SUMIFS(TB!AL:AL,TB!$J:$J,$C41)</f>
        <v>15.654999999999999</v>
      </c>
      <c r="AG41" s="2">
        <f>-SUMIFS(TB!AM:AM,TB!$J:$J,$C41)</f>
        <v>15.654999999999999</v>
      </c>
      <c r="AH41" s="2">
        <f>-SUMIFS(TB!AN:AN,TB!$J:$J,$C41)</f>
        <v>15.654999999999999</v>
      </c>
      <c r="AI41" s="2">
        <f>-SUMIFS(TB!AO:AO,TB!$J:$J,$C41)</f>
        <v>15.654999999999999</v>
      </c>
      <c r="AJ41" s="2"/>
      <c r="AK41" s="2">
        <f>P41</f>
        <v>0</v>
      </c>
      <c r="AL41" s="2">
        <f>AB41</f>
        <v>15.654999999999999</v>
      </c>
      <c r="AM41" s="2">
        <f>AI41</f>
        <v>15.654999999999999</v>
      </c>
    </row>
    <row r="42" spans="3:39" ht="11.25" hidden="1" customHeight="1" outlineLevel="1" x14ac:dyDescent="0.2">
      <c r="C42" t="s">
        <v>161</v>
      </c>
      <c r="D42" s="4"/>
      <c r="E42" s="2">
        <f>-SUMIFS(TB!K:K,TB!$J:$J,$C42)</f>
        <v>0</v>
      </c>
      <c r="F42" s="2">
        <f>-SUMIFS(TB!L:L,TB!$J:$J,$C42)</f>
        <v>0</v>
      </c>
      <c r="G42" s="2">
        <f>-SUMIFS(TB!M:M,TB!$J:$J,$C42)</f>
        <v>0</v>
      </c>
      <c r="H42" s="2">
        <f>-SUMIFS(TB!N:N,TB!$J:$J,$C42)</f>
        <v>0</v>
      </c>
      <c r="I42" s="2">
        <f>-SUMIFS(TB!O:O,TB!$J:$J,$C42)</f>
        <v>0</v>
      </c>
      <c r="J42" s="2">
        <f>-SUMIFS(TB!P:P,TB!$J:$J,$C42)</f>
        <v>0</v>
      </c>
      <c r="K42" s="2">
        <f>-SUMIFS(TB!Q:Q,TB!$J:$J,$C42)</f>
        <v>0</v>
      </c>
      <c r="L42" s="2">
        <f>-SUMIFS(TB!R:R,TB!$J:$J,$C42)</f>
        <v>0</v>
      </c>
      <c r="M42" s="2">
        <f>-SUMIFS(TB!S:S,TB!$J:$J,$C42)</f>
        <v>0</v>
      </c>
      <c r="N42" s="2">
        <f>-SUMIFS(TB!T:T,TB!$J:$J,$C42)</f>
        <v>0</v>
      </c>
      <c r="O42" s="2">
        <f>-SUMIFS(TB!U:U,TB!$J:$J,$C42)</f>
        <v>0</v>
      </c>
      <c r="P42" s="2">
        <f>-SUMIFS(TB!V:V,TB!$J:$J,$C42)</f>
        <v>0</v>
      </c>
      <c r="Q42" s="2">
        <f>-SUMIFS(TB!W:W,TB!$J:$J,$C42)</f>
        <v>0</v>
      </c>
      <c r="R42" s="2">
        <f>-SUMIFS(TB!X:X,TB!$J:$J,$C42)</f>
        <v>0</v>
      </c>
      <c r="S42" s="2">
        <f>-SUMIFS(TB!Y:Y,TB!$J:$J,$C42)</f>
        <v>0</v>
      </c>
      <c r="T42" s="2">
        <f>-SUMIFS(TB!Z:Z,TB!$J:$J,$C42)</f>
        <v>0</v>
      </c>
      <c r="U42" s="2">
        <f>-SUMIFS(TB!AA:AA,TB!$J:$J,$C42)</f>
        <v>0</v>
      </c>
      <c r="V42" s="2">
        <f>-SUMIFS(TB!AB:AB,TB!$J:$J,$C42)</f>
        <v>0</v>
      </c>
      <c r="W42" s="2">
        <f>-SUMIFS(TB!AC:AC,TB!$J:$J,$C42)</f>
        <v>0</v>
      </c>
      <c r="X42" s="2">
        <f>-SUMIFS(TB!AD:AD,TB!$J:$J,$C42)</f>
        <v>0</v>
      </c>
      <c r="Y42" s="2">
        <f>-SUMIFS(TB!AE:AE,TB!$J:$J,$C42)</f>
        <v>0</v>
      </c>
      <c r="Z42" s="2">
        <f>-SUMIFS(TB!AF:AF,TB!$J:$J,$C42)</f>
        <v>0</v>
      </c>
      <c r="AA42" s="2">
        <f>-SUMIFS(TB!AG:AG,TB!$J:$J,$C42)</f>
        <v>0</v>
      </c>
      <c r="AB42" s="2">
        <f>-SUMIFS(TB!AH:AH,TB!$J:$J,$C42)</f>
        <v>0</v>
      </c>
      <c r="AC42" s="2">
        <f>-SUMIFS(TB!AI:AI,TB!$J:$J,$C42)</f>
        <v>0</v>
      </c>
      <c r="AD42" s="2">
        <f>-SUMIFS(TB!AJ:AJ,TB!$J:$J,$C42)</f>
        <v>0</v>
      </c>
      <c r="AE42" s="2">
        <f>-SUMIFS(TB!AK:AK,TB!$J:$J,$C42)</f>
        <v>0</v>
      </c>
      <c r="AF42" s="2">
        <f>-SUMIFS(TB!AL:AL,TB!$J:$J,$C42)</f>
        <v>0</v>
      </c>
      <c r="AG42" s="2">
        <f>-SUMIFS(TB!AM:AM,TB!$J:$J,$C42)</f>
        <v>0</v>
      </c>
      <c r="AH42" s="2">
        <f>-SUMIFS(TB!AN:AN,TB!$J:$J,$C42)</f>
        <v>0.57999999999999996</v>
      </c>
      <c r="AI42" s="2">
        <f>-SUMIFS(TB!AO:AO,TB!$J:$J,$C42)</f>
        <v>0.57999999999999996</v>
      </c>
      <c r="AJ42" s="2"/>
      <c r="AK42" s="2">
        <f>P42</f>
        <v>0</v>
      </c>
      <c r="AL42" s="2">
        <f>AB42</f>
        <v>0</v>
      </c>
      <c r="AM42" s="2">
        <f>AI42</f>
        <v>0.57999999999999996</v>
      </c>
    </row>
    <row r="43" spans="3:39" ht="11.25" hidden="1" customHeight="1" outlineLevel="1" x14ac:dyDescent="0.2">
      <c r="C43" t="s">
        <v>160</v>
      </c>
      <c r="D43" s="4"/>
      <c r="E43" s="2">
        <f>-SUMIFS(TB!K:K,TB!$J:$J,$C43)</f>
        <v>0</v>
      </c>
      <c r="F43" s="2">
        <f>-SUMIFS(TB!L:L,TB!$J:$J,$C43)</f>
        <v>0</v>
      </c>
      <c r="G43" s="2">
        <f>-SUMIFS(TB!M:M,TB!$J:$J,$C43)</f>
        <v>0</v>
      </c>
      <c r="H43" s="2">
        <f>-SUMIFS(TB!N:N,TB!$J:$J,$C43)</f>
        <v>0</v>
      </c>
      <c r="I43" s="2">
        <f>-SUMIFS(TB!O:O,TB!$J:$J,$C43)</f>
        <v>0</v>
      </c>
      <c r="J43" s="2">
        <f>-SUMIFS(TB!P:P,TB!$J:$J,$C43)</f>
        <v>0</v>
      </c>
      <c r="K43" s="2">
        <f>-SUMIFS(TB!Q:Q,TB!$J:$J,$C43)</f>
        <v>0</v>
      </c>
      <c r="L43" s="2">
        <f>-SUMIFS(TB!R:R,TB!$J:$J,$C43)</f>
        <v>0</v>
      </c>
      <c r="M43" s="2">
        <f>-SUMIFS(TB!S:S,TB!$J:$J,$C43)</f>
        <v>0</v>
      </c>
      <c r="N43" s="2">
        <f>-SUMIFS(TB!T:T,TB!$J:$J,$C43)</f>
        <v>0</v>
      </c>
      <c r="O43" s="2">
        <f>-SUMIFS(TB!U:U,TB!$J:$J,$C43)</f>
        <v>0</v>
      </c>
      <c r="P43" s="2">
        <f>-SUMIFS(TB!V:V,TB!$J:$J,$C43)</f>
        <v>1.2193800000000001</v>
      </c>
      <c r="Q43" s="2">
        <f>-SUMIFS(TB!W:W,TB!$J:$J,$C43)</f>
        <v>1.2193800000000001</v>
      </c>
      <c r="R43" s="2">
        <f>-SUMIFS(TB!X:X,TB!$J:$J,$C43)</f>
        <v>1.2193800000000001</v>
      </c>
      <c r="S43" s="2">
        <f>-SUMIFS(TB!Y:Y,TB!$J:$J,$C43)</f>
        <v>1.2193800000000001</v>
      </c>
      <c r="T43" s="2">
        <f>-SUMIFS(TB!Z:Z,TB!$J:$J,$C43)</f>
        <v>1.2193800000000001</v>
      </c>
      <c r="U43" s="2">
        <f>-SUMIFS(TB!AA:AA,TB!$J:$J,$C43)</f>
        <v>1.2193800000000001</v>
      </c>
      <c r="V43" s="2">
        <f>-SUMIFS(TB!AB:AB,TB!$J:$J,$C43)</f>
        <v>1.2193800000000001</v>
      </c>
      <c r="W43" s="2">
        <f>-SUMIFS(TB!AC:AC,TB!$J:$J,$C43)</f>
        <v>1.2193800000000001</v>
      </c>
      <c r="X43" s="2">
        <f>-SUMIFS(TB!AD:AD,TB!$J:$J,$C43)</f>
        <v>1.2193800000000001</v>
      </c>
      <c r="Y43" s="2">
        <f>-SUMIFS(TB!AE:AE,TB!$J:$J,$C43)</f>
        <v>1.2193800000000001</v>
      </c>
      <c r="Z43" s="2">
        <f>-SUMIFS(TB!AF:AF,TB!$J:$J,$C43)</f>
        <v>1.2193800000000001</v>
      </c>
      <c r="AA43" s="2">
        <f>-SUMIFS(TB!AG:AG,TB!$J:$J,$C43)</f>
        <v>0</v>
      </c>
      <c r="AB43" s="2">
        <f>-SUMIFS(TB!AH:AH,TB!$J:$J,$C43)</f>
        <v>67.845690000000005</v>
      </c>
      <c r="AC43" s="2">
        <f>-SUMIFS(TB!AI:AI,TB!$J:$J,$C43)</f>
        <v>67.845690000000005</v>
      </c>
      <c r="AD43" s="2">
        <f>-SUMIFS(TB!AJ:AJ,TB!$J:$J,$C43)</f>
        <v>67.845690000000005</v>
      </c>
      <c r="AE43" s="2">
        <f>-SUMIFS(TB!AK:AK,TB!$J:$J,$C43)</f>
        <v>67.845690000000005</v>
      </c>
      <c r="AF43" s="2">
        <f>-SUMIFS(TB!AL:AL,TB!$J:$J,$C43)</f>
        <v>0</v>
      </c>
      <c r="AG43" s="2">
        <f>-SUMIFS(TB!AM:AM,TB!$J:$J,$C43)</f>
        <v>0</v>
      </c>
      <c r="AH43" s="2">
        <f>-SUMIFS(TB!AN:AN,TB!$J:$J,$C43)</f>
        <v>0</v>
      </c>
      <c r="AI43" s="2">
        <f>-SUMIFS(TB!AO:AO,TB!$J:$J,$C43)</f>
        <v>0</v>
      </c>
      <c r="AJ43" s="2"/>
      <c r="AK43" s="2">
        <f>P43</f>
        <v>1.2193800000000001</v>
      </c>
      <c r="AL43" s="2">
        <f>AB43</f>
        <v>67.845690000000005</v>
      </c>
      <c r="AM43" s="2">
        <f>AI43</f>
        <v>0</v>
      </c>
    </row>
    <row r="44" spans="3:39" ht="11.25" hidden="1" customHeight="1" outlineLevel="1" x14ac:dyDescent="0.2">
      <c r="C44" s="17" t="s">
        <v>159</v>
      </c>
      <c r="D44" s="15"/>
      <c r="E44" s="14">
        <f>-SUMIFS(TB!K:K,TB!$J:$J,$C44)</f>
        <v>15</v>
      </c>
      <c r="F44" s="14">
        <f>-SUMIFS(TB!L:L,TB!$J:$J,$C44)</f>
        <v>15</v>
      </c>
      <c r="G44" s="14">
        <f>-SUMIFS(TB!M:M,TB!$J:$J,$C44)</f>
        <v>15</v>
      </c>
      <c r="H44" s="14">
        <f>-SUMIFS(TB!N:N,TB!$J:$J,$C44)</f>
        <v>15</v>
      </c>
      <c r="I44" s="14">
        <f>-SUMIFS(TB!O:O,TB!$J:$J,$C44)</f>
        <v>15</v>
      </c>
      <c r="J44" s="14">
        <f>-SUMIFS(TB!P:P,TB!$J:$J,$C44)</f>
        <v>15</v>
      </c>
      <c r="K44" s="14">
        <f>-SUMIFS(TB!Q:Q,TB!$J:$J,$C44)</f>
        <v>15</v>
      </c>
      <c r="L44" s="14">
        <f>-SUMIFS(TB!R:R,TB!$J:$J,$C44)</f>
        <v>0</v>
      </c>
      <c r="M44" s="14">
        <f>-SUMIFS(TB!S:S,TB!$J:$J,$C44)</f>
        <v>0</v>
      </c>
      <c r="N44" s="14">
        <f>-SUMIFS(TB!T:T,TB!$J:$J,$C44)</f>
        <v>0</v>
      </c>
      <c r="O44" s="14">
        <f>-SUMIFS(TB!U:U,TB!$J:$J,$C44)</f>
        <v>0</v>
      </c>
      <c r="P44" s="14">
        <f>-SUMIFS(TB!V:V,TB!$J:$J,$C44)</f>
        <v>0</v>
      </c>
      <c r="Q44" s="14">
        <f>-SUMIFS(TB!W:W,TB!$J:$J,$C44)</f>
        <v>0</v>
      </c>
      <c r="R44" s="14">
        <f>-SUMIFS(TB!X:X,TB!$J:$J,$C44)</f>
        <v>0</v>
      </c>
      <c r="S44" s="14">
        <f>-SUMIFS(TB!Y:Y,TB!$J:$J,$C44)</f>
        <v>0</v>
      </c>
      <c r="T44" s="14">
        <f>-SUMIFS(TB!Z:Z,TB!$J:$J,$C44)</f>
        <v>0</v>
      </c>
      <c r="U44" s="14">
        <f>-SUMIFS(TB!AA:AA,TB!$J:$J,$C44)</f>
        <v>0</v>
      </c>
      <c r="V44" s="14">
        <f>-SUMIFS(TB!AB:AB,TB!$J:$J,$C44)</f>
        <v>0</v>
      </c>
      <c r="W44" s="14">
        <f>-SUMIFS(TB!AC:AC,TB!$J:$J,$C44)</f>
        <v>0</v>
      </c>
      <c r="X44" s="14">
        <f>-SUMIFS(TB!AD:AD,TB!$J:$J,$C44)</f>
        <v>0</v>
      </c>
      <c r="Y44" s="14">
        <f>-SUMIFS(TB!AE:AE,TB!$J:$J,$C44)</f>
        <v>0</v>
      </c>
      <c r="Z44" s="14">
        <f>-SUMIFS(TB!AF:AF,TB!$J:$J,$C44)</f>
        <v>0</v>
      </c>
      <c r="AA44" s="14">
        <f>-SUMIFS(TB!AG:AG,TB!$J:$J,$C44)</f>
        <v>0</v>
      </c>
      <c r="AB44" s="14">
        <f>-SUMIFS(TB!AH:AH,TB!$J:$J,$C44)</f>
        <v>0</v>
      </c>
      <c r="AC44" s="14">
        <f>-SUMIFS(TB!AI:AI,TB!$J:$J,$C44)</f>
        <v>0</v>
      </c>
      <c r="AD44" s="14">
        <f>-SUMIFS(TB!AJ:AJ,TB!$J:$J,$C44)</f>
        <v>0</v>
      </c>
      <c r="AE44" s="14">
        <f>-SUMIFS(TB!AK:AK,TB!$J:$J,$C44)</f>
        <v>0</v>
      </c>
      <c r="AF44" s="14">
        <f>-SUMIFS(TB!AL:AL,TB!$J:$J,$C44)</f>
        <v>0</v>
      </c>
      <c r="AG44" s="14">
        <f>-SUMIFS(TB!AM:AM,TB!$J:$J,$C44)</f>
        <v>0</v>
      </c>
      <c r="AH44" s="14">
        <f>-SUMIFS(TB!AN:AN,TB!$J:$J,$C44)</f>
        <v>0</v>
      </c>
      <c r="AI44" s="14">
        <f>-SUMIFS(TB!AO:AO,TB!$J:$J,$C44)</f>
        <v>0</v>
      </c>
      <c r="AJ44" s="14"/>
      <c r="AK44" s="14">
        <f>P44</f>
        <v>0</v>
      </c>
      <c r="AL44" s="14">
        <f>AB44</f>
        <v>0</v>
      </c>
      <c r="AM44" s="14">
        <f>AI44</f>
        <v>0</v>
      </c>
    </row>
    <row r="45" spans="3:39" ht="11.25" customHeight="1" collapsed="1" x14ac:dyDescent="0.2">
      <c r="C45" t="s">
        <v>158</v>
      </c>
      <c r="D45" s="4"/>
      <c r="E45" s="2">
        <f>SUM(E40:E44)</f>
        <v>15</v>
      </c>
      <c r="F45" s="2">
        <f>SUM(F40:F44)</f>
        <v>15</v>
      </c>
      <c r="G45" s="2">
        <f>SUM(G40:G44)</f>
        <v>15</v>
      </c>
      <c r="H45" s="2">
        <f>SUM(H40:H44)</f>
        <v>15</v>
      </c>
      <c r="I45" s="2">
        <f>SUM(I40:I44)</f>
        <v>15</v>
      </c>
      <c r="J45" s="2">
        <f>SUM(J40:J44)</f>
        <v>15</v>
      </c>
      <c r="K45" s="2">
        <f>SUM(K40:K44)</f>
        <v>15</v>
      </c>
      <c r="L45" s="2">
        <f>SUM(L40:L44)</f>
        <v>0</v>
      </c>
      <c r="M45" s="2">
        <f>SUM(M40:M44)</f>
        <v>0</v>
      </c>
      <c r="N45" s="2">
        <f>SUM(N40:N44)</f>
        <v>0</v>
      </c>
      <c r="O45" s="2">
        <f>SUM(O40:O44)</f>
        <v>0</v>
      </c>
      <c r="P45" s="2">
        <f>SUM(P40:P44)</f>
        <v>1.2193800000000001</v>
      </c>
      <c r="Q45" s="2">
        <f>SUM(Q40:Q44)</f>
        <v>1.2193800000000001</v>
      </c>
      <c r="R45" s="2">
        <f>SUM(R40:R44)</f>
        <v>1.2193800000000001</v>
      </c>
      <c r="S45" s="2">
        <f>SUM(S40:S44)</f>
        <v>1.2193800000000001</v>
      </c>
      <c r="T45" s="2">
        <f>SUM(T40:T44)</f>
        <v>1.2193800000000001</v>
      </c>
      <c r="U45" s="2">
        <f>SUM(U40:U44)</f>
        <v>1.2193800000000001</v>
      </c>
      <c r="V45" s="2">
        <f>SUM(V40:V44)</f>
        <v>1.2193800000000001</v>
      </c>
      <c r="W45" s="2">
        <f>SUM(W40:W44)</f>
        <v>16.874379999999999</v>
      </c>
      <c r="X45" s="2">
        <f>SUM(X40:X44)</f>
        <v>16.874379999999999</v>
      </c>
      <c r="Y45" s="2">
        <f>SUM(Y40:Y44)</f>
        <v>16.874379999999999</v>
      </c>
      <c r="Z45" s="2">
        <f>SUM(Z40:Z44)</f>
        <v>16.874379999999999</v>
      </c>
      <c r="AA45" s="2">
        <f>SUM(AA40:AA44)</f>
        <v>15.654999999999999</v>
      </c>
      <c r="AB45" s="2">
        <f>SUM(AB40:AB44)</f>
        <v>83.500690000000006</v>
      </c>
      <c r="AC45" s="2">
        <f>SUM(AC40:AC44)</f>
        <v>83.500690000000006</v>
      </c>
      <c r="AD45" s="2">
        <f>SUM(AD40:AD44)</f>
        <v>83.500690000000006</v>
      </c>
      <c r="AE45" s="2">
        <f>SUM(AE40:AE44)</f>
        <v>83.500690000000006</v>
      </c>
      <c r="AF45" s="2">
        <f>SUM(AF40:AF44)</f>
        <v>15.654999999999999</v>
      </c>
      <c r="AG45" s="2">
        <f>SUM(AG40:AG44)</f>
        <v>15.654999999999999</v>
      </c>
      <c r="AH45" s="2">
        <f>SUM(AH40:AH44)</f>
        <v>16.234999999999999</v>
      </c>
      <c r="AI45" s="2">
        <f>SUM(AI40:AI44)</f>
        <v>16.234999999999999</v>
      </c>
      <c r="AJ45" s="2"/>
      <c r="AK45" s="2">
        <f>SUM(AK40:AK44)</f>
        <v>1.2193800000000001</v>
      </c>
      <c r="AL45" s="2">
        <f>SUM(AL40:AL44)</f>
        <v>83.500690000000006</v>
      </c>
      <c r="AM45" s="2">
        <f>SUM(AM40:AM44)</f>
        <v>16.234999999999999</v>
      </c>
    </row>
    <row r="46" spans="3:39" ht="6" hidden="1" customHeight="1" outlineLevel="1" x14ac:dyDescent="0.2">
      <c r="D46" s="4"/>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row>
    <row r="47" spans="3:39" ht="11.25" hidden="1" customHeight="1" outlineLevel="1" x14ac:dyDescent="0.2">
      <c r="C47" s="17" t="s">
        <v>157</v>
      </c>
      <c r="D47" s="15"/>
      <c r="E47" s="14">
        <f>-SUMIFS(TB!K:K,TB!$J:$J,$C47)</f>
        <v>1166.1134999999999</v>
      </c>
      <c r="F47" s="14">
        <f>-SUMIFS(TB!L:L,TB!$J:$J,$C47)</f>
        <v>1166.1134999999999</v>
      </c>
      <c r="G47" s="14">
        <f>-SUMIFS(TB!M:M,TB!$J:$J,$C47)</f>
        <v>1166.1134999999999</v>
      </c>
      <c r="H47" s="14">
        <f>-SUMIFS(TB!N:N,TB!$J:$J,$C47)</f>
        <v>1166.1134999999999</v>
      </c>
      <c r="I47" s="14">
        <f>-SUMIFS(TB!O:O,TB!$J:$J,$C47)</f>
        <v>1166.1134999999999</v>
      </c>
      <c r="J47" s="14">
        <f>-SUMIFS(TB!P:P,TB!$J:$J,$C47)</f>
        <v>1166.1134999999999</v>
      </c>
      <c r="K47" s="14">
        <f>-SUMIFS(TB!Q:Q,TB!$J:$J,$C47)</f>
        <v>1166.1134999999999</v>
      </c>
      <c r="L47" s="14">
        <f>-SUMIFS(TB!R:R,TB!$J:$J,$C47)</f>
        <v>1166.1134999999999</v>
      </c>
      <c r="M47" s="14">
        <f>-SUMIFS(TB!S:S,TB!$J:$J,$C47)</f>
        <v>1166.1134999999999</v>
      </c>
      <c r="N47" s="14">
        <f>-SUMIFS(TB!T:T,TB!$J:$J,$C47)</f>
        <v>1166.1134999999999</v>
      </c>
      <c r="O47" s="14">
        <f>-SUMIFS(TB!U:U,TB!$J:$J,$C47)</f>
        <v>1166.1134999999999</v>
      </c>
      <c r="P47" s="14">
        <f>-SUMIFS(TB!V:V,TB!$J:$J,$C47)</f>
        <v>1112.5840000000001</v>
      </c>
      <c r="Q47" s="14">
        <f>-SUMIFS(TB!W:W,TB!$J:$J,$C47)</f>
        <v>1112.5840000000001</v>
      </c>
      <c r="R47" s="14">
        <f>-SUMIFS(TB!X:X,TB!$J:$J,$C47)</f>
        <v>1112.5840000000001</v>
      </c>
      <c r="S47" s="14">
        <f>-SUMIFS(TB!Y:Y,TB!$J:$J,$C47)</f>
        <v>1000.846</v>
      </c>
      <c r="T47" s="14">
        <f>-SUMIFS(TB!Z:Z,TB!$J:$J,$C47)</f>
        <v>1000.846</v>
      </c>
      <c r="U47" s="14">
        <f>-SUMIFS(TB!AA:AA,TB!$J:$J,$C47)</f>
        <v>1000.846</v>
      </c>
      <c r="V47" s="14">
        <f>-SUMIFS(TB!AB:AB,TB!$J:$J,$C47)</f>
        <v>1000.846</v>
      </c>
      <c r="W47" s="14">
        <f>-SUMIFS(TB!AC:AC,TB!$J:$J,$C47)</f>
        <v>933.346</v>
      </c>
      <c r="X47" s="14">
        <f>-SUMIFS(TB!AD:AD,TB!$J:$J,$C47)</f>
        <v>933.346</v>
      </c>
      <c r="Y47" s="14">
        <f>-SUMIFS(TB!AE:AE,TB!$J:$J,$C47)</f>
        <v>933.346</v>
      </c>
      <c r="Z47" s="14">
        <f>-SUMIFS(TB!AF:AF,TB!$J:$J,$C47)</f>
        <v>933.346</v>
      </c>
      <c r="AA47" s="14">
        <f>-SUMIFS(TB!AG:AG,TB!$J:$J,$C47)</f>
        <v>933.346</v>
      </c>
      <c r="AB47" s="14">
        <f>-SUMIFS(TB!AH:AH,TB!$J:$J,$C47)</f>
        <v>925.17</v>
      </c>
      <c r="AC47" s="14">
        <f>-SUMIFS(TB!AI:AI,TB!$J:$J,$C47)</f>
        <v>925.17</v>
      </c>
      <c r="AD47" s="14">
        <f>-SUMIFS(TB!AJ:AJ,TB!$J:$J,$C47)</f>
        <v>925.17</v>
      </c>
      <c r="AE47" s="14">
        <f>-SUMIFS(TB!AK:AK,TB!$J:$J,$C47)</f>
        <v>851.17</v>
      </c>
      <c r="AF47" s="14">
        <f>-SUMIFS(TB!AL:AL,TB!$J:$J,$C47)</f>
        <v>851.17</v>
      </c>
      <c r="AG47" s="14">
        <f>-SUMIFS(TB!AM:AM,TB!$J:$J,$C47)</f>
        <v>851.17</v>
      </c>
      <c r="AH47" s="14">
        <f>-SUMIFS(TB!AN:AN,TB!$J:$J,$C47)</f>
        <v>851.17</v>
      </c>
      <c r="AI47" s="14">
        <f>-SUMIFS(TB!AO:AO,TB!$J:$J,$C47)</f>
        <v>810.14499999999998</v>
      </c>
      <c r="AJ47" s="14"/>
      <c r="AK47" s="14">
        <f>P47</f>
        <v>1112.5840000000001</v>
      </c>
      <c r="AL47" s="14">
        <f>AB47</f>
        <v>925.17</v>
      </c>
      <c r="AM47" s="14">
        <f>AI47</f>
        <v>810.14499999999998</v>
      </c>
    </row>
    <row r="48" spans="3:39" ht="11.25" customHeight="1" collapsed="1" x14ac:dyDescent="0.2">
      <c r="C48" t="s">
        <v>186</v>
      </c>
      <c r="D48" s="4"/>
      <c r="E48" s="2">
        <f>SUM(E46:E47)</f>
        <v>1166.1134999999999</v>
      </c>
      <c r="F48" s="2">
        <f>SUM(F46:F47)</f>
        <v>1166.1134999999999</v>
      </c>
      <c r="G48" s="2">
        <f>SUM(G46:G47)</f>
        <v>1166.1134999999999</v>
      </c>
      <c r="H48" s="2">
        <f>SUM(H46:H47)</f>
        <v>1166.1134999999999</v>
      </c>
      <c r="I48" s="2">
        <f>SUM(I46:I47)</f>
        <v>1166.1134999999999</v>
      </c>
      <c r="J48" s="2">
        <f>SUM(J46:J47)</f>
        <v>1166.1134999999999</v>
      </c>
      <c r="K48" s="2">
        <f>SUM(K46:K47)</f>
        <v>1166.1134999999999</v>
      </c>
      <c r="L48" s="2">
        <f>SUM(L46:L47)</f>
        <v>1166.1134999999999</v>
      </c>
      <c r="M48" s="2">
        <f>SUM(M46:M47)</f>
        <v>1166.1134999999999</v>
      </c>
      <c r="N48" s="2">
        <f>SUM(N46:N47)</f>
        <v>1166.1134999999999</v>
      </c>
      <c r="O48" s="2">
        <f>SUM(O46:O47)</f>
        <v>1166.1134999999999</v>
      </c>
      <c r="P48" s="2">
        <f>SUM(P46:P47)</f>
        <v>1112.5840000000001</v>
      </c>
      <c r="Q48" s="2">
        <f>SUM(Q46:Q47)</f>
        <v>1112.5840000000001</v>
      </c>
      <c r="R48" s="2">
        <f>SUM(R46:R47)</f>
        <v>1112.5840000000001</v>
      </c>
      <c r="S48" s="2">
        <f>SUM(S46:S47)</f>
        <v>1000.846</v>
      </c>
      <c r="T48" s="2">
        <f>SUM(T46:T47)</f>
        <v>1000.846</v>
      </c>
      <c r="U48" s="2">
        <f>SUM(U46:U47)</f>
        <v>1000.846</v>
      </c>
      <c r="V48" s="2">
        <f>SUM(V46:V47)</f>
        <v>1000.846</v>
      </c>
      <c r="W48" s="2">
        <f>SUM(W46:W47)</f>
        <v>933.346</v>
      </c>
      <c r="X48" s="2">
        <f>SUM(X46:X47)</f>
        <v>933.346</v>
      </c>
      <c r="Y48" s="2">
        <f>SUM(Y46:Y47)</f>
        <v>933.346</v>
      </c>
      <c r="Z48" s="2">
        <f>SUM(Z46:Z47)</f>
        <v>933.346</v>
      </c>
      <c r="AA48" s="2">
        <f>SUM(AA46:AA47)</f>
        <v>933.346</v>
      </c>
      <c r="AB48" s="2">
        <f>SUM(AB46:AB47)</f>
        <v>925.17</v>
      </c>
      <c r="AC48" s="2">
        <f>SUM(AC46:AC47)</f>
        <v>925.17</v>
      </c>
      <c r="AD48" s="2">
        <f>SUM(AD46:AD47)</f>
        <v>925.17</v>
      </c>
      <c r="AE48" s="2">
        <f>SUM(AE46:AE47)</f>
        <v>851.17</v>
      </c>
      <c r="AF48" s="2">
        <f>SUM(AF46:AF47)</f>
        <v>851.17</v>
      </c>
      <c r="AG48" s="2">
        <f>SUM(AG46:AG47)</f>
        <v>851.17</v>
      </c>
      <c r="AH48" s="2">
        <f>SUM(AH46:AH47)</f>
        <v>851.17</v>
      </c>
      <c r="AI48" s="2">
        <f>SUM(AI46:AI47)</f>
        <v>810.14499999999998</v>
      </c>
      <c r="AJ48" s="2"/>
      <c r="AK48" s="2">
        <f>SUM(AK46:AK47)</f>
        <v>1112.5840000000001</v>
      </c>
      <c r="AL48" s="2">
        <f>SUM(AL46:AL47)</f>
        <v>925.17</v>
      </c>
      <c r="AM48" s="2">
        <f>SUM(AM46:AM47)</f>
        <v>810.14499999999998</v>
      </c>
    </row>
    <row r="49" spans="3:39" ht="6" hidden="1" customHeight="1" outlineLevel="1" x14ac:dyDescent="0.2">
      <c r="D49" s="4"/>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row>
    <row r="50" spans="3:39" ht="11.25" hidden="1" customHeight="1" outlineLevel="1" x14ac:dyDescent="0.2">
      <c r="C50" t="s">
        <v>155</v>
      </c>
      <c r="D50" s="4"/>
      <c r="E50" s="2">
        <f>-SUMIFS(TB!K:K,TB!$J:$J,$C50)</f>
        <v>48.5</v>
      </c>
      <c r="F50" s="2">
        <f>-SUMIFS(TB!L:L,TB!$J:$J,$C50)</f>
        <v>97</v>
      </c>
      <c r="G50" s="2">
        <f>-SUMIFS(TB!M:M,TB!$J:$J,$C50)</f>
        <v>145.5</v>
      </c>
      <c r="H50" s="2">
        <f>-SUMIFS(TB!N:N,TB!$J:$J,$C50)</f>
        <v>194</v>
      </c>
      <c r="I50" s="2">
        <f>-SUMIFS(TB!O:O,TB!$J:$J,$C50)</f>
        <v>242.5</v>
      </c>
      <c r="J50" s="2">
        <f>-SUMIFS(TB!P:P,TB!$J:$J,$C50)</f>
        <v>291</v>
      </c>
      <c r="K50" s="2">
        <f>-SUMIFS(TB!Q:Q,TB!$J:$J,$C50)</f>
        <v>339.5</v>
      </c>
      <c r="L50" s="2">
        <f>-SUMIFS(TB!R:R,TB!$J:$J,$C50)</f>
        <v>388</v>
      </c>
      <c r="M50" s="2">
        <f>-SUMIFS(TB!S:S,TB!$J:$J,$C50)</f>
        <v>436.5</v>
      </c>
      <c r="N50" s="2">
        <f>-SUMIFS(TB!T:T,TB!$J:$J,$C50)</f>
        <v>485</v>
      </c>
      <c r="O50" s="2">
        <f>-SUMIFS(TB!U:U,TB!$J:$J,$C50)</f>
        <v>533.5</v>
      </c>
      <c r="P50" s="2">
        <f>-SUMIFS(TB!V:V,TB!$J:$J,$C50)</f>
        <v>0</v>
      </c>
      <c r="Q50" s="2">
        <f>-SUMIFS(TB!W:W,TB!$J:$J,$C50)</f>
        <v>51.25</v>
      </c>
      <c r="R50" s="2">
        <f>-SUMIFS(TB!X:X,TB!$J:$J,$C50)</f>
        <v>102.5</v>
      </c>
      <c r="S50" s="2">
        <f>-SUMIFS(TB!Y:Y,TB!$J:$J,$C50)</f>
        <v>153.75</v>
      </c>
      <c r="T50" s="2">
        <f>-SUMIFS(TB!Z:Z,TB!$J:$J,$C50)</f>
        <v>205</v>
      </c>
      <c r="U50" s="2">
        <f>-SUMIFS(TB!AA:AA,TB!$J:$J,$C50)</f>
        <v>256.25</v>
      </c>
      <c r="V50" s="2">
        <f>-SUMIFS(TB!AB:AB,TB!$J:$J,$C50)</f>
        <v>307.5</v>
      </c>
      <c r="W50" s="2">
        <f>-SUMIFS(TB!AC:AC,TB!$J:$J,$C50)</f>
        <v>358.75</v>
      </c>
      <c r="X50" s="2">
        <f>-SUMIFS(TB!AD:AD,TB!$J:$J,$C50)</f>
        <v>410</v>
      </c>
      <c r="Y50" s="2">
        <f>-SUMIFS(TB!AE:AE,TB!$J:$J,$C50)</f>
        <v>461.25</v>
      </c>
      <c r="Z50" s="2">
        <f>-SUMIFS(TB!AF:AF,TB!$J:$J,$C50)</f>
        <v>0</v>
      </c>
      <c r="AA50" s="2">
        <f>-SUMIFS(TB!AG:AG,TB!$J:$J,$C50)</f>
        <v>0</v>
      </c>
      <c r="AB50" s="2">
        <f>-SUMIFS(TB!AH:AH,TB!$J:$J,$C50)</f>
        <v>0</v>
      </c>
      <c r="AC50" s="2">
        <f>-SUMIFS(TB!AI:AI,TB!$J:$J,$C50)</f>
        <v>0</v>
      </c>
      <c r="AD50" s="2">
        <f>-SUMIFS(TB!AJ:AJ,TB!$J:$J,$C50)</f>
        <v>102.5</v>
      </c>
      <c r="AE50" s="2">
        <f>-SUMIFS(TB!AK:AK,TB!$J:$J,$C50)</f>
        <v>153.75</v>
      </c>
      <c r="AF50" s="2">
        <f>-SUMIFS(TB!AL:AL,TB!$J:$J,$C50)</f>
        <v>205</v>
      </c>
      <c r="AG50" s="2">
        <f>-SUMIFS(TB!AM:AM,TB!$J:$J,$C50)</f>
        <v>256.25</v>
      </c>
      <c r="AH50" s="2">
        <f>-SUMIFS(TB!AN:AN,TB!$J:$J,$C50)</f>
        <v>307.5</v>
      </c>
      <c r="AI50" s="2">
        <f>-SUMIFS(TB!AO:AO,TB!$J:$J,$C50)</f>
        <v>358.75</v>
      </c>
      <c r="AJ50" s="2"/>
      <c r="AK50" s="2">
        <f>P50</f>
        <v>0</v>
      </c>
      <c r="AL50" s="2">
        <f>AB50</f>
        <v>0</v>
      </c>
      <c r="AM50" s="2">
        <f>AI50</f>
        <v>358.75</v>
      </c>
    </row>
    <row r="51" spans="3:39" ht="11.25" hidden="1" customHeight="1" outlineLevel="1" x14ac:dyDescent="0.2">
      <c r="C51" t="s">
        <v>154</v>
      </c>
      <c r="D51" s="4"/>
      <c r="E51" s="2">
        <f>-SUMIFS(TB!K:K,TB!$J:$J,$C51)</f>
        <v>103.44607000000001</v>
      </c>
      <c r="F51" s="2">
        <f>-SUMIFS(TB!L:L,TB!$J:$J,$C51)</f>
        <v>103.44607000000001</v>
      </c>
      <c r="G51" s="2">
        <f>-SUMIFS(TB!M:M,TB!$J:$J,$C51)</f>
        <v>103.44607000000001</v>
      </c>
      <c r="H51" s="2">
        <f>-SUMIFS(TB!N:N,TB!$J:$J,$C51)</f>
        <v>103.44607000000001</v>
      </c>
      <c r="I51" s="2">
        <f>-SUMIFS(TB!O:O,TB!$J:$J,$C51)</f>
        <v>0</v>
      </c>
      <c r="J51" s="2">
        <f>-SUMIFS(TB!P:P,TB!$J:$J,$C51)</f>
        <v>0</v>
      </c>
      <c r="K51" s="2">
        <f>-SUMIFS(TB!Q:Q,TB!$J:$J,$C51)</f>
        <v>0</v>
      </c>
      <c r="L51" s="2">
        <f>-SUMIFS(TB!R:R,TB!$J:$J,$C51)</f>
        <v>0</v>
      </c>
      <c r="M51" s="2">
        <f>-SUMIFS(TB!S:S,TB!$J:$J,$C51)</f>
        <v>0</v>
      </c>
      <c r="N51" s="2">
        <f>-SUMIFS(TB!T:T,TB!$J:$J,$C51)</f>
        <v>0</v>
      </c>
      <c r="O51" s="2">
        <f>-SUMIFS(TB!U:U,TB!$J:$J,$C51)</f>
        <v>0</v>
      </c>
      <c r="P51" s="2">
        <f>-SUMIFS(TB!V:V,TB!$J:$J,$C51)</f>
        <v>91.939139999999995</v>
      </c>
      <c r="Q51" s="2">
        <f>-SUMIFS(TB!W:W,TB!$J:$J,$C51)</f>
        <v>91.939139999999995</v>
      </c>
      <c r="R51" s="2">
        <f>-SUMIFS(TB!X:X,TB!$J:$J,$C51)</f>
        <v>91.939139999999995</v>
      </c>
      <c r="S51" s="2">
        <f>-SUMIFS(TB!Y:Y,TB!$J:$J,$C51)</f>
        <v>91.939139999999995</v>
      </c>
      <c r="T51" s="2">
        <f>-SUMIFS(TB!Z:Z,TB!$J:$J,$C51)</f>
        <v>91.939139999999995</v>
      </c>
      <c r="U51" s="2">
        <f>-SUMIFS(TB!AA:AA,TB!$J:$J,$C51)</f>
        <v>0</v>
      </c>
      <c r="V51" s="2">
        <f>-SUMIFS(TB!AB:AB,TB!$J:$J,$C51)</f>
        <v>0</v>
      </c>
      <c r="W51" s="2">
        <f>-SUMIFS(TB!AC:AC,TB!$J:$J,$C51)</f>
        <v>0</v>
      </c>
      <c r="X51" s="2">
        <f>-SUMIFS(TB!AD:AD,TB!$J:$J,$C51)</f>
        <v>0</v>
      </c>
      <c r="Y51" s="2">
        <f>-SUMIFS(TB!AE:AE,TB!$J:$J,$C51)</f>
        <v>0</v>
      </c>
      <c r="Z51" s="2">
        <f>-SUMIFS(TB!AF:AF,TB!$J:$J,$C51)</f>
        <v>0</v>
      </c>
      <c r="AA51" s="2">
        <f>-SUMIFS(TB!AG:AG,TB!$J:$J,$C51)</f>
        <v>0</v>
      </c>
      <c r="AB51" s="2">
        <f>-SUMIFS(TB!AH:AH,TB!$J:$J,$C51)</f>
        <v>87.325890000000001</v>
      </c>
      <c r="AC51" s="2">
        <f>-SUMIFS(TB!AI:AI,TB!$J:$J,$C51)</f>
        <v>87.325890000000001</v>
      </c>
      <c r="AD51" s="2">
        <f>-SUMIFS(TB!AJ:AJ,TB!$J:$J,$C51)</f>
        <v>87.325890000000001</v>
      </c>
      <c r="AE51" s="2">
        <f>-SUMIFS(TB!AK:AK,TB!$J:$J,$C51)</f>
        <v>87.325890000000001</v>
      </c>
      <c r="AF51" s="2">
        <f>-SUMIFS(TB!AL:AL,TB!$J:$J,$C51)</f>
        <v>0</v>
      </c>
      <c r="AG51" s="2">
        <f>-SUMIFS(TB!AM:AM,TB!$J:$J,$C51)</f>
        <v>0</v>
      </c>
      <c r="AH51" s="2">
        <f>-SUMIFS(TB!AN:AN,TB!$J:$J,$C51)</f>
        <v>0</v>
      </c>
      <c r="AI51" s="2">
        <f>-SUMIFS(TB!AO:AO,TB!$J:$J,$C51)</f>
        <v>0</v>
      </c>
      <c r="AJ51" s="2"/>
      <c r="AK51" s="2">
        <f>P51</f>
        <v>91.939139999999995</v>
      </c>
      <c r="AL51" s="2">
        <f>AB51</f>
        <v>87.325890000000001</v>
      </c>
      <c r="AM51" s="2">
        <f>AI51</f>
        <v>0</v>
      </c>
    </row>
    <row r="52" spans="3:39" ht="11.25" hidden="1" customHeight="1" outlineLevel="1" x14ac:dyDescent="0.2">
      <c r="C52" s="17" t="s">
        <v>153</v>
      </c>
      <c r="D52" s="15"/>
      <c r="E52" s="14">
        <f>-SUMIFS(TB!K:K,TB!$J:$J,$C52)</f>
        <v>8.0588800000000003</v>
      </c>
      <c r="F52" s="14">
        <f>-SUMIFS(TB!L:L,TB!$J:$J,$C52)</f>
        <v>8.8410200000000003</v>
      </c>
      <c r="G52" s="14">
        <f>-SUMIFS(TB!M:M,TB!$J:$J,$C52)</f>
        <v>8.8410200000000003</v>
      </c>
      <c r="H52" s="14">
        <f>-SUMIFS(TB!N:N,TB!$J:$J,$C52)</f>
        <v>8.8810200000000012</v>
      </c>
      <c r="I52" s="14">
        <f>-SUMIFS(TB!O:O,TB!$J:$J,$C52)</f>
        <v>8.7560200000000012</v>
      </c>
      <c r="J52" s="14">
        <f>-SUMIFS(TB!P:P,TB!$J:$J,$C52)</f>
        <v>8.7560200000000012</v>
      </c>
      <c r="K52" s="14">
        <f>-SUMIFS(TB!Q:Q,TB!$J:$J,$C52)</f>
        <v>8.2840799999999994</v>
      </c>
      <c r="L52" s="14">
        <f>-SUMIFS(TB!R:R,TB!$J:$J,$C52)</f>
        <v>8.2840799999999994</v>
      </c>
      <c r="M52" s="14">
        <f>-SUMIFS(TB!S:S,TB!$J:$J,$C52)</f>
        <v>6.2965799999999996</v>
      </c>
      <c r="N52" s="14">
        <f>-SUMIFS(TB!T:T,TB!$J:$J,$C52)</f>
        <v>9.0425799999999992</v>
      </c>
      <c r="O52" s="14">
        <f>-SUMIFS(TB!U:U,TB!$J:$J,$C52)</f>
        <v>9.0425799999999992</v>
      </c>
      <c r="P52" s="14">
        <f>-SUMIFS(TB!V:V,TB!$J:$J,$C52)</f>
        <v>34.044519999999999</v>
      </c>
      <c r="Q52" s="14">
        <f>-SUMIFS(TB!W:W,TB!$J:$J,$C52)</f>
        <v>9.0425799999999992</v>
      </c>
      <c r="R52" s="14">
        <f>-SUMIFS(TB!X:X,TB!$J:$J,$C52)</f>
        <v>9.2625799999999998</v>
      </c>
      <c r="S52" s="14">
        <f>-SUMIFS(TB!Y:Y,TB!$J:$J,$C52)</f>
        <v>9.2625799999999998</v>
      </c>
      <c r="T52" s="14">
        <f>-SUMIFS(TB!Z:Z,TB!$J:$J,$C52)</f>
        <v>9.2701100000000007</v>
      </c>
      <c r="U52" s="14">
        <f>-SUMIFS(TB!AA:AA,TB!$J:$J,$C52)</f>
        <v>9.2701100000000007</v>
      </c>
      <c r="V52" s="14">
        <f>-SUMIFS(TB!AB:AB,TB!$J:$J,$C52)</f>
        <v>9.2625799999999998</v>
      </c>
      <c r="W52" s="14">
        <f>-SUMIFS(TB!AC:AC,TB!$J:$J,$C52)</f>
        <v>9.2701100000000007</v>
      </c>
      <c r="X52" s="14">
        <f>-SUMIFS(TB!AD:AD,TB!$J:$J,$C52)</f>
        <v>9.2701100000000007</v>
      </c>
      <c r="Y52" s="14">
        <f>-SUMIFS(TB!AE:AE,TB!$J:$J,$C52)</f>
        <v>9.2701100000000007</v>
      </c>
      <c r="Z52" s="14">
        <f>-SUMIFS(TB!AF:AF,TB!$J:$J,$C52)</f>
        <v>9.3978400000000004</v>
      </c>
      <c r="AA52" s="14">
        <f>-SUMIFS(TB!AG:AG,TB!$J:$J,$C52)</f>
        <v>7.6471599999999995</v>
      </c>
      <c r="AB52" s="14">
        <f>-SUMIFS(TB!AH:AH,TB!$J:$J,$C52)</f>
        <v>7.9801599999999997</v>
      </c>
      <c r="AC52" s="14">
        <f>-SUMIFS(TB!AI:AI,TB!$J:$J,$C52)</f>
        <v>8.0094200000000004</v>
      </c>
      <c r="AD52" s="14">
        <f>-SUMIFS(TB!AJ:AJ,TB!$J:$J,$C52)</f>
        <v>8.0094200000000004</v>
      </c>
      <c r="AE52" s="14">
        <f>-SUMIFS(TB!AK:AK,TB!$J:$J,$C52)</f>
        <v>17.013450000000002</v>
      </c>
      <c r="AF52" s="14">
        <f>-SUMIFS(TB!AL:AL,TB!$J:$J,$C52)</f>
        <v>8.5094200000000004</v>
      </c>
      <c r="AG52" s="14">
        <f>-SUMIFS(TB!AM:AM,TB!$J:$J,$C52)</f>
        <v>8.3867199999999986</v>
      </c>
      <c r="AH52" s="14">
        <f>-SUMIFS(TB!AN:AN,TB!$J:$J,$C52)</f>
        <v>8.3867199999999986</v>
      </c>
      <c r="AI52" s="14">
        <f>-SUMIFS(TB!AO:AO,TB!$J:$J,$C52)</f>
        <v>0</v>
      </c>
      <c r="AJ52" s="14"/>
      <c r="AK52" s="14">
        <f>P52</f>
        <v>34.044519999999999</v>
      </c>
      <c r="AL52" s="14">
        <f>AB52</f>
        <v>7.9801599999999997</v>
      </c>
      <c r="AM52" s="14">
        <f>AI52</f>
        <v>0</v>
      </c>
    </row>
    <row r="53" spans="3:39" ht="11.25" customHeight="1" collapsed="1" x14ac:dyDescent="0.2">
      <c r="C53" t="s">
        <v>152</v>
      </c>
      <c r="D53" s="4"/>
      <c r="E53" s="2">
        <f>SUM(E50:E52)</f>
        <v>160.00495000000001</v>
      </c>
      <c r="F53" s="2">
        <f>SUM(F50:F52)</f>
        <v>209.28709000000003</v>
      </c>
      <c r="G53" s="2">
        <f>SUM(G50:G52)</f>
        <v>257.78709000000003</v>
      </c>
      <c r="H53" s="2">
        <f>SUM(H50:H52)</f>
        <v>306.32709</v>
      </c>
      <c r="I53" s="2">
        <f>SUM(I50:I52)</f>
        <v>251.25602000000001</v>
      </c>
      <c r="J53" s="2">
        <f>SUM(J50:J52)</f>
        <v>299.75601999999998</v>
      </c>
      <c r="K53" s="2">
        <f>SUM(K50:K52)</f>
        <v>347.78408000000002</v>
      </c>
      <c r="L53" s="2">
        <f>SUM(L50:L52)</f>
        <v>396.28408000000002</v>
      </c>
      <c r="M53" s="2">
        <f>SUM(M50:M52)</f>
        <v>442.79658000000001</v>
      </c>
      <c r="N53" s="2">
        <f>SUM(N50:N52)</f>
        <v>494.04257999999999</v>
      </c>
      <c r="O53" s="2">
        <f>SUM(O50:O52)</f>
        <v>542.54258000000004</v>
      </c>
      <c r="P53" s="2">
        <f>SUM(P50:P52)</f>
        <v>125.98365999999999</v>
      </c>
      <c r="Q53" s="2">
        <f>SUM(Q50:Q52)</f>
        <v>152.23172</v>
      </c>
      <c r="R53" s="2">
        <f>SUM(R50:R52)</f>
        <v>203.70172000000002</v>
      </c>
      <c r="S53" s="2">
        <f>SUM(S50:S52)</f>
        <v>254.95172000000002</v>
      </c>
      <c r="T53" s="2">
        <f>SUM(T50:T52)</f>
        <v>306.20925</v>
      </c>
      <c r="U53" s="2">
        <f>SUM(U50:U52)</f>
        <v>265.52010999999999</v>
      </c>
      <c r="V53" s="2">
        <f>SUM(V50:V52)</f>
        <v>316.76258000000001</v>
      </c>
      <c r="W53" s="2">
        <f>SUM(W50:W52)</f>
        <v>368.02010999999999</v>
      </c>
      <c r="X53" s="2">
        <f>SUM(X50:X52)</f>
        <v>419.27010999999999</v>
      </c>
      <c r="Y53" s="2">
        <f>SUM(Y50:Y52)</f>
        <v>470.52010999999999</v>
      </c>
      <c r="Z53" s="2">
        <f>SUM(Z50:Z52)</f>
        <v>9.3978400000000004</v>
      </c>
      <c r="AA53" s="2">
        <f>SUM(AA50:AA52)</f>
        <v>7.6471599999999995</v>
      </c>
      <c r="AB53" s="2">
        <f>SUM(AB50:AB52)</f>
        <v>95.306049999999999</v>
      </c>
      <c r="AC53" s="2">
        <f>SUM(AC50:AC52)</f>
        <v>95.335310000000007</v>
      </c>
      <c r="AD53" s="2">
        <f>SUM(AD50:AD52)</f>
        <v>197.83531000000002</v>
      </c>
      <c r="AE53" s="2">
        <f>SUM(AE50:AE52)</f>
        <v>258.08933999999999</v>
      </c>
      <c r="AF53" s="2">
        <f>SUM(AF50:AF52)</f>
        <v>213.50942000000001</v>
      </c>
      <c r="AG53" s="2">
        <f>SUM(AG50:AG52)</f>
        <v>264.63672000000003</v>
      </c>
      <c r="AH53" s="2">
        <f>SUM(AH50:AH52)</f>
        <v>315.88672000000003</v>
      </c>
      <c r="AI53" s="2">
        <f>SUM(AI50:AI52)</f>
        <v>358.75</v>
      </c>
      <c r="AJ53" s="2"/>
      <c r="AK53" s="2">
        <f>SUM(AK50:AK52)</f>
        <v>125.98365999999999</v>
      </c>
      <c r="AL53" s="2">
        <f>SUM(AL50:AL52)</f>
        <v>95.306049999999999</v>
      </c>
      <c r="AM53" s="2">
        <f>SUM(AM50:AM52)</f>
        <v>358.75</v>
      </c>
    </row>
    <row r="54" spans="3:39" ht="6" hidden="1" customHeight="1" outlineLevel="1" x14ac:dyDescent="0.2">
      <c r="D54" s="4"/>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row>
    <row r="55" spans="3:39" ht="11.25" hidden="1" customHeight="1" outlineLevel="1" x14ac:dyDescent="0.2">
      <c r="C55" s="17" t="s">
        <v>151</v>
      </c>
      <c r="D55" s="15"/>
      <c r="E55" s="14">
        <f>-SUMIFS(TB!K:K,TB!$J:$J,$C55)</f>
        <v>4.9988900000000003</v>
      </c>
      <c r="F55" s="14">
        <f>-SUMIFS(TB!L:L,TB!$J:$J,$C55)</f>
        <v>11.54903</v>
      </c>
      <c r="G55" s="14">
        <f>-SUMIFS(TB!M:M,TB!$J:$J,$C55)</f>
        <v>0.10635</v>
      </c>
      <c r="H55" s="14">
        <f>-SUMIFS(TB!N:N,TB!$J:$J,$C55)</f>
        <v>5.72126</v>
      </c>
      <c r="I55" s="14">
        <f>-SUMIFS(TB!O:O,TB!$J:$J,$C55)</f>
        <v>1.63473</v>
      </c>
      <c r="J55" s="14">
        <f>-SUMIFS(TB!P:P,TB!$J:$J,$C55)</f>
        <v>1.6259700000000001</v>
      </c>
      <c r="K55" s="14">
        <f>-SUMIFS(TB!Q:Q,TB!$J:$J,$C55)</f>
        <v>2.9461200000000001</v>
      </c>
      <c r="L55" s="14">
        <f>-SUMIFS(TB!R:R,TB!$J:$J,$C55)</f>
        <v>1.3489899999999999</v>
      </c>
      <c r="M55" s="14">
        <f>-SUMIFS(TB!S:S,TB!$J:$J,$C55)</f>
        <v>0.21380000000000002</v>
      </c>
      <c r="N55" s="14">
        <f>-SUMIFS(TB!T:T,TB!$J:$J,$C55)</f>
        <v>0.66918</v>
      </c>
      <c r="O55" s="14">
        <f>-SUMIFS(TB!U:U,TB!$J:$J,$C55)</f>
        <v>5.4251300000000002</v>
      </c>
      <c r="P55" s="14">
        <f>-SUMIFS(TB!V:V,TB!$J:$J,$C55)</f>
        <v>5.6001400000000006</v>
      </c>
      <c r="Q55" s="14">
        <f>-SUMIFS(TB!W:W,TB!$J:$J,$C55)</f>
        <v>4.8886799999999999</v>
      </c>
      <c r="R55" s="14">
        <f>-SUMIFS(TB!X:X,TB!$J:$J,$C55)</f>
        <v>1.1119000000000001</v>
      </c>
      <c r="S55" s="14">
        <f>-SUMIFS(TB!Y:Y,TB!$J:$J,$C55)</f>
        <v>5.43933</v>
      </c>
      <c r="T55" s="14">
        <f>-SUMIFS(TB!Z:Z,TB!$J:$J,$C55)</f>
        <v>3.8437899999999998</v>
      </c>
      <c r="U55" s="14">
        <f>-SUMIFS(TB!AA:AA,TB!$J:$J,$C55)</f>
        <v>0.43463999999999997</v>
      </c>
      <c r="V55" s="14">
        <f>-SUMIFS(TB!AB:AB,TB!$J:$J,$C55)</f>
        <v>5.4978899999999999</v>
      </c>
      <c r="W55" s="14">
        <f>-SUMIFS(TB!AC:AC,TB!$J:$J,$C55)</f>
        <v>4.1983300000000003</v>
      </c>
      <c r="X55" s="14">
        <f>-SUMIFS(TB!AD:AD,TB!$J:$J,$C55)</f>
        <v>4.02806</v>
      </c>
      <c r="Y55" s="14">
        <f>-SUMIFS(TB!AE:AE,TB!$J:$J,$C55)</f>
        <v>0</v>
      </c>
      <c r="Z55" s="14">
        <f>-SUMIFS(TB!AF:AF,TB!$J:$J,$C55)</f>
        <v>3.4602199999999996</v>
      </c>
      <c r="AA55" s="14">
        <f>-SUMIFS(TB!AG:AG,TB!$J:$J,$C55)</f>
        <v>4.3994300000000006</v>
      </c>
      <c r="AB55" s="14">
        <f>-SUMIFS(TB!AH:AH,TB!$J:$J,$C55)</f>
        <v>3.9042500000000002</v>
      </c>
      <c r="AC55" s="14">
        <f>-SUMIFS(TB!AI:AI,TB!$J:$J,$C55)</f>
        <v>3.98306</v>
      </c>
      <c r="AD55" s="14">
        <f>-SUMIFS(TB!AJ:AJ,TB!$J:$J,$C55)</f>
        <v>2.3029799999999998</v>
      </c>
      <c r="AE55" s="14">
        <f>-SUMIFS(TB!AK:AK,TB!$J:$J,$C55)</f>
        <v>3.4098800000000002</v>
      </c>
      <c r="AF55" s="14">
        <f>-SUMIFS(TB!AL:AL,TB!$J:$J,$C55)</f>
        <v>5.76356</v>
      </c>
      <c r="AG55" s="14">
        <f>-SUMIFS(TB!AM:AM,TB!$J:$J,$C55)</f>
        <v>3.0628200000000003</v>
      </c>
      <c r="AH55" s="14">
        <f>-SUMIFS(TB!AN:AN,TB!$J:$J,$C55)</f>
        <v>3.1991900000000002</v>
      </c>
      <c r="AI55" s="14">
        <f>-SUMIFS(TB!AO:AO,TB!$J:$J,$C55)</f>
        <v>4.8542200000000006</v>
      </c>
      <c r="AJ55" s="14"/>
      <c r="AK55" s="14">
        <f>P55</f>
        <v>5.6001400000000006</v>
      </c>
      <c r="AL55" s="14">
        <f>AB55</f>
        <v>3.9042500000000002</v>
      </c>
      <c r="AM55" s="14">
        <f>AI55</f>
        <v>4.8542200000000006</v>
      </c>
    </row>
    <row r="56" spans="3:39" ht="11.25" customHeight="1" collapsed="1" x14ac:dyDescent="0.2">
      <c r="C56" t="s">
        <v>150</v>
      </c>
      <c r="D56" s="4"/>
      <c r="E56" s="2">
        <f>SUM(E54:E55)</f>
        <v>4.9988900000000003</v>
      </c>
      <c r="F56" s="2">
        <f>SUM(F54:F55)</f>
        <v>11.54903</v>
      </c>
      <c r="G56" s="2">
        <f>SUM(G54:G55)</f>
        <v>0.10635</v>
      </c>
      <c r="H56" s="2">
        <f>SUM(H54:H55)</f>
        <v>5.72126</v>
      </c>
      <c r="I56" s="2">
        <f>SUM(I54:I55)</f>
        <v>1.63473</v>
      </c>
      <c r="J56" s="2">
        <f>SUM(J54:J55)</f>
        <v>1.6259700000000001</v>
      </c>
      <c r="K56" s="2">
        <f>SUM(K54:K55)</f>
        <v>2.9461200000000001</v>
      </c>
      <c r="L56" s="2">
        <f>SUM(L54:L55)</f>
        <v>1.3489899999999999</v>
      </c>
      <c r="M56" s="2">
        <f>SUM(M54:M55)</f>
        <v>0.21380000000000002</v>
      </c>
      <c r="N56" s="2">
        <f>SUM(N54:N55)</f>
        <v>0.66918</v>
      </c>
      <c r="O56" s="2">
        <f>SUM(O54:O55)</f>
        <v>5.4251300000000002</v>
      </c>
      <c r="P56" s="2">
        <f>SUM(P54:P55)</f>
        <v>5.6001400000000006</v>
      </c>
      <c r="Q56" s="2">
        <f>SUM(Q54:Q55)</f>
        <v>4.8886799999999999</v>
      </c>
      <c r="R56" s="2">
        <f>SUM(R54:R55)</f>
        <v>1.1119000000000001</v>
      </c>
      <c r="S56" s="2">
        <f>SUM(S54:S55)</f>
        <v>5.43933</v>
      </c>
      <c r="T56" s="2">
        <f>SUM(T54:T55)</f>
        <v>3.8437899999999998</v>
      </c>
      <c r="U56" s="2">
        <f>SUM(U54:U55)</f>
        <v>0.43463999999999997</v>
      </c>
      <c r="V56" s="2">
        <f>SUM(V54:V55)</f>
        <v>5.4978899999999999</v>
      </c>
      <c r="W56" s="2">
        <f>SUM(W54:W55)</f>
        <v>4.1983300000000003</v>
      </c>
      <c r="X56" s="2">
        <f>SUM(X54:X55)</f>
        <v>4.02806</v>
      </c>
      <c r="Y56" s="2">
        <f>SUM(Y54:Y55)</f>
        <v>0</v>
      </c>
      <c r="Z56" s="2">
        <f>SUM(Z54:Z55)</f>
        <v>3.4602199999999996</v>
      </c>
      <c r="AA56" s="2">
        <f>SUM(AA54:AA55)</f>
        <v>4.3994300000000006</v>
      </c>
      <c r="AB56" s="2">
        <f>SUM(AB54:AB55)</f>
        <v>3.9042500000000002</v>
      </c>
      <c r="AC56" s="2">
        <f>SUM(AC54:AC55)</f>
        <v>3.98306</v>
      </c>
      <c r="AD56" s="2">
        <f>SUM(AD54:AD55)</f>
        <v>2.3029799999999998</v>
      </c>
      <c r="AE56" s="2">
        <f>SUM(AE54:AE55)</f>
        <v>3.4098800000000002</v>
      </c>
      <c r="AF56" s="2">
        <f>SUM(AF54:AF55)</f>
        <v>5.76356</v>
      </c>
      <c r="AG56" s="2">
        <f>SUM(AG54:AG55)</f>
        <v>3.0628200000000003</v>
      </c>
      <c r="AH56" s="2">
        <f>SUM(AH54:AH55)</f>
        <v>3.1991900000000002</v>
      </c>
      <c r="AI56" s="2">
        <f>SUM(AI54:AI55)</f>
        <v>4.8542200000000006</v>
      </c>
      <c r="AJ56" s="2"/>
      <c r="AK56" s="2">
        <f>SUM(AK54:AK55)</f>
        <v>5.6001400000000006</v>
      </c>
      <c r="AL56" s="2">
        <f>SUM(AL54:AL55)</f>
        <v>3.9042500000000002</v>
      </c>
      <c r="AM56" s="2">
        <f>SUM(AM54:AM55)</f>
        <v>4.8542200000000006</v>
      </c>
    </row>
    <row r="57" spans="3:39" ht="11.25" customHeight="1" x14ac:dyDescent="0.2">
      <c r="C57" s="50" t="s">
        <v>149</v>
      </c>
      <c r="D57" s="27"/>
      <c r="E57" s="25">
        <f>SUM(E39,E45,E53,E56,E48)</f>
        <v>1449.09602</v>
      </c>
      <c r="F57" s="25">
        <f>SUM(F39,F45,F53,F56,F48)</f>
        <v>1527.2330400000001</v>
      </c>
      <c r="G57" s="25">
        <f>SUM(G39,G45,G53,G56,G48)</f>
        <v>1615.99803</v>
      </c>
      <c r="H57" s="25">
        <f>SUM(H39,H45,H53,H56,H48)</f>
        <v>1559.42353</v>
      </c>
      <c r="I57" s="25">
        <f>SUM(I39,I45,I53,I56,I48)</f>
        <v>1550.2368299999998</v>
      </c>
      <c r="J57" s="25">
        <f>SUM(J39,J45,J53,J56,J48)</f>
        <v>1604.0057199999999</v>
      </c>
      <c r="K57" s="25">
        <f>SUM(K39,K45,K53,K56,K48)</f>
        <v>1719.67443</v>
      </c>
      <c r="L57" s="25">
        <f>SUM(L39,L45,L53,L56,L48)</f>
        <v>1691.65897</v>
      </c>
      <c r="M57" s="25">
        <f>SUM(M39,M45,M53,M56,M48)</f>
        <v>1538.5094199999999</v>
      </c>
      <c r="N57" s="25">
        <f>SUM(N39,N45,N53,N56,N48)</f>
        <v>1625.1228799999999</v>
      </c>
      <c r="O57" s="25">
        <f>SUM(O39,O45,O53,O56,O48)</f>
        <v>1889.50245</v>
      </c>
      <c r="P57" s="25">
        <f>SUM(P39,P45,P53,P56,P48)</f>
        <v>1245.3871800000002</v>
      </c>
      <c r="Q57" s="25">
        <f>SUM(Q39,Q45,Q53,Q56,Q48)</f>
        <v>1328.51061</v>
      </c>
      <c r="R57" s="25">
        <f>SUM(R39,R45,R53,R56,R48)</f>
        <v>1324.23109</v>
      </c>
      <c r="S57" s="25">
        <f>SUM(S39,S45,S53,S56,S48)</f>
        <v>1358.1352899999999</v>
      </c>
      <c r="T57" s="25">
        <f>SUM(T39,T45,T53,T56,T48)</f>
        <v>1322.16176</v>
      </c>
      <c r="U57" s="25">
        <f>SUM(U39,U45,U53,U56,U48)</f>
        <v>1399.5944999999999</v>
      </c>
      <c r="V57" s="25">
        <f>SUM(V39,V45,V53,V56,V48)</f>
        <v>1375.37444</v>
      </c>
      <c r="W57" s="25">
        <f>SUM(W39,W45,W53,W56,W48)</f>
        <v>1440.63051</v>
      </c>
      <c r="X57" s="25">
        <f>SUM(X39,X45,X53,X56,X48)</f>
        <v>1542.6405500000001</v>
      </c>
      <c r="Y57" s="25">
        <f>SUM(Y39,Y45,Y53,Y56,Y48)</f>
        <v>1539.61178</v>
      </c>
      <c r="Z57" s="25">
        <f>SUM(Z39,Z45,Z53,Z56,Z48)</f>
        <v>1185.71164</v>
      </c>
      <c r="AA57" s="25">
        <f>SUM(AA39,AA45,AA53,AA56,AA48)</f>
        <v>1057.1979899999999</v>
      </c>
      <c r="AB57" s="25">
        <f>SUM(AB39,AB45,AB53,AB56,AB48)</f>
        <v>1174.25425</v>
      </c>
      <c r="AC57" s="25">
        <f>SUM(AC39,AC45,AC53,AC56,AC48)</f>
        <v>1219.6444799999999</v>
      </c>
      <c r="AD57" s="25">
        <f>SUM(AD39,AD45,AD53,AD56,AD48)</f>
        <v>1353.3332499999999</v>
      </c>
      <c r="AE57" s="25">
        <f>SUM(AE39,AE45,AE53,AE56,AE48)</f>
        <v>1433.72027</v>
      </c>
      <c r="AF57" s="25">
        <f>SUM(AF39,AF45,AF53,AF56,AF48)</f>
        <v>1143.8601100000001</v>
      </c>
      <c r="AG57" s="25">
        <f>SUM(AG39,AG45,AG53,AG56,AG48)</f>
        <v>1289.4297899999999</v>
      </c>
      <c r="AH57" s="25">
        <f>SUM(AH39,AH45,AH53,AH56,AH48)</f>
        <v>1292.4159099999999</v>
      </c>
      <c r="AI57" s="25">
        <f>SUM(AI39,AI45,AI53,AI56,AI48)</f>
        <v>1285.7402099999999</v>
      </c>
      <c r="AJ57" s="25"/>
      <c r="AK57" s="25">
        <f>SUM(AK39,AK45,AK53,AK56,AK48)</f>
        <v>1245.3871800000002</v>
      </c>
      <c r="AL57" s="25">
        <f>SUM(AL39,AL45,AL53,AL56,AL48)</f>
        <v>1174.25425</v>
      </c>
      <c r="AM57" s="25">
        <f>SUM(AM39,AM45,AM53,AM56,AM48)</f>
        <v>1285.7402099999999</v>
      </c>
    </row>
    <row r="58" spans="3:39" ht="6" customHeight="1" x14ac:dyDescent="0.2">
      <c r="D58" s="4"/>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row>
    <row r="59" spans="3:39" ht="11.25" customHeight="1" x14ac:dyDescent="0.2">
      <c r="C59" t="s">
        <v>342</v>
      </c>
      <c r="D59" s="4"/>
      <c r="E59" s="2">
        <v>0</v>
      </c>
      <c r="F59" s="2">
        <v>0</v>
      </c>
      <c r="G59" s="2">
        <v>0</v>
      </c>
      <c r="H59" s="2">
        <v>0</v>
      </c>
      <c r="I59" s="2">
        <v>0</v>
      </c>
      <c r="J59" s="2">
        <v>0</v>
      </c>
      <c r="K59" s="2">
        <v>0</v>
      </c>
      <c r="L59" s="2">
        <v>0</v>
      </c>
      <c r="M59" s="2">
        <v>0</v>
      </c>
      <c r="N59" s="2">
        <v>0</v>
      </c>
      <c r="O59" s="2">
        <v>0</v>
      </c>
      <c r="P59" s="2">
        <v>0</v>
      </c>
      <c r="Q59" s="2">
        <v>0</v>
      </c>
      <c r="R59" s="2">
        <v>0</v>
      </c>
      <c r="S59" s="2">
        <v>0</v>
      </c>
      <c r="T59" s="2">
        <v>0</v>
      </c>
      <c r="U59" s="2">
        <v>0</v>
      </c>
      <c r="V59" s="2">
        <v>0</v>
      </c>
      <c r="W59" s="2">
        <v>0</v>
      </c>
      <c r="X59" s="2">
        <v>0</v>
      </c>
      <c r="Y59" s="2">
        <v>0</v>
      </c>
      <c r="Z59" s="2">
        <v>0</v>
      </c>
      <c r="AA59" s="2">
        <v>0</v>
      </c>
      <c r="AB59" s="2">
        <v>0</v>
      </c>
      <c r="AC59" s="2">
        <v>0</v>
      </c>
      <c r="AD59" s="2">
        <v>0</v>
      </c>
      <c r="AE59" s="2">
        <v>0</v>
      </c>
      <c r="AF59" s="2">
        <v>0</v>
      </c>
      <c r="AG59" s="2">
        <v>0</v>
      </c>
      <c r="AH59" s="2">
        <v>0</v>
      </c>
      <c r="AI59" s="2">
        <v>0</v>
      </c>
      <c r="AJ59" s="2"/>
      <c r="AK59" s="14">
        <f>P59</f>
        <v>0</v>
      </c>
      <c r="AL59" s="14">
        <f>AB59</f>
        <v>0</v>
      </c>
      <c r="AM59" s="14">
        <f>AI59</f>
        <v>0</v>
      </c>
    </row>
    <row r="60" spans="3:39" ht="11.25" customHeight="1" x14ac:dyDescent="0.2">
      <c r="C60" s="50" t="s">
        <v>341</v>
      </c>
      <c r="D60" s="27"/>
      <c r="E60" s="25">
        <f>SUM(E57,E59)</f>
        <v>1449.09602</v>
      </c>
      <c r="F60" s="25">
        <f>SUM(F57,F59)</f>
        <v>1527.2330400000001</v>
      </c>
      <c r="G60" s="25">
        <f>SUM(G57,G59)</f>
        <v>1615.99803</v>
      </c>
      <c r="H60" s="25">
        <f>SUM(H57,H59)</f>
        <v>1559.42353</v>
      </c>
      <c r="I60" s="25">
        <f>SUM(I57,I59)</f>
        <v>1550.2368299999998</v>
      </c>
      <c r="J60" s="25">
        <f>SUM(J57,J59)</f>
        <v>1604.0057199999999</v>
      </c>
      <c r="K60" s="25">
        <f>SUM(K57,K59)</f>
        <v>1719.67443</v>
      </c>
      <c r="L60" s="25">
        <f>SUM(L57,L59)</f>
        <v>1691.65897</v>
      </c>
      <c r="M60" s="25">
        <f>SUM(M57,M59)</f>
        <v>1538.5094199999999</v>
      </c>
      <c r="N60" s="25">
        <f>SUM(N57,N59)</f>
        <v>1625.1228799999999</v>
      </c>
      <c r="O60" s="25">
        <f>SUM(O57,O59)</f>
        <v>1889.50245</v>
      </c>
      <c r="P60" s="25">
        <f>SUM(P57,P59)</f>
        <v>1245.3871800000002</v>
      </c>
      <c r="Q60" s="25">
        <f>SUM(Q57,Q59)</f>
        <v>1328.51061</v>
      </c>
      <c r="R60" s="25">
        <f>SUM(R57,R59)</f>
        <v>1324.23109</v>
      </c>
      <c r="S60" s="25">
        <f>SUM(S57,S59)</f>
        <v>1358.1352899999999</v>
      </c>
      <c r="T60" s="25">
        <f>SUM(T57,T59)</f>
        <v>1322.16176</v>
      </c>
      <c r="U60" s="25">
        <f>SUM(U57,U59)</f>
        <v>1399.5944999999999</v>
      </c>
      <c r="V60" s="25">
        <f>SUM(V57,V59)</f>
        <v>1375.37444</v>
      </c>
      <c r="W60" s="25">
        <f>SUM(W57,W59)</f>
        <v>1440.63051</v>
      </c>
      <c r="X60" s="25">
        <f>SUM(X57,X59)</f>
        <v>1542.6405500000001</v>
      </c>
      <c r="Y60" s="25">
        <f>SUM(Y57,Y59)</f>
        <v>1539.61178</v>
      </c>
      <c r="Z60" s="25">
        <f>SUM(Z57,Z59)</f>
        <v>1185.71164</v>
      </c>
      <c r="AA60" s="25">
        <f>SUM(AA57,AA59)</f>
        <v>1057.1979899999999</v>
      </c>
      <c r="AB60" s="25">
        <f>SUM(AB57,AB59)</f>
        <v>1174.25425</v>
      </c>
      <c r="AC60" s="25">
        <f>SUM(AC57,AC59)</f>
        <v>1219.6444799999999</v>
      </c>
      <c r="AD60" s="25">
        <f>SUM(AD57,AD59)</f>
        <v>1353.3332499999999</v>
      </c>
      <c r="AE60" s="25">
        <f>SUM(AE57,AE59)</f>
        <v>1433.72027</v>
      </c>
      <c r="AF60" s="25">
        <f>SUM(AF57,AF59)</f>
        <v>1143.8601100000001</v>
      </c>
      <c r="AG60" s="25">
        <f>SUM(AG57,AG59)</f>
        <v>1289.4297899999999</v>
      </c>
      <c r="AH60" s="25">
        <f>SUM(AH57,AH59)</f>
        <v>1292.4159099999999</v>
      </c>
      <c r="AI60" s="25">
        <f>SUM(AI57,AI59)</f>
        <v>1285.7402099999999</v>
      </c>
      <c r="AJ60" s="25"/>
      <c r="AK60" s="25">
        <f>SUM(AK57,AK59)</f>
        <v>1245.3871800000002</v>
      </c>
      <c r="AL60" s="25">
        <f>SUM(AL57,AL59)</f>
        <v>1174.25425</v>
      </c>
      <c r="AM60" s="25">
        <f>SUM(AM57,AM59)</f>
        <v>1285.7402099999999</v>
      </c>
    </row>
    <row r="61" spans="3:39" ht="6" customHeight="1" x14ac:dyDescent="0.2">
      <c r="D61" s="4"/>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row>
    <row r="62" spans="3:39" ht="11.25" hidden="1" customHeight="1" outlineLevel="1" x14ac:dyDescent="0.2">
      <c r="C62" s="17" t="s">
        <v>340</v>
      </c>
      <c r="D62" s="15"/>
      <c r="E62" s="14">
        <f>-SUMIFS(TB!K:K,TB!$J:$J,$C62)</f>
        <v>1</v>
      </c>
      <c r="F62" s="14">
        <f>-SUMIFS(TB!L:L,TB!$J:$J,$C62)</f>
        <v>1</v>
      </c>
      <c r="G62" s="14">
        <f>-SUMIFS(TB!M:M,TB!$J:$J,$C62)</f>
        <v>1</v>
      </c>
      <c r="H62" s="14">
        <f>-SUMIFS(TB!N:N,TB!$J:$J,$C62)</f>
        <v>1</v>
      </c>
      <c r="I62" s="14">
        <f>-SUMIFS(TB!O:O,TB!$J:$J,$C62)</f>
        <v>1</v>
      </c>
      <c r="J62" s="14">
        <f>-SUMIFS(TB!P:P,TB!$J:$J,$C62)</f>
        <v>1</v>
      </c>
      <c r="K62" s="14">
        <f>-SUMIFS(TB!Q:Q,TB!$J:$J,$C62)</f>
        <v>1</v>
      </c>
      <c r="L62" s="14">
        <f>-SUMIFS(TB!R:R,TB!$J:$J,$C62)</f>
        <v>1</v>
      </c>
      <c r="M62" s="14">
        <f>-SUMIFS(TB!S:S,TB!$J:$J,$C62)</f>
        <v>1</v>
      </c>
      <c r="N62" s="14">
        <f>-SUMIFS(TB!T:T,TB!$J:$J,$C62)</f>
        <v>1</v>
      </c>
      <c r="O62" s="14">
        <f>-SUMIFS(TB!U:U,TB!$J:$J,$C62)</f>
        <v>1</v>
      </c>
      <c r="P62" s="14">
        <f>-SUMIFS(TB!V:V,TB!$J:$J,$C62)</f>
        <v>1</v>
      </c>
      <c r="Q62" s="14">
        <f>-SUMIFS(TB!W:W,TB!$J:$J,$C62)</f>
        <v>1</v>
      </c>
      <c r="R62" s="14">
        <f>-SUMIFS(TB!X:X,TB!$J:$J,$C62)</f>
        <v>1</v>
      </c>
      <c r="S62" s="14">
        <f>-SUMIFS(TB!Y:Y,TB!$J:$J,$C62)</f>
        <v>1</v>
      </c>
      <c r="T62" s="14">
        <f>-SUMIFS(TB!Z:Z,TB!$J:$J,$C62)</f>
        <v>1</v>
      </c>
      <c r="U62" s="14">
        <f>-SUMIFS(TB!AA:AA,TB!$J:$J,$C62)</f>
        <v>1</v>
      </c>
      <c r="V62" s="14">
        <f>-SUMIFS(TB!AB:AB,TB!$J:$J,$C62)</f>
        <v>1</v>
      </c>
      <c r="W62" s="14">
        <f>-SUMIFS(TB!AC:AC,TB!$J:$J,$C62)</f>
        <v>1</v>
      </c>
      <c r="X62" s="14">
        <f>-SUMIFS(TB!AD:AD,TB!$J:$J,$C62)</f>
        <v>1</v>
      </c>
      <c r="Y62" s="14">
        <f>-SUMIFS(TB!AE:AE,TB!$J:$J,$C62)</f>
        <v>1</v>
      </c>
      <c r="Z62" s="14">
        <f>-SUMIFS(TB!AF:AF,TB!$J:$J,$C62)</f>
        <v>1</v>
      </c>
      <c r="AA62" s="14">
        <f>-SUMIFS(TB!AG:AG,TB!$J:$J,$C62)</f>
        <v>1</v>
      </c>
      <c r="AB62" s="14">
        <f>-SUMIFS(TB!AH:AH,TB!$J:$J,$C62)</f>
        <v>1</v>
      </c>
      <c r="AC62" s="14">
        <f>-SUMIFS(TB!AI:AI,TB!$J:$J,$C62)</f>
        <v>1</v>
      </c>
      <c r="AD62" s="14">
        <f>-SUMIFS(TB!AJ:AJ,TB!$J:$J,$C62)</f>
        <v>1</v>
      </c>
      <c r="AE62" s="14">
        <f>-SUMIFS(TB!AK:AK,TB!$J:$J,$C62)</f>
        <v>1</v>
      </c>
      <c r="AF62" s="14">
        <f>-SUMIFS(TB!AL:AL,TB!$J:$J,$C62)</f>
        <v>1</v>
      </c>
      <c r="AG62" s="14">
        <f>-SUMIFS(TB!AM:AM,TB!$J:$J,$C62)</f>
        <v>1</v>
      </c>
      <c r="AH62" s="14">
        <f>-SUMIFS(TB!AN:AN,TB!$J:$J,$C62)</f>
        <v>1</v>
      </c>
      <c r="AI62" s="14">
        <f>-SUMIFS(TB!AO:AO,TB!$J:$J,$C62)</f>
        <v>1</v>
      </c>
      <c r="AJ62" s="14"/>
      <c r="AK62" s="14">
        <f>P62</f>
        <v>1</v>
      </c>
      <c r="AL62" s="14">
        <f>AB62</f>
        <v>1</v>
      </c>
      <c r="AM62" s="14">
        <f>AI62</f>
        <v>1</v>
      </c>
    </row>
    <row r="63" spans="3:39" ht="11.25" customHeight="1" collapsed="1" x14ac:dyDescent="0.2">
      <c r="C63" t="s">
        <v>340</v>
      </c>
      <c r="D63" s="4"/>
      <c r="E63" s="2">
        <f>SUM(E62:E62)</f>
        <v>1</v>
      </c>
      <c r="F63" s="2">
        <f>SUM(F62:F62)</f>
        <v>1</v>
      </c>
      <c r="G63" s="2">
        <f>SUM(G62:G62)</f>
        <v>1</v>
      </c>
      <c r="H63" s="2">
        <f>SUM(H62:H62)</f>
        <v>1</v>
      </c>
      <c r="I63" s="2">
        <f>SUM(I62:I62)</f>
        <v>1</v>
      </c>
      <c r="J63" s="2">
        <f>SUM(J62:J62)</f>
        <v>1</v>
      </c>
      <c r="K63" s="2">
        <f>SUM(K62:K62)</f>
        <v>1</v>
      </c>
      <c r="L63" s="2">
        <f>SUM(L62:L62)</f>
        <v>1</v>
      </c>
      <c r="M63" s="2">
        <f>SUM(M62:M62)</f>
        <v>1</v>
      </c>
      <c r="N63" s="2">
        <f>SUM(N62:N62)</f>
        <v>1</v>
      </c>
      <c r="O63" s="2">
        <f>SUM(O62:O62)</f>
        <v>1</v>
      </c>
      <c r="P63" s="2">
        <f>SUM(P62:P62)</f>
        <v>1</v>
      </c>
      <c r="Q63" s="2">
        <f>SUM(Q62:Q62)</f>
        <v>1</v>
      </c>
      <c r="R63" s="2">
        <f>SUM(R62:R62)</f>
        <v>1</v>
      </c>
      <c r="S63" s="2">
        <f>SUM(S62:S62)</f>
        <v>1</v>
      </c>
      <c r="T63" s="2">
        <f>SUM(T62:T62)</f>
        <v>1</v>
      </c>
      <c r="U63" s="2">
        <f>SUM(U62:U62)</f>
        <v>1</v>
      </c>
      <c r="V63" s="2">
        <f>SUM(V62:V62)</f>
        <v>1</v>
      </c>
      <c r="W63" s="2">
        <f>SUM(W62:W62)</f>
        <v>1</v>
      </c>
      <c r="X63" s="2">
        <f>SUM(X62:X62)</f>
        <v>1</v>
      </c>
      <c r="Y63" s="2">
        <f>SUM(Y62:Y62)</f>
        <v>1</v>
      </c>
      <c r="Z63" s="2">
        <f>SUM(Z62:Z62)</f>
        <v>1</v>
      </c>
      <c r="AA63" s="2">
        <f>SUM(AA62:AA62)</f>
        <v>1</v>
      </c>
      <c r="AB63" s="2">
        <f>SUM(AB62:AB62)</f>
        <v>1</v>
      </c>
      <c r="AC63" s="2">
        <f>SUM(AC62:AC62)</f>
        <v>1</v>
      </c>
      <c r="AD63" s="2">
        <f>SUM(AD62:AD62)</f>
        <v>1</v>
      </c>
      <c r="AE63" s="2">
        <f>SUM(AE62:AE62)</f>
        <v>1</v>
      </c>
      <c r="AF63" s="2">
        <f>SUM(AF62:AF62)</f>
        <v>1</v>
      </c>
      <c r="AG63" s="2">
        <f>SUM(AG62:AG62)</f>
        <v>1</v>
      </c>
      <c r="AH63" s="2">
        <f>SUM(AH62:AH62)</f>
        <v>1</v>
      </c>
      <c r="AI63" s="2">
        <f>SUM(AI62:AI62)</f>
        <v>1</v>
      </c>
      <c r="AJ63" s="2"/>
      <c r="AK63" s="2">
        <f>SUM(AK62:AK62)</f>
        <v>1</v>
      </c>
      <c r="AL63" s="2">
        <f>SUM(AL62:AL62)</f>
        <v>1</v>
      </c>
      <c r="AM63" s="2">
        <f>SUM(AM62:AM62)</f>
        <v>1</v>
      </c>
    </row>
    <row r="64" spans="3:39" ht="6" hidden="1" customHeight="1" outlineLevel="1" x14ac:dyDescent="0.2">
      <c r="D64" s="4"/>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row>
    <row r="65" spans="3:39" ht="11.25" hidden="1" customHeight="1" outlineLevel="1" x14ac:dyDescent="0.2">
      <c r="C65" t="s">
        <v>351</v>
      </c>
      <c r="D65" s="4"/>
      <c r="E65" s="2">
        <f>-SUMIFS(TB!K:K,TB!$J:$J,$C65)</f>
        <v>390.46628999999996</v>
      </c>
      <c r="F65" s="2">
        <f>-SUMIFS(TB!L:L,TB!$J:$J,$C65)</f>
        <v>370.86628999999999</v>
      </c>
      <c r="G65" s="2">
        <f>-SUMIFS(TB!M:M,TB!$J:$J,$C65)</f>
        <v>339.26628999999997</v>
      </c>
      <c r="H65" s="2">
        <f>-SUMIFS(TB!N:N,TB!$J:$J,$C65)</f>
        <v>319.36318</v>
      </c>
      <c r="I65" s="2">
        <f>-SUMIFS(TB!O:O,TB!$J:$J,$C65)</f>
        <v>309.56317999999999</v>
      </c>
      <c r="J65" s="2">
        <f>-SUMIFS(TB!P:P,TB!$J:$J,$C65)</f>
        <v>299.76317999999998</v>
      </c>
      <c r="K65" s="2">
        <f>-SUMIFS(TB!Q:Q,TB!$J:$J,$C65)</f>
        <v>289.96317999999997</v>
      </c>
      <c r="L65" s="2">
        <f>-SUMIFS(TB!R:R,TB!$J:$J,$C65)</f>
        <v>289.96317999999997</v>
      </c>
      <c r="M65" s="2">
        <f>-SUMIFS(TB!S:S,TB!$J:$J,$C65)</f>
        <v>289.96317999999997</v>
      </c>
      <c r="N65" s="2">
        <f>-SUMIFS(TB!T:T,TB!$J:$J,$C65)</f>
        <v>289.96317999999997</v>
      </c>
      <c r="O65" s="2">
        <f>-SUMIFS(TB!U:U,TB!$J:$J,$C65)</f>
        <v>232.73617999999999</v>
      </c>
      <c r="P65" s="2">
        <f>-SUMIFS(TB!V:V,TB!$J:$J,$C65)</f>
        <v>183.3218</v>
      </c>
      <c r="Q65" s="2">
        <f>-SUMIFS(TB!W:W,TB!$J:$J,$C65)</f>
        <v>175.3218</v>
      </c>
      <c r="R65" s="2">
        <f>-SUMIFS(TB!X:X,TB!$J:$J,$C65)</f>
        <v>175.3218</v>
      </c>
      <c r="S65" s="2">
        <f>-SUMIFS(TB!Y:Y,TB!$J:$J,$C65)</f>
        <v>175.3218</v>
      </c>
      <c r="T65" s="2">
        <f>-SUMIFS(TB!Z:Z,TB!$J:$J,$C65)</f>
        <v>150.8218</v>
      </c>
      <c r="U65" s="2">
        <f>-SUMIFS(TB!AA:AA,TB!$J:$J,$C65)</f>
        <v>150.8218</v>
      </c>
      <c r="V65" s="2">
        <f>-SUMIFS(TB!AB:AB,TB!$J:$J,$C65)</f>
        <v>146.80579999999998</v>
      </c>
      <c r="W65" s="2">
        <f>-SUMIFS(TB!AC:AC,TB!$J:$J,$C65)</f>
        <v>144.49098000000001</v>
      </c>
      <c r="X65" s="2">
        <f>-SUMIFS(TB!AD:AD,TB!$J:$J,$C65)</f>
        <v>119.99097999999999</v>
      </c>
      <c r="Y65" s="2">
        <f>-SUMIFS(TB!AE:AE,TB!$J:$J,$C65)</f>
        <v>119.99097999999999</v>
      </c>
      <c r="Z65" s="2">
        <f>-SUMIFS(TB!AF:AF,TB!$J:$J,$C65)</f>
        <v>119.99097999999999</v>
      </c>
      <c r="AA65" s="2">
        <f>-SUMIFS(TB!AG:AG,TB!$J:$J,$C65)</f>
        <v>-76.009020000000007</v>
      </c>
      <c r="AB65" s="2">
        <f>-SUMIFS(TB!AH:AH,TB!$J:$J,$C65)</f>
        <v>-328.88337999999999</v>
      </c>
      <c r="AC65" s="2">
        <f>-SUMIFS(TB!AI:AI,TB!$J:$J,$C65)</f>
        <v>-454.26837999999998</v>
      </c>
      <c r="AD65" s="2">
        <f>-SUMIFS(TB!AJ:AJ,TB!$J:$J,$C65)</f>
        <v>-601.26837999999998</v>
      </c>
      <c r="AE65" s="2">
        <f>-SUMIFS(TB!AK:AK,TB!$J:$J,$C65)</f>
        <v>-635.26837999999998</v>
      </c>
      <c r="AF65" s="2">
        <f>-SUMIFS(TB!AL:AL,TB!$J:$J,$C65)</f>
        <v>-635.26837999999998</v>
      </c>
      <c r="AG65" s="2">
        <f>-SUMIFS(TB!AM:AM,TB!$J:$J,$C65)</f>
        <v>-635.26837999999998</v>
      </c>
      <c r="AH65" s="2">
        <f>-SUMIFS(TB!AN:AN,TB!$J:$J,$C65)</f>
        <v>-671.26837999999998</v>
      </c>
      <c r="AI65" s="2">
        <f>-SUMIFS(TB!AO:AO,TB!$J:$J,$C65)</f>
        <v>-769.26837999999998</v>
      </c>
      <c r="AJ65" s="2"/>
      <c r="AK65" s="2">
        <f>P65</f>
        <v>183.3218</v>
      </c>
      <c r="AL65" s="2">
        <f>AB65</f>
        <v>-328.88337999999999</v>
      </c>
      <c r="AM65" s="2">
        <f>AI65</f>
        <v>-769.26837999999998</v>
      </c>
    </row>
    <row r="66" spans="3:39" ht="11.25" hidden="1" customHeight="1" outlineLevel="1" x14ac:dyDescent="0.2">
      <c r="C66" s="17" t="s">
        <v>350</v>
      </c>
      <c r="D66" s="15"/>
      <c r="E66" s="14">
        <f>-SUMIFS(TB!K:K,TB!$J:$J,$C66)</f>
        <v>421.73071000000004</v>
      </c>
      <c r="F66" s="14">
        <f>-SUMIFS(TB!L:L,TB!$J:$J,$C66)</f>
        <v>401.33071000000001</v>
      </c>
      <c r="G66" s="14">
        <f>-SUMIFS(TB!M:M,TB!$J:$J,$C66)</f>
        <v>368.93071000000003</v>
      </c>
      <c r="H66" s="14">
        <f>-SUMIFS(TB!N:N,TB!$J:$J,$C66)</f>
        <v>348.53071</v>
      </c>
      <c r="I66" s="14">
        <f>-SUMIFS(TB!O:O,TB!$J:$J,$C66)</f>
        <v>338.33071000000001</v>
      </c>
      <c r="J66" s="14">
        <f>-SUMIFS(TB!P:P,TB!$J:$J,$C66)</f>
        <v>328.13071000000002</v>
      </c>
      <c r="K66" s="14">
        <f>-SUMIFS(TB!Q:Q,TB!$J:$J,$C66)</f>
        <v>317.93071000000003</v>
      </c>
      <c r="L66" s="14">
        <f>-SUMIFS(TB!R:R,TB!$J:$J,$C66)</f>
        <v>317.93071000000003</v>
      </c>
      <c r="M66" s="14">
        <f>-SUMIFS(TB!S:S,TB!$J:$J,$C66)</f>
        <v>317.93071000000003</v>
      </c>
      <c r="N66" s="14">
        <f>-SUMIFS(TB!T:T,TB!$J:$J,$C66)</f>
        <v>309.93071000000003</v>
      </c>
      <c r="O66" s="14">
        <f>-SUMIFS(TB!U:U,TB!$J:$J,$C66)</f>
        <v>243.82871</v>
      </c>
      <c r="P66" s="14">
        <f>-SUMIFS(TB!V:V,TB!$J:$J,$C66)</f>
        <v>194.28773000000001</v>
      </c>
      <c r="Q66" s="14">
        <f>-SUMIFS(TB!W:W,TB!$J:$J,$C66)</f>
        <v>191.30614000000003</v>
      </c>
      <c r="R66" s="14">
        <f>-SUMIFS(TB!X:X,TB!$J:$J,$C66)</f>
        <v>191.30614000000003</v>
      </c>
      <c r="S66" s="14">
        <f>-SUMIFS(TB!Y:Y,TB!$J:$J,$C66)</f>
        <v>191.30614000000003</v>
      </c>
      <c r="T66" s="14">
        <f>-SUMIFS(TB!Z:Z,TB!$J:$J,$C66)</f>
        <v>165.80614000000003</v>
      </c>
      <c r="U66" s="14">
        <f>-SUMIFS(TB!AA:AA,TB!$J:$J,$C66)</f>
        <v>165.80614000000003</v>
      </c>
      <c r="V66" s="14">
        <f>-SUMIFS(TB!AB:AB,TB!$J:$J,$C66)</f>
        <v>132.77367000000001</v>
      </c>
      <c r="W66" s="14">
        <f>-SUMIFS(TB!AC:AC,TB!$J:$J,$C66)</f>
        <v>132.77367000000001</v>
      </c>
      <c r="X66" s="14">
        <f>-SUMIFS(TB!AD:AD,TB!$J:$J,$C66)</f>
        <v>107.27367</v>
      </c>
      <c r="Y66" s="14">
        <f>-SUMIFS(TB!AE:AE,TB!$J:$J,$C66)</f>
        <v>107.27367</v>
      </c>
      <c r="Z66" s="14">
        <f>-SUMIFS(TB!AF:AF,TB!$J:$J,$C66)</f>
        <v>54.273669999999996</v>
      </c>
      <c r="AA66" s="14">
        <f>-SUMIFS(TB!AG:AG,TB!$J:$J,$C66)</f>
        <v>-149.72632999999999</v>
      </c>
      <c r="AB66" s="14">
        <f>-SUMIFS(TB!AH:AH,TB!$J:$J,$C66)</f>
        <v>-342.30718999999999</v>
      </c>
      <c r="AC66" s="14">
        <f>-SUMIFS(TB!AI:AI,TB!$J:$J,$C66)</f>
        <v>-484.99981000000002</v>
      </c>
      <c r="AD66" s="14">
        <f>-SUMIFS(TB!AJ:AJ,TB!$J:$J,$C66)</f>
        <v>-637.99981000000002</v>
      </c>
      <c r="AE66" s="14">
        <f>-SUMIFS(TB!AK:AK,TB!$J:$J,$C66)</f>
        <v>-683.99981000000002</v>
      </c>
      <c r="AF66" s="14">
        <f>-SUMIFS(TB!AL:AL,TB!$J:$J,$C66)</f>
        <v>-683.99981000000002</v>
      </c>
      <c r="AG66" s="14">
        <f>-SUMIFS(TB!AM:AM,TB!$J:$J,$C66)</f>
        <v>-683.99981000000002</v>
      </c>
      <c r="AH66" s="14">
        <f>-SUMIFS(TB!AN:AN,TB!$J:$J,$C66)</f>
        <v>-729.99981000000002</v>
      </c>
      <c r="AI66" s="14">
        <f>-SUMIFS(TB!AO:AO,TB!$J:$J,$C66)</f>
        <v>-831.99981000000002</v>
      </c>
      <c r="AJ66" s="14"/>
      <c r="AK66" s="14">
        <f>P66</f>
        <v>194.28773000000001</v>
      </c>
      <c r="AL66" s="14">
        <f>AB66</f>
        <v>-342.30718999999999</v>
      </c>
      <c r="AM66" s="14">
        <f>AI66</f>
        <v>-831.99981000000002</v>
      </c>
    </row>
    <row r="67" spans="3:39" ht="11.25" customHeight="1" collapsed="1" x14ac:dyDescent="0.2">
      <c r="C67" t="s">
        <v>339</v>
      </c>
      <c r="D67" s="4"/>
      <c r="E67" s="2">
        <f>SUM(E65:E66)</f>
        <v>812.197</v>
      </c>
      <c r="F67" s="2">
        <f>SUM(F65:F66)</f>
        <v>772.197</v>
      </c>
      <c r="G67" s="2">
        <f>SUM(G65:G66)</f>
        <v>708.197</v>
      </c>
      <c r="H67" s="2">
        <f>SUM(H65:H66)</f>
        <v>667.89389000000006</v>
      </c>
      <c r="I67" s="2">
        <f>SUM(I65:I66)</f>
        <v>647.89389000000006</v>
      </c>
      <c r="J67" s="2">
        <f>SUM(J65:J66)</f>
        <v>627.89389000000006</v>
      </c>
      <c r="K67" s="2">
        <f>SUM(K65:K66)</f>
        <v>607.89389000000006</v>
      </c>
      <c r="L67" s="2">
        <f>SUM(L65:L66)</f>
        <v>607.89389000000006</v>
      </c>
      <c r="M67" s="2">
        <f>SUM(M65:M66)</f>
        <v>607.89389000000006</v>
      </c>
      <c r="N67" s="2">
        <f>SUM(N65:N66)</f>
        <v>599.89389000000006</v>
      </c>
      <c r="O67" s="2">
        <f>SUM(O65:O66)</f>
        <v>476.56488999999999</v>
      </c>
      <c r="P67" s="2">
        <f>SUM(P65:P66)</f>
        <v>377.60953000000001</v>
      </c>
      <c r="Q67" s="2">
        <f>SUM(Q65:Q66)</f>
        <v>366.62794000000002</v>
      </c>
      <c r="R67" s="2">
        <f>SUM(R65:R66)</f>
        <v>366.62794000000002</v>
      </c>
      <c r="S67" s="2">
        <f>SUM(S65:S66)</f>
        <v>366.62794000000002</v>
      </c>
      <c r="T67" s="2">
        <f>SUM(T65:T66)</f>
        <v>316.62794000000002</v>
      </c>
      <c r="U67" s="2">
        <f>SUM(U65:U66)</f>
        <v>316.62794000000002</v>
      </c>
      <c r="V67" s="2">
        <f>SUM(V65:V66)</f>
        <v>279.57947000000001</v>
      </c>
      <c r="W67" s="2">
        <f>SUM(W65:W66)</f>
        <v>277.26465000000002</v>
      </c>
      <c r="X67" s="2">
        <f>SUM(X65:X66)</f>
        <v>227.26464999999999</v>
      </c>
      <c r="Y67" s="2">
        <f>SUM(Y65:Y66)</f>
        <v>227.26464999999999</v>
      </c>
      <c r="Z67" s="2">
        <f>SUM(Z65:Z66)</f>
        <v>174.26464999999999</v>
      </c>
      <c r="AA67" s="2">
        <f>SUM(AA65:AA66)</f>
        <v>-225.73534999999998</v>
      </c>
      <c r="AB67" s="2">
        <f>SUM(AB65:AB66)</f>
        <v>-671.19056999999998</v>
      </c>
      <c r="AC67" s="2">
        <f>SUM(AC65:AC66)</f>
        <v>-939.26819</v>
      </c>
      <c r="AD67" s="2">
        <f>SUM(AD65:AD66)</f>
        <v>-1239.26819</v>
      </c>
      <c r="AE67" s="2">
        <f>SUM(AE65:AE66)</f>
        <v>-1319.26819</v>
      </c>
      <c r="AF67" s="2">
        <f>SUM(AF65:AF66)</f>
        <v>-1319.26819</v>
      </c>
      <c r="AG67" s="2">
        <f>SUM(AG65:AG66)</f>
        <v>-1319.26819</v>
      </c>
      <c r="AH67" s="2">
        <f>SUM(AH65:AH66)</f>
        <v>-1401.26819</v>
      </c>
      <c r="AI67" s="2">
        <f>SUM(AI65:AI66)</f>
        <v>-1601.26819</v>
      </c>
      <c r="AJ67" s="2"/>
      <c r="AK67" s="2">
        <f>SUM(AK65:AK66)</f>
        <v>377.60953000000001</v>
      </c>
      <c r="AL67" s="2">
        <f>SUM(AL65:AL66)</f>
        <v>-671.19056999999998</v>
      </c>
      <c r="AM67" s="2">
        <f>SUM(AM65:AM66)</f>
        <v>-1601.26819</v>
      </c>
    </row>
    <row r="68" spans="3:39" ht="6" hidden="1" customHeight="1" outlineLevel="1" x14ac:dyDescent="0.2">
      <c r="D68" s="4"/>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row>
    <row r="69" spans="3:39" ht="11.25" hidden="1" customHeight="1" outlineLevel="1" x14ac:dyDescent="0.2">
      <c r="C69" s="17" t="s">
        <v>349</v>
      </c>
      <c r="D69" s="15"/>
      <c r="E69" s="14">
        <f>-SUMIFS(TB!K:K,TB!$J:$J,$C69)</f>
        <v>-7.5892100000000005</v>
      </c>
      <c r="F69" s="14">
        <f>-SUMIFS(TB!L:L,TB!$J:$J,$C69)</f>
        <v>-7.5892100000000005</v>
      </c>
      <c r="G69" s="14">
        <f>-SUMIFS(TB!M:M,TB!$J:$J,$C69)</f>
        <v>-7.5892100000000005</v>
      </c>
      <c r="H69" s="14">
        <f>-SUMIFS(TB!N:N,TB!$J:$J,$C69)</f>
        <v>-7.5892100000000005</v>
      </c>
      <c r="I69" s="14">
        <f>-SUMIFS(TB!O:O,TB!$J:$J,$C69)</f>
        <v>-7.5892100000000005</v>
      </c>
      <c r="J69" s="14">
        <f>-SUMIFS(TB!P:P,TB!$J:$J,$C69)</f>
        <v>-7.5892100000000005</v>
      </c>
      <c r="K69" s="14">
        <f>-SUMIFS(TB!Q:Q,TB!$J:$J,$C69)</f>
        <v>-7.5892100000000005</v>
      </c>
      <c r="L69" s="14">
        <f>-SUMIFS(TB!R:R,TB!$J:$J,$C69)</f>
        <v>-7.5892100000000005</v>
      </c>
      <c r="M69" s="14">
        <f>-SUMIFS(TB!S:S,TB!$J:$J,$C69)</f>
        <v>-7.5892100000000005</v>
      </c>
      <c r="N69" s="14">
        <f>-SUMIFS(TB!T:T,TB!$J:$J,$C69)</f>
        <v>-7.5892100000000005</v>
      </c>
      <c r="O69" s="14">
        <f>-SUMIFS(TB!U:U,TB!$J:$J,$C69)</f>
        <v>-7.5892100000000005</v>
      </c>
      <c r="P69" s="14">
        <f>-SUMIFS(TB!V:V,TB!$J:$J,$C69)</f>
        <v>-83.98921</v>
      </c>
      <c r="Q69" s="14">
        <f>-SUMIFS(TB!W:W,TB!$J:$J,$C69)</f>
        <v>1483.78081</v>
      </c>
      <c r="R69" s="14">
        <f>-SUMIFS(TB!X:X,TB!$J:$J,$C69)</f>
        <v>1483.78081</v>
      </c>
      <c r="S69" s="14">
        <f>-SUMIFS(TB!Y:Y,TB!$J:$J,$C69)</f>
        <v>1483.78081</v>
      </c>
      <c r="T69" s="14">
        <f>-SUMIFS(TB!Z:Z,TB!$J:$J,$C69)</f>
        <v>1483.78081</v>
      </c>
      <c r="U69" s="14">
        <f>-SUMIFS(TB!AA:AA,TB!$J:$J,$C69)</f>
        <v>1483.78081</v>
      </c>
      <c r="V69" s="14">
        <f>-SUMIFS(TB!AB:AB,TB!$J:$J,$C69)</f>
        <v>1483.78081</v>
      </c>
      <c r="W69" s="14">
        <f>-SUMIFS(TB!AC:AC,TB!$J:$J,$C69)</f>
        <v>1483.78081</v>
      </c>
      <c r="X69" s="14">
        <f>-SUMIFS(TB!AD:AD,TB!$J:$J,$C69)</f>
        <v>1483.78081</v>
      </c>
      <c r="Y69" s="14">
        <f>-SUMIFS(TB!AE:AE,TB!$J:$J,$C69)</f>
        <v>1483.78081</v>
      </c>
      <c r="Z69" s="14">
        <f>-SUMIFS(TB!AF:AF,TB!$J:$J,$C69)</f>
        <v>1483.78081</v>
      </c>
      <c r="AA69" s="14">
        <f>-SUMIFS(TB!AG:AG,TB!$J:$J,$C69)</f>
        <v>1483.78081</v>
      </c>
      <c r="AB69" s="14">
        <f>-SUMIFS(TB!AH:AH,TB!$J:$J,$C69)</f>
        <v>1861.3903400000002</v>
      </c>
      <c r="AC69" s="14">
        <f>-SUMIFS(TB!AI:AI,TB!$J:$J,$C69)</f>
        <v>2960.12167</v>
      </c>
      <c r="AD69" s="14">
        <f>-SUMIFS(TB!AJ:AJ,TB!$J:$J,$C69)</f>
        <v>2960.12167</v>
      </c>
      <c r="AE69" s="14">
        <f>-SUMIFS(TB!AK:AK,TB!$J:$J,$C69)</f>
        <v>2960.12167</v>
      </c>
      <c r="AF69" s="14">
        <f>-SUMIFS(TB!AL:AL,TB!$J:$J,$C69)</f>
        <v>2960.12167</v>
      </c>
      <c r="AG69" s="14">
        <f>-SUMIFS(TB!AM:AM,TB!$J:$J,$C69)</f>
        <v>2960.12167</v>
      </c>
      <c r="AH69" s="14">
        <f>-SUMIFS(TB!AN:AN,TB!$J:$J,$C69)</f>
        <v>2960.12167</v>
      </c>
      <c r="AI69" s="14">
        <f>-SUMIFS(TB!AO:AO,TB!$J:$J,$C69)</f>
        <v>2960.12167</v>
      </c>
      <c r="AJ69" s="14"/>
      <c r="AK69" s="14">
        <f>P69</f>
        <v>-83.98921</v>
      </c>
      <c r="AL69" s="14">
        <f>AB69</f>
        <v>1861.3903400000002</v>
      </c>
      <c r="AM69" s="14">
        <f>AI69</f>
        <v>2960.12167</v>
      </c>
    </row>
    <row r="70" spans="3:39" ht="11.25" customHeight="1" collapsed="1" x14ac:dyDescent="0.2">
      <c r="C70" t="s">
        <v>338</v>
      </c>
      <c r="D70" s="4"/>
      <c r="E70" s="2">
        <f>SUM(E69:E69)</f>
        <v>-7.5892100000000005</v>
      </c>
      <c r="F70" s="2">
        <f>SUM(F69:F69)</f>
        <v>-7.5892100000000005</v>
      </c>
      <c r="G70" s="2">
        <f>SUM(G69:G69)</f>
        <v>-7.5892100000000005</v>
      </c>
      <c r="H70" s="2">
        <f>SUM(H69:H69)</f>
        <v>-7.5892100000000005</v>
      </c>
      <c r="I70" s="2">
        <f>SUM(I69:I69)</f>
        <v>-7.5892100000000005</v>
      </c>
      <c r="J70" s="2">
        <f>SUM(J69:J69)</f>
        <v>-7.5892100000000005</v>
      </c>
      <c r="K70" s="2">
        <f>SUM(K69:K69)</f>
        <v>-7.5892100000000005</v>
      </c>
      <c r="L70" s="2">
        <f>SUM(L69:L69)</f>
        <v>-7.5892100000000005</v>
      </c>
      <c r="M70" s="2">
        <f>SUM(M69:M69)</f>
        <v>-7.5892100000000005</v>
      </c>
      <c r="N70" s="2">
        <f>SUM(N69:N69)</f>
        <v>-7.5892100000000005</v>
      </c>
      <c r="O70" s="2">
        <f>SUM(O69:O69)</f>
        <v>-7.5892100000000005</v>
      </c>
      <c r="P70" s="2">
        <f>SUM(P69:P69)</f>
        <v>-83.98921</v>
      </c>
      <c r="Q70" s="2">
        <f>SUM(Q69:Q69)</f>
        <v>1483.78081</v>
      </c>
      <c r="R70" s="2">
        <f>SUM(R69:R69)</f>
        <v>1483.78081</v>
      </c>
      <c r="S70" s="2">
        <f>SUM(S69:S69)</f>
        <v>1483.78081</v>
      </c>
      <c r="T70" s="2">
        <f>SUM(T69:T69)</f>
        <v>1483.78081</v>
      </c>
      <c r="U70" s="2">
        <f>SUM(U69:U69)</f>
        <v>1483.78081</v>
      </c>
      <c r="V70" s="2">
        <f>SUM(V69:V69)</f>
        <v>1483.78081</v>
      </c>
      <c r="W70" s="2">
        <f>SUM(W69:W69)</f>
        <v>1483.78081</v>
      </c>
      <c r="X70" s="2">
        <f>SUM(X69:X69)</f>
        <v>1483.78081</v>
      </c>
      <c r="Y70" s="2">
        <f>SUM(Y69:Y69)</f>
        <v>1483.78081</v>
      </c>
      <c r="Z70" s="2">
        <f>SUM(Z69:Z69)</f>
        <v>1483.78081</v>
      </c>
      <c r="AA70" s="2">
        <f>SUM(AA69:AA69)</f>
        <v>1483.78081</v>
      </c>
      <c r="AB70" s="2">
        <f>SUM(AB69:AB69)</f>
        <v>1861.3903400000002</v>
      </c>
      <c r="AC70" s="2">
        <f>SUM(AC69:AC69)</f>
        <v>2960.12167</v>
      </c>
      <c r="AD70" s="2">
        <f>SUM(AD69:AD69)</f>
        <v>2960.12167</v>
      </c>
      <c r="AE70" s="2">
        <f>SUM(AE69:AE69)</f>
        <v>2960.12167</v>
      </c>
      <c r="AF70" s="2">
        <f>SUM(AF69:AF69)</f>
        <v>2960.12167</v>
      </c>
      <c r="AG70" s="2">
        <f>SUM(AG69:AG69)</f>
        <v>2960.12167</v>
      </c>
      <c r="AH70" s="2">
        <f>SUM(AH69:AH69)</f>
        <v>2960.12167</v>
      </c>
      <c r="AI70" s="2">
        <f>SUM(AI69:AI69)</f>
        <v>2960.12167</v>
      </c>
      <c r="AJ70" s="2"/>
      <c r="AK70" s="2">
        <f>SUM(AK69:AK69)</f>
        <v>-83.98921</v>
      </c>
      <c r="AL70" s="2">
        <f>SUM(AL69:AL69)</f>
        <v>1861.3903400000002</v>
      </c>
      <c r="AM70" s="2">
        <f>SUM(AM69:AM69)</f>
        <v>2960.12167</v>
      </c>
    </row>
    <row r="71" spans="3:39" ht="11.25" customHeight="1" x14ac:dyDescent="0.2">
      <c r="C71" s="17" t="s">
        <v>337</v>
      </c>
      <c r="D71" s="15"/>
      <c r="E71" s="14">
        <f>'PL2'!E129</f>
        <v>-308.89328</v>
      </c>
      <c r="F71" s="14">
        <f>'PL2'!F129+E71</f>
        <v>-415.88139000000001</v>
      </c>
      <c r="G71" s="14">
        <f>'PL2'!G129+F71</f>
        <v>-252.32464000000007</v>
      </c>
      <c r="H71" s="14">
        <f>'PL2'!H129+G71</f>
        <v>66.179259999999857</v>
      </c>
      <c r="I71" s="14">
        <f>'PL2'!I129+H71</f>
        <v>174.63522999999992</v>
      </c>
      <c r="J71" s="14">
        <f>'PL2'!J129+I71</f>
        <v>138.30982999999986</v>
      </c>
      <c r="K71" s="14">
        <f>'PL2'!K129+J71</f>
        <v>245.85728999999998</v>
      </c>
      <c r="L71" s="14">
        <f>'PL2'!L129+K71</f>
        <v>920.22618000000011</v>
      </c>
      <c r="M71" s="14">
        <f>'PL2'!M129+L71</f>
        <v>1735.9857300000003</v>
      </c>
      <c r="N71" s="14">
        <f>'PL2'!N129+M71</f>
        <v>1490.2895500000004</v>
      </c>
      <c r="O71" s="14">
        <f>'PL2'!O129+N71</f>
        <v>1381.3664600000002</v>
      </c>
      <c r="P71" s="14">
        <f>'PL2'!P129+O71</f>
        <v>1567.7700199999999</v>
      </c>
      <c r="Q71" s="14">
        <f>'PL2'!Q129</f>
        <v>-76.656609999999944</v>
      </c>
      <c r="R71" s="14">
        <f>'PL2'!R129+Q71</f>
        <v>7.6741400000000226</v>
      </c>
      <c r="S71" s="14">
        <f>'PL2'!S129+R71</f>
        <v>-141.35341000000011</v>
      </c>
      <c r="T71" s="14">
        <f>'PL2'!T129+S71</f>
        <v>-255.2714400000001</v>
      </c>
      <c r="U71" s="14">
        <f>'PL2'!U129+T71</f>
        <v>-240.18690000000015</v>
      </c>
      <c r="V71" s="14">
        <f>'PL2'!V129+U71</f>
        <v>-412.18591000000021</v>
      </c>
      <c r="W71" s="14">
        <f>'PL2'!W129+V71</f>
        <v>-580.86806000000024</v>
      </c>
      <c r="X71" s="14">
        <f>'PL2'!X129+W71</f>
        <v>75.85559999999964</v>
      </c>
      <c r="Y71" s="14">
        <f>'PL2'!Y129+X71</f>
        <v>573.18429999999989</v>
      </c>
      <c r="Z71" s="14">
        <f>'PL2'!Z129+Y71</f>
        <v>814.84214999999949</v>
      </c>
      <c r="AA71" s="14">
        <f>'PL2'!AA129+Z71</f>
        <v>1216.5178499999997</v>
      </c>
      <c r="AB71" s="14">
        <f>'PL2'!AB129+AA71</f>
        <v>1098.7313299999994</v>
      </c>
      <c r="AC71" s="14">
        <f>'PL2'!AC129</f>
        <v>-133.9857199999999</v>
      </c>
      <c r="AD71" s="14">
        <f>'PL2'!AD129+AC71</f>
        <v>-130.16590999999994</v>
      </c>
      <c r="AE71" s="14">
        <f>'PL2'!AE129+AD71</f>
        <v>36.009250000000065</v>
      </c>
      <c r="AF71" s="14">
        <f>'PL2'!AF129+AE71</f>
        <v>13.535220000000038</v>
      </c>
      <c r="AG71" s="14">
        <f>'PL2'!AG129+AF71</f>
        <v>-219.25783999999999</v>
      </c>
      <c r="AH71" s="14">
        <f>'PL2'!AH129+AG71</f>
        <v>0.75730999999990445</v>
      </c>
      <c r="AI71" s="14">
        <f>'PL2'!AI129+AH71</f>
        <v>-101.5598699999999</v>
      </c>
      <c r="AJ71" s="14"/>
      <c r="AK71" s="14">
        <f>P71</f>
        <v>1567.7700199999999</v>
      </c>
      <c r="AL71" s="14">
        <f>AB71</f>
        <v>1098.7313299999994</v>
      </c>
      <c r="AM71" s="14">
        <f>AI71</f>
        <v>-101.5598699999999</v>
      </c>
    </row>
    <row r="72" spans="3:39" ht="11.25" customHeight="1" x14ac:dyDescent="0.2">
      <c r="C72" s="69" t="s">
        <v>336</v>
      </c>
      <c r="D72" s="4"/>
      <c r="E72" s="2">
        <f>SUM(E63,E67,E70,E71)</f>
        <v>496.71451000000002</v>
      </c>
      <c r="F72" s="2">
        <f>SUM(F63,F67,F70,F71)</f>
        <v>349.72640000000001</v>
      </c>
      <c r="G72" s="2">
        <f>SUM(G63,G67,G70,G71)</f>
        <v>449.28314999999998</v>
      </c>
      <c r="H72" s="2">
        <f>SUM(H63,H67,H70,H71)</f>
        <v>727.48393999999996</v>
      </c>
      <c r="I72" s="2">
        <f>SUM(I63,I67,I70,I71)</f>
        <v>815.93991000000005</v>
      </c>
      <c r="J72" s="2">
        <f>SUM(J63,J67,J70,J71)</f>
        <v>759.61450999999988</v>
      </c>
      <c r="K72" s="2">
        <f>SUM(K63,K67,K70,K71)</f>
        <v>847.16197000000011</v>
      </c>
      <c r="L72" s="2">
        <f>SUM(L63,L67,L70,L71)</f>
        <v>1521.5308600000003</v>
      </c>
      <c r="M72" s="2">
        <f>SUM(M63,M67,M70,M71)</f>
        <v>2337.2904100000005</v>
      </c>
      <c r="N72" s="2">
        <f>SUM(N63,N67,N70,N71)</f>
        <v>2083.5942300000006</v>
      </c>
      <c r="O72" s="2">
        <f>SUM(O63,O67,O70,O71)</f>
        <v>1851.3421400000002</v>
      </c>
      <c r="P72" s="2">
        <f>SUM(P63,P67,P70,P71)</f>
        <v>1862.3903399999999</v>
      </c>
      <c r="Q72" s="2">
        <f>SUM(Q63,Q67,Q70,Q71)</f>
        <v>1774.7521400000001</v>
      </c>
      <c r="R72" s="2">
        <f>SUM(R63,R67,R70,R71)</f>
        <v>1859.0828900000001</v>
      </c>
      <c r="S72" s="2">
        <f>SUM(S63,S67,S70,S71)</f>
        <v>1710.0553399999999</v>
      </c>
      <c r="T72" s="2">
        <f>SUM(T63,T67,T70,T71)</f>
        <v>1546.1373100000001</v>
      </c>
      <c r="U72" s="2">
        <f>SUM(U63,U67,U70,U71)</f>
        <v>1561.2218499999999</v>
      </c>
      <c r="V72" s="2">
        <f>SUM(V63,V67,V70,V71)</f>
        <v>1352.1743699999997</v>
      </c>
      <c r="W72" s="2">
        <f>SUM(W63,W67,W70,W71)</f>
        <v>1181.1773999999998</v>
      </c>
      <c r="X72" s="2">
        <f>SUM(X63,X67,X70,X71)</f>
        <v>1787.9010599999997</v>
      </c>
      <c r="Y72" s="2">
        <f>SUM(Y63,Y67,Y70,Y71)</f>
        <v>2285.2297600000002</v>
      </c>
      <c r="Z72" s="2">
        <f>SUM(Z63,Z67,Z70,Z71)</f>
        <v>2473.8876099999998</v>
      </c>
      <c r="AA72" s="2">
        <f>SUM(AA63,AA67,AA70,AA71)</f>
        <v>2475.5633099999995</v>
      </c>
      <c r="AB72" s="2">
        <f>SUM(AB63,AB67,AB70,AB71)</f>
        <v>2289.9310999999998</v>
      </c>
      <c r="AC72" s="2">
        <f>SUM(AC63,AC67,AC70,AC71)</f>
        <v>1887.8677600000001</v>
      </c>
      <c r="AD72" s="2">
        <f>SUM(AD63,AD67,AD70,AD71)</f>
        <v>1591.6875700000001</v>
      </c>
      <c r="AE72" s="2">
        <f>SUM(AE63,AE67,AE70,AE71)</f>
        <v>1677.8627300000001</v>
      </c>
      <c r="AF72" s="2">
        <f>SUM(AF63,AF67,AF70,AF71)</f>
        <v>1655.3887</v>
      </c>
      <c r="AG72" s="2">
        <f>SUM(AG63,AG67,AG70,AG71)</f>
        <v>1422.59564</v>
      </c>
      <c r="AH72" s="2">
        <f>SUM(AH63,AH67,AH70,AH71)</f>
        <v>1560.61079</v>
      </c>
      <c r="AI72" s="2">
        <f>SUM(AI63,AI67,AI70,AI71)</f>
        <v>1258.2936100000002</v>
      </c>
      <c r="AJ72" s="2"/>
      <c r="AK72" s="2">
        <f>SUM(AK63,AK67,AK70,AK71)</f>
        <v>1862.3903399999999</v>
      </c>
      <c r="AL72" s="2">
        <f>SUM(AL63,AL67,AL70,AL71)</f>
        <v>2289.9310999999998</v>
      </c>
      <c r="AM72" s="2">
        <f>SUM(AM63,AM67,AM70,AM71)</f>
        <v>1258.2936100000002</v>
      </c>
    </row>
    <row r="73" spans="3:39" ht="12" customHeight="1" thickBot="1" x14ac:dyDescent="0.3">
      <c r="C73" s="40" t="s">
        <v>335</v>
      </c>
      <c r="D73" s="76"/>
      <c r="E73" s="39">
        <f>+E60+E72</f>
        <v>1945.81053</v>
      </c>
      <c r="F73" s="39">
        <f>+F60+F72</f>
        <v>1876.9594400000001</v>
      </c>
      <c r="G73" s="39">
        <f>+G60+G72</f>
        <v>2065.2811799999999</v>
      </c>
      <c r="H73" s="39">
        <f>+H60+H72</f>
        <v>2286.9074700000001</v>
      </c>
      <c r="I73" s="39">
        <f>+I60+I72</f>
        <v>2366.1767399999999</v>
      </c>
      <c r="J73" s="39">
        <f>+J60+J72</f>
        <v>2363.6202299999995</v>
      </c>
      <c r="K73" s="39">
        <f>+K60+K72</f>
        <v>2566.8364000000001</v>
      </c>
      <c r="L73" s="39">
        <f>+L60+L72</f>
        <v>3213.1898300000003</v>
      </c>
      <c r="M73" s="39">
        <f>+M60+M72</f>
        <v>3875.7998300000004</v>
      </c>
      <c r="N73" s="39">
        <f>+N60+N72</f>
        <v>3708.7171100000005</v>
      </c>
      <c r="O73" s="39">
        <f>+O60+O72</f>
        <v>3740.8445900000002</v>
      </c>
      <c r="P73" s="39">
        <f>+P60+P72</f>
        <v>3107.7775200000001</v>
      </c>
      <c r="Q73" s="39">
        <f>+Q60+Q72</f>
        <v>3103.2627499999999</v>
      </c>
      <c r="R73" s="39">
        <f>+R60+R72</f>
        <v>3183.3139799999999</v>
      </c>
      <c r="S73" s="39">
        <f>+S60+S72</f>
        <v>3068.1906300000001</v>
      </c>
      <c r="T73" s="39">
        <f>+T60+T72</f>
        <v>2868.29907</v>
      </c>
      <c r="U73" s="39">
        <f>+U60+U72</f>
        <v>2960.8163500000001</v>
      </c>
      <c r="V73" s="39">
        <f>+V60+V72</f>
        <v>2727.5488099999998</v>
      </c>
      <c r="W73" s="39">
        <f>+W60+W72</f>
        <v>2621.8079099999995</v>
      </c>
      <c r="X73" s="39">
        <f>+X60+X72</f>
        <v>3330.5416099999998</v>
      </c>
      <c r="Y73" s="39">
        <f>+Y60+Y72</f>
        <v>3824.8415400000004</v>
      </c>
      <c r="Z73" s="39">
        <f>+Z60+Z72</f>
        <v>3659.5992499999998</v>
      </c>
      <c r="AA73" s="39">
        <f>+AA60+AA72</f>
        <v>3532.7612999999992</v>
      </c>
      <c r="AB73" s="39">
        <f>+AB60+AB72</f>
        <v>3464.1853499999997</v>
      </c>
      <c r="AC73" s="39">
        <f>+AC60+AC72</f>
        <v>3107.51224</v>
      </c>
      <c r="AD73" s="39">
        <f>+AD60+AD72</f>
        <v>2945.0208199999997</v>
      </c>
      <c r="AE73" s="39">
        <f>+AE60+AE72</f>
        <v>3111.5830000000001</v>
      </c>
      <c r="AF73" s="39">
        <f>+AF60+AF72</f>
        <v>2799.24881</v>
      </c>
      <c r="AG73" s="39">
        <f>+AG60+AG72</f>
        <v>2712.0254299999997</v>
      </c>
      <c r="AH73" s="39">
        <f>+AH60+AH72</f>
        <v>2853.0266999999999</v>
      </c>
      <c r="AI73" s="39">
        <f>+AI60+AI72</f>
        <v>2544.0338200000001</v>
      </c>
      <c r="AJ73" s="39"/>
      <c r="AK73" s="39">
        <f>+AK60+AK72</f>
        <v>3107.7775200000001</v>
      </c>
      <c r="AL73" s="39">
        <f>+AL60+AL72</f>
        <v>3464.1853499999997</v>
      </c>
      <c r="AM73" s="39">
        <f>+AM60+AM72</f>
        <v>2544.0338200000001</v>
      </c>
    </row>
    <row r="74" spans="3:39" ht="6" customHeight="1" x14ac:dyDescent="0.2">
      <c r="D74" s="4"/>
    </row>
    <row r="75" spans="3:39" ht="11.25" customHeight="1" x14ac:dyDescent="0.2">
      <c r="C75" t="s">
        <v>218</v>
      </c>
      <c r="D75" s="4"/>
      <c r="E75" s="2">
        <f>IFERROR((E14/E84)*E$83,0)</f>
        <v>47.848415809286124</v>
      </c>
      <c r="F75" s="2">
        <f>IFERROR((F14/F84)*F$83,0)</f>
        <v>25.113267519475791</v>
      </c>
      <c r="G75" s="2">
        <f>IFERROR((G14/G84)*G$83,0)</f>
        <v>31.410889364115246</v>
      </c>
      <c r="H75" s="2">
        <f>IFERROR((H14/H84)*H$83,0)</f>
        <v>38.10265246134005</v>
      </c>
      <c r="I75" s="2">
        <f>IFERROR((I14/I84)*I$83,0)</f>
        <v>22.840079624143247</v>
      </c>
      <c r="J75" s="2">
        <f>IFERROR((J14/J84)*J$83,0)</f>
        <v>39.803340466816827</v>
      </c>
      <c r="K75" s="2">
        <f>IFERROR((K14/K84)*K$83,0)</f>
        <v>33.841551096056762</v>
      </c>
      <c r="L75" s="2">
        <f>IFERROR((L14/L84)*L$83,0)</f>
        <v>32.462349085667149</v>
      </c>
      <c r="M75" s="2">
        <f>IFERROR((M14/M84)*M$83,0)</f>
        <v>22.142230773811761</v>
      </c>
      <c r="N75" s="2">
        <f>IFERROR((N14/N84)*N$83,0)</f>
        <v>48.254177288370627</v>
      </c>
      <c r="O75" s="2">
        <f>IFERROR((O14/O84)*O$83,0)</f>
        <v>19.5680332536385</v>
      </c>
      <c r="P75" s="2">
        <f>IFERROR((P14/P84)*P$83,0)</f>
        <v>26.796432599557811</v>
      </c>
      <c r="Q75" s="2">
        <f>IFERROR((Q14/Q84)*Q$83,0)</f>
        <v>38.537202282226495</v>
      </c>
      <c r="R75" s="2">
        <f>IFERROR((R14/R84)*R$83,0)</f>
        <v>42.289773613621236</v>
      </c>
      <c r="S75" s="2">
        <f>IFERROR((S14/S84)*S$83,0)</f>
        <v>37.850776091429069</v>
      </c>
      <c r="T75" s="2">
        <f>IFERROR((T14/T84)*T$83,0)</f>
        <v>34.756871767190553</v>
      </c>
      <c r="U75" s="2">
        <f>IFERROR((U14/U84)*U$83,0)</f>
        <v>30.083352104233413</v>
      </c>
      <c r="V75" s="2">
        <f>IFERROR((V14/V84)*V$83,0)</f>
        <v>46.016491829735727</v>
      </c>
      <c r="W75" s="2">
        <f>IFERROR((W14/W84)*W$83,0)</f>
        <v>39.991266745802946</v>
      </c>
      <c r="X75" s="2">
        <f>IFERROR((X14/X84)*X$83,0)</f>
        <v>24.315720035817673</v>
      </c>
      <c r="Y75" s="2">
        <f>IFERROR((Y14/Y84)*Y$83,0)</f>
        <v>30.190730704033491</v>
      </c>
      <c r="Z75" s="2">
        <f>IFERROR((Z14/Z84)*Z$83,0)</f>
        <v>31.000939448054478</v>
      </c>
      <c r="AA75" s="2">
        <f>IFERROR((AA14/AA84)*AA$83,0)</f>
        <v>25.215990514017939</v>
      </c>
      <c r="AB75" s="2">
        <f>IFERROR((AB14/AB84)*AB$83,0)</f>
        <v>44.85414652383573</v>
      </c>
      <c r="AC75" s="2">
        <f>IFERROR((AC14/AC84)*AC$83,0)</f>
        <v>47.591678450407279</v>
      </c>
      <c r="AD75" s="2">
        <f>IFERROR((AD14/AD84)*AD$83,0)</f>
        <v>29.19756368111522</v>
      </c>
      <c r="AE75" s="2">
        <f>IFERROR((AE14/AE84)*AE$83,0)</f>
        <v>40.582567650843075</v>
      </c>
      <c r="AF75" s="2">
        <f>IFERROR((AF14/AF84)*AF$83,0)</f>
        <v>46.320334925419417</v>
      </c>
      <c r="AG75" s="2">
        <f>IFERROR((AG14/AG84)*AG$83,0)</f>
        <v>66.421855096942195</v>
      </c>
      <c r="AH75" s="2">
        <f>IFERROR((AH14/AH84)*AH$83,0)</f>
        <v>33.016468384961982</v>
      </c>
      <c r="AI75" s="2">
        <f>IFERROR((AI14/AI84)*AI$83,0)</f>
        <v>56.461083490080064</v>
      </c>
      <c r="AJ75" s="2"/>
      <c r="AK75" s="2">
        <f>IFERROR((AK14/AK84)*AK$83,0)</f>
        <v>30.397139344324884</v>
      </c>
      <c r="AL75" s="2">
        <f>IFERROR((AL14/AL84)*AL$83,0)</f>
        <v>32.193761778386332</v>
      </c>
      <c r="AM75" s="2">
        <f>IFERROR((AM14/AM84)*AM$83,0)</f>
        <v>38.310312483991616</v>
      </c>
    </row>
    <row r="76" spans="3:39" ht="11.25" customHeight="1" x14ac:dyDescent="0.2">
      <c r="C76" t="s">
        <v>334</v>
      </c>
      <c r="D76" s="4"/>
      <c r="E76" s="62" t="s">
        <v>26</v>
      </c>
      <c r="F76" s="62" t="s">
        <v>26</v>
      </c>
      <c r="G76" s="62" t="s">
        <v>26</v>
      </c>
      <c r="H76" s="62" t="s">
        <v>26</v>
      </c>
      <c r="I76" s="62" t="s">
        <v>26</v>
      </c>
      <c r="J76" s="62" t="s">
        <v>26</v>
      </c>
      <c r="K76" s="62" t="s">
        <v>26</v>
      </c>
      <c r="L76" s="62" t="s">
        <v>26</v>
      </c>
      <c r="M76" s="62" t="s">
        <v>26</v>
      </c>
      <c r="N76" s="62" t="s">
        <v>26</v>
      </c>
      <c r="O76" s="62" t="s">
        <v>26</v>
      </c>
      <c r="P76" s="62" t="s">
        <v>26</v>
      </c>
      <c r="Q76" s="62" t="s">
        <v>26</v>
      </c>
      <c r="R76" s="62" t="s">
        <v>26</v>
      </c>
      <c r="S76" s="62" t="s">
        <v>26</v>
      </c>
      <c r="T76" s="62" t="s">
        <v>26</v>
      </c>
      <c r="U76" s="62" t="s">
        <v>26</v>
      </c>
      <c r="V76" s="62" t="s">
        <v>26</v>
      </c>
      <c r="W76" s="62" t="s">
        <v>26</v>
      </c>
      <c r="X76" s="62" t="s">
        <v>26</v>
      </c>
      <c r="Y76" s="62" t="s">
        <v>26</v>
      </c>
      <c r="Z76" s="62" t="s">
        <v>26</v>
      </c>
      <c r="AA76" s="62" t="s">
        <v>26</v>
      </c>
      <c r="AB76" s="62" t="s">
        <v>26</v>
      </c>
      <c r="AC76" s="62" t="s">
        <v>26</v>
      </c>
      <c r="AD76" s="62" t="s">
        <v>26</v>
      </c>
      <c r="AE76" s="62" t="s">
        <v>26</v>
      </c>
      <c r="AF76" s="62" t="s">
        <v>26</v>
      </c>
      <c r="AG76" s="62" t="s">
        <v>26</v>
      </c>
      <c r="AH76" s="62" t="s">
        <v>26</v>
      </c>
      <c r="AI76" s="62" t="s">
        <v>26</v>
      </c>
      <c r="AJ76" s="62"/>
      <c r="AK76" s="62" t="s">
        <v>26</v>
      </c>
      <c r="AL76" s="62" t="s">
        <v>26</v>
      </c>
      <c r="AM76" s="62" t="s">
        <v>26</v>
      </c>
    </row>
    <row r="77" spans="3:39" ht="11.25" customHeight="1" x14ac:dyDescent="0.2">
      <c r="C77" t="s">
        <v>215</v>
      </c>
      <c r="D77" s="4"/>
      <c r="E77" s="2">
        <f>IFERROR((E39/E86)*E$83,0)</f>
        <v>15.731246792610364</v>
      </c>
      <c r="F77" s="2">
        <f>IFERROR((F39/F86)*F$83,0)</f>
        <v>16.349467225952527</v>
      </c>
      <c r="G77" s="2">
        <f>IFERROR((G39/G86)*G$83,0)</f>
        <v>18.751136513803893</v>
      </c>
      <c r="H77" s="2">
        <f>IFERROR((H39/H86)*H$83,0)</f>
        <v>10.793710500209688</v>
      </c>
      <c r="I77" s="2">
        <f>IFERROR((I39/I86)*I$83,0)</f>
        <v>14.671002618883982</v>
      </c>
      <c r="J77" s="2">
        <f>IFERROR((J39/J86)*J$83,0)</f>
        <v>14.45842582773766</v>
      </c>
      <c r="K77" s="2">
        <f>IFERROR((K39/K86)*K$83,0)</f>
        <v>18.625684166309135</v>
      </c>
      <c r="L77" s="2">
        <f>IFERROR((L39/L86)*L$83,0)</f>
        <v>11.76405271783514</v>
      </c>
      <c r="M77" s="2">
        <f>IFERROR((M39/M86)*M$83,0)</f>
        <v>-11.228207281575532</v>
      </c>
      <c r="N77" s="2">
        <f>IFERROR((N39/N86)*N$83,0)</f>
        <v>-5.4515308855406071</v>
      </c>
      <c r="O77" s="2">
        <f>IFERROR((O39/O86)*O$83,0)</f>
        <v>13.230875927949064</v>
      </c>
      <c r="P77" s="2">
        <f>IFERROR((P39/P86)*P$83,0)</f>
        <v>0</v>
      </c>
      <c r="Q77" s="2">
        <f>IFERROR((Q39/Q86)*Q$83,0)</f>
        <v>7.617657553135615</v>
      </c>
      <c r="R77" s="2">
        <f>IFERROR((R39/R86)*R$83,0)</f>
        <v>1.0255573197174397</v>
      </c>
      <c r="S77" s="2">
        <f>IFERROR((S39/S86)*S$83,0)</f>
        <v>12.674498537982</v>
      </c>
      <c r="T77" s="2">
        <f>IFERROR((T39/T86)*T$83,0)</f>
        <v>1.6081291050497075</v>
      </c>
      <c r="U77" s="2">
        <f>IFERROR((U39/U86)*U$83,0)</f>
        <v>18.080884632292666</v>
      </c>
      <c r="V77" s="2">
        <f>IFERROR((V39/V86)*V$83,0)</f>
        <v>8.6229463983072279</v>
      </c>
      <c r="W77" s="2">
        <f>IFERROR((W39/W86)*W$83,0)</f>
        <v>15.027227599020179</v>
      </c>
      <c r="X77" s="2">
        <f>IFERROR((X39/X86)*X$83,0)</f>
        <v>21.651519971131648</v>
      </c>
      <c r="Y77" s="2">
        <f>IFERROR((Y39/Y86)*Y$83,0)</f>
        <v>16.00104173663938</v>
      </c>
      <c r="Z77" s="2">
        <f>IFERROR((Z39/Z86)*Z$83,0)</f>
        <v>22.454154235207241</v>
      </c>
      <c r="AA77" s="2">
        <f>IFERROR((AA39/AA86)*AA$83,0)</f>
        <v>16.672404529484925</v>
      </c>
      <c r="AB77" s="2">
        <f>IFERROR((AB39/AB86)*AB$83,0)</f>
        <v>5.4953531483092908</v>
      </c>
      <c r="AC77" s="2">
        <f>IFERROR((AC39/AC86)*AC$83,0)</f>
        <v>14.93239091391515</v>
      </c>
      <c r="AD77" s="2">
        <f>IFERROR((AD39/AD86)*AD$83,0)</f>
        <v>21.673571680816579</v>
      </c>
      <c r="AE77" s="2">
        <f>IFERROR((AE39/AE86)*AE$83,0)</f>
        <v>24.662943911120642</v>
      </c>
      <c r="AF77" s="2">
        <f>IFERROR((AF39/AF86)*AF$83,0)</f>
        <v>10.745057621379097</v>
      </c>
      <c r="AG77" s="2">
        <f>IFERROR((AG39/AG86)*AG$83,0)</f>
        <v>20.376094638551805</v>
      </c>
      <c r="AH77" s="2">
        <f>IFERROR((AH39/AH86)*AH$83,0)</f>
        <v>12.975141706798995</v>
      </c>
      <c r="AI77" s="2">
        <f>IFERROR((AI39/AI86)*AI$83,0)</f>
        <v>12.46061321985318</v>
      </c>
      <c r="AJ77" s="2"/>
      <c r="AK77" s="2">
        <f>IFERROR((AK39/AK86)*AK$83,0)</f>
        <v>0</v>
      </c>
      <c r="AL77" s="2">
        <f>IFERROR((AL39/AL86)*AL$83,0)</f>
        <v>8.741308589153773</v>
      </c>
      <c r="AM77" s="2">
        <f>IFERROR((AM39/AM86)*AM$83,0)</f>
        <v>11.996858983807108</v>
      </c>
    </row>
    <row r="78" spans="3:39" ht="6" customHeight="1" x14ac:dyDescent="0.2">
      <c r="D78" s="4"/>
    </row>
    <row r="81" spans="3:39" ht="11.25" customHeight="1" x14ac:dyDescent="0.2">
      <c r="C81" t="s">
        <v>333</v>
      </c>
      <c r="E81" s="2">
        <f>E36-E73</f>
        <v>0</v>
      </c>
      <c r="F81" s="2">
        <f>F36-F73</f>
        <v>0</v>
      </c>
      <c r="G81" s="2">
        <f>G36-G73</f>
        <v>0</v>
      </c>
      <c r="H81" s="2">
        <f>H36-H73</f>
        <v>0</v>
      </c>
      <c r="I81" s="2">
        <f>I36-I73</f>
        <v>0</v>
      </c>
      <c r="J81" s="2">
        <f>J36-J73</f>
        <v>0</v>
      </c>
      <c r="K81" s="2">
        <f>K36-K73</f>
        <v>0</v>
      </c>
      <c r="L81" s="2">
        <f>L36-L73</f>
        <v>0</v>
      </c>
      <c r="M81" s="2">
        <f>M36-M73</f>
        <v>0</v>
      </c>
      <c r="N81" s="2">
        <f>N36-N73</f>
        <v>0</v>
      </c>
      <c r="O81" s="2">
        <f>O36-O73</f>
        <v>0</v>
      </c>
      <c r="P81" s="2">
        <f>P36-P73</f>
        <v>0</v>
      </c>
      <c r="Q81" s="2">
        <f>Q36-Q73</f>
        <v>0</v>
      </c>
      <c r="R81" s="2">
        <f>R36-R73</f>
        <v>0</v>
      </c>
      <c r="S81" s="2">
        <f>S36-S73</f>
        <v>0</v>
      </c>
      <c r="T81" s="2">
        <f>T36-T73</f>
        <v>0</v>
      </c>
      <c r="U81" s="2">
        <f>U36-U73</f>
        <v>0</v>
      </c>
      <c r="V81" s="2">
        <f>V36-V73</f>
        <v>0</v>
      </c>
      <c r="W81" s="2">
        <f>W36-W73</f>
        <v>0</v>
      </c>
      <c r="X81" s="2">
        <f>X36-X73</f>
        <v>0</v>
      </c>
      <c r="Y81" s="2">
        <f>Y36-Y73</f>
        <v>0</v>
      </c>
      <c r="Z81" s="2">
        <f>Z36-Z73</f>
        <v>0</v>
      </c>
      <c r="AA81" s="2">
        <f>AA36-AA73</f>
        <v>0</v>
      </c>
      <c r="AB81" s="2">
        <f>AB36-AB73</f>
        <v>0</v>
      </c>
      <c r="AC81" s="2">
        <f>AC36-AC73</f>
        <v>0</v>
      </c>
      <c r="AD81" s="2">
        <f>AD36-AD73</f>
        <v>0</v>
      </c>
      <c r="AE81" s="2">
        <f>AE36-AE73</f>
        <v>0</v>
      </c>
      <c r="AF81" s="2">
        <f>AF36-AF73</f>
        <v>0</v>
      </c>
      <c r="AG81" s="2">
        <f>AG36-AG73</f>
        <v>0</v>
      </c>
      <c r="AH81" s="2">
        <f>AH36-AH73</f>
        <v>0</v>
      </c>
      <c r="AI81" s="2">
        <f>AI36-AI73</f>
        <v>0</v>
      </c>
      <c r="AK81" s="2">
        <f>AK36-AK73</f>
        <v>0</v>
      </c>
      <c r="AL81" s="2">
        <f>AL36-AL73</f>
        <v>0</v>
      </c>
      <c r="AM81" s="2">
        <f>AM36-AM73</f>
        <v>0</v>
      </c>
    </row>
    <row r="83" spans="3:39" ht="11.25" customHeight="1" x14ac:dyDescent="0.2">
      <c r="C83" t="s">
        <v>193</v>
      </c>
      <c r="E83">
        <v>31</v>
      </c>
      <c r="F83">
        <f>F8-E8</f>
        <v>31</v>
      </c>
      <c r="G83">
        <f>G8-F8</f>
        <v>30</v>
      </c>
      <c r="H83">
        <f>H8-G8</f>
        <v>31</v>
      </c>
      <c r="I83">
        <f>I8-H8</f>
        <v>31</v>
      </c>
      <c r="J83">
        <f>J8-I8</f>
        <v>30</v>
      </c>
      <c r="K83">
        <f>K8-J8</f>
        <v>31</v>
      </c>
      <c r="L83">
        <f>L8-K8</f>
        <v>30</v>
      </c>
      <c r="M83">
        <f>M8-L8</f>
        <v>31</v>
      </c>
      <c r="N83">
        <f>N8-M8</f>
        <v>31</v>
      </c>
      <c r="O83">
        <f>O8-N8</f>
        <v>29</v>
      </c>
      <c r="P83">
        <f>P8-O8</f>
        <v>31</v>
      </c>
      <c r="Q83">
        <f>Q8-P8</f>
        <v>30</v>
      </c>
      <c r="R83">
        <f>R8-Q8</f>
        <v>31</v>
      </c>
      <c r="S83">
        <f>S8-R8</f>
        <v>30</v>
      </c>
      <c r="T83">
        <f>T8-S8</f>
        <v>31</v>
      </c>
      <c r="U83">
        <f>U8-T8</f>
        <v>31</v>
      </c>
      <c r="V83">
        <f>V8-U8</f>
        <v>30</v>
      </c>
      <c r="W83">
        <f>W8-V8</f>
        <v>31</v>
      </c>
      <c r="X83">
        <f>X8-W8</f>
        <v>30</v>
      </c>
      <c r="Y83">
        <f>Y8-X8</f>
        <v>31</v>
      </c>
      <c r="Z83">
        <f>Z8-Y8</f>
        <v>31</v>
      </c>
      <c r="AA83">
        <f>AA8-Z8</f>
        <v>28</v>
      </c>
      <c r="AB83">
        <f>AB8-AA8</f>
        <v>31</v>
      </c>
      <c r="AC83">
        <f>AC8-AB8</f>
        <v>30</v>
      </c>
      <c r="AD83">
        <f>AD8-AC8</f>
        <v>31</v>
      </c>
      <c r="AE83">
        <f>AE8-AD8</f>
        <v>30</v>
      </c>
      <c r="AF83">
        <f>AF8-AE8</f>
        <v>31</v>
      </c>
      <c r="AG83">
        <f>AG8-AF8</f>
        <v>31</v>
      </c>
      <c r="AH83">
        <f>AH8-AG8</f>
        <v>30</v>
      </c>
      <c r="AI83">
        <f>AI8-AH8</f>
        <v>31</v>
      </c>
      <c r="AK83">
        <v>365</v>
      </c>
      <c r="AL83">
        <f>AL8-P8</f>
        <v>365</v>
      </c>
      <c r="AM83">
        <f>AM8-W8</f>
        <v>365</v>
      </c>
    </row>
    <row r="84" spans="3:39" ht="11.25" customHeight="1" x14ac:dyDescent="0.2">
      <c r="C84" t="s">
        <v>332</v>
      </c>
      <c r="E84" s="2">
        <f>'PL1'!E10</f>
        <v>193.12699999999998</v>
      </c>
      <c r="F84" s="2">
        <f>'PL1'!F10</f>
        <v>429.44349999999997</v>
      </c>
      <c r="G84" s="2">
        <f>'PL1'!G10</f>
        <v>731.81500000000005</v>
      </c>
      <c r="H84" s="2">
        <f>'PL1'!H10</f>
        <v>430.35500000000002</v>
      </c>
      <c r="I84" s="2">
        <f>'PL1'!I10</f>
        <v>623.42899999999997</v>
      </c>
      <c r="J84" s="2">
        <f>'PL1'!J10</f>
        <v>480.83100000000002</v>
      </c>
      <c r="K84" s="2">
        <f>'PL1'!K10</f>
        <v>688.46799999999996</v>
      </c>
      <c r="L84" s="2">
        <f>'PL1'!L10</f>
        <v>1267.3995</v>
      </c>
      <c r="M84" s="2">
        <f>'PL1'!M10</f>
        <v>1276.1760000000002</v>
      </c>
      <c r="N84" s="2">
        <f>'PL1'!N10</f>
        <v>238.70149999999998</v>
      </c>
      <c r="O84" s="2">
        <f>'PL1'!O10</f>
        <v>550.8931</v>
      </c>
      <c r="P84" s="2">
        <f>'PL1'!P10</f>
        <v>736.78299999999979</v>
      </c>
      <c r="Q84" s="2">
        <f>'PL1'!Q10</f>
        <v>422.04399999999998</v>
      </c>
      <c r="R84" s="2">
        <f>'PL1'!R10</f>
        <v>525.65</v>
      </c>
      <c r="S84" s="2">
        <f>'PL1'!S10</f>
        <v>371.34799999999996</v>
      </c>
      <c r="T84" s="2">
        <f>'PL1'!T10</f>
        <v>381.63400000000001</v>
      </c>
      <c r="U84" s="2">
        <f>'PL1'!U10</f>
        <v>537.17899999999997</v>
      </c>
      <c r="V84" s="2">
        <f>'PL1'!V10</f>
        <v>356.904</v>
      </c>
      <c r="W84" s="2">
        <f>'PL1'!W10</f>
        <v>365.61400000000003</v>
      </c>
      <c r="X84" s="2">
        <f>'PL1'!X10</f>
        <v>1132.4019999999998</v>
      </c>
      <c r="Y84" s="2">
        <f>'PL1'!Y10</f>
        <v>1135.1701400000002</v>
      </c>
      <c r="Z84" s="2">
        <f>'PL1'!Z10</f>
        <v>329.65100999999999</v>
      </c>
      <c r="AA84" s="2">
        <f>'PL1'!AA10</f>
        <v>807.92899999999997</v>
      </c>
      <c r="AB84" s="2">
        <f>'PL1'!AB10</f>
        <v>413.2260099999998</v>
      </c>
      <c r="AC84" s="2">
        <f>'PL1'!AC10</f>
        <v>351.47300000000001</v>
      </c>
      <c r="AD84" s="2">
        <f>'PL1'!AD10</f>
        <v>543.60699999999997</v>
      </c>
      <c r="AE84" s="2">
        <f>'PL1'!AE10</f>
        <v>736.56510000000014</v>
      </c>
      <c r="AF84" s="2">
        <f>'PL1'!AF10</f>
        <v>425.64699999999999</v>
      </c>
      <c r="AG84" s="2">
        <f>'PL1'!AG10</f>
        <v>284.19</v>
      </c>
      <c r="AH84" s="2">
        <f>'PL1'!AH10</f>
        <v>760.36599999999999</v>
      </c>
      <c r="AI84" s="2">
        <f>'PL1'!AI10</f>
        <v>423.18799999999999</v>
      </c>
      <c r="AJ84" s="2"/>
      <c r="AK84" s="2">
        <f>'PL1'!AK10</f>
        <v>7647.4216000000006</v>
      </c>
      <c r="AL84" s="2">
        <f>'PL1'!AL10</f>
        <v>6778.7511599999989</v>
      </c>
      <c r="AM84" s="2">
        <f>'PL1'!AM10</f>
        <v>7343.4142599999996</v>
      </c>
    </row>
    <row r="85" spans="3:39" ht="11.25" customHeight="1" x14ac:dyDescent="0.2">
      <c r="C85" t="s">
        <v>331</v>
      </c>
      <c r="E85" s="2">
        <f>'PL2'!E112</f>
        <v>501.62028000000004</v>
      </c>
      <c r="F85" s="2">
        <f>'PL2'!F112</f>
        <v>536.03161</v>
      </c>
      <c r="G85" s="2">
        <f>'PL2'!G112</f>
        <v>567.48325</v>
      </c>
      <c r="H85" s="2">
        <f>'PL2'!H112</f>
        <v>466.99545000000001</v>
      </c>
      <c r="I85" s="2">
        <f>'PL2'!I112</f>
        <v>514.5730299999999</v>
      </c>
      <c r="J85" s="2">
        <f>'PL2'!J112</f>
        <v>518.78140000000008</v>
      </c>
      <c r="K85" s="2">
        <f>'PL2'!K112</f>
        <v>580.92053999999985</v>
      </c>
      <c r="L85" s="2">
        <f>'PL2'!L112</f>
        <v>592.93060999999989</v>
      </c>
      <c r="M85" s="2">
        <f>'PL2'!M112</f>
        <v>460.04145000000005</v>
      </c>
      <c r="N85" s="2">
        <f>'PL2'!N112</f>
        <v>484.39767999999992</v>
      </c>
      <c r="O85" s="2">
        <f>'PL2'!O112</f>
        <v>659.81619000000012</v>
      </c>
      <c r="P85" s="2">
        <f>'PL2'!P112</f>
        <v>621.95644000000004</v>
      </c>
      <c r="Q85" s="2">
        <f>'PL2'!Q112</f>
        <v>498.70060999999993</v>
      </c>
      <c r="R85" s="2">
        <f>'PL2'!R112</f>
        <v>441.31925000000001</v>
      </c>
      <c r="S85" s="2">
        <f>'PL2'!S112</f>
        <v>520.37555000000009</v>
      </c>
      <c r="T85" s="2">
        <f>'PL2'!T112</f>
        <v>495.55203</v>
      </c>
      <c r="U85" s="2">
        <f>'PL2'!U112</f>
        <v>522.09446000000003</v>
      </c>
      <c r="V85" s="2">
        <f>'PL2'!V112</f>
        <v>469.77301000000006</v>
      </c>
      <c r="W85" s="2">
        <f>'PL2'!W112</f>
        <v>534.29615000000001</v>
      </c>
      <c r="X85" s="2">
        <f>'PL2'!X112</f>
        <v>525.67833999999993</v>
      </c>
      <c r="Y85" s="2">
        <f>'PL2'!Y112</f>
        <v>517.73645999999985</v>
      </c>
      <c r="Z85" s="2">
        <f>'PL2'!Z112</f>
        <v>87.993160000000316</v>
      </c>
      <c r="AA85" s="2">
        <f>'PL2'!AA112</f>
        <v>406.2532999999998</v>
      </c>
      <c r="AB85" s="2">
        <f>'PL2'!AB112</f>
        <v>526.93153000000007</v>
      </c>
      <c r="AC85" s="2">
        <f>'PL2'!AC112</f>
        <v>456.45871999999991</v>
      </c>
      <c r="AD85" s="2">
        <f>'PL2'!AD112</f>
        <v>539.78719000000001</v>
      </c>
      <c r="AE85" s="2">
        <f>'PL2'!AE112</f>
        <v>570.38994000000014</v>
      </c>
      <c r="AF85" s="2">
        <f>'PL2'!AF112</f>
        <v>448.12103000000002</v>
      </c>
      <c r="AG85" s="2">
        <f>'PL2'!AG112</f>
        <v>516.98306000000002</v>
      </c>
      <c r="AH85" s="2">
        <f>'PL2'!AH112</f>
        <v>525.17485000000011</v>
      </c>
      <c r="AI85" s="2">
        <f>'PL2'!AI112</f>
        <v>525.3996199999998</v>
      </c>
      <c r="AJ85" s="2"/>
      <c r="AK85" s="2">
        <f>'PL2'!AK112</f>
        <v>6505.5479300000006</v>
      </c>
      <c r="AL85" s="2">
        <f>'PL2'!AL112</f>
        <v>5546.7038500000008</v>
      </c>
      <c r="AM85" s="2">
        <f>'PL2'!AM112</f>
        <v>5646.9072000000006</v>
      </c>
    </row>
    <row r="86" spans="3:39" ht="11.25" customHeight="1" x14ac:dyDescent="0.2">
      <c r="C86" t="s">
        <v>330</v>
      </c>
      <c r="E86" s="2">
        <f>'PL2'!E112-'PL2'!E45</f>
        <v>202.92982000000006</v>
      </c>
      <c r="F86" s="2">
        <f>'PL2'!F112-'PL2'!F45</f>
        <v>237.54817000000003</v>
      </c>
      <c r="G86" s="2">
        <f>'PL2'!G112-'PL2'!G45</f>
        <v>283.16858000000002</v>
      </c>
      <c r="H86" s="2">
        <f>'PL2'!H112-'PL2'!H45</f>
        <v>190.30639000000002</v>
      </c>
      <c r="I86" s="2">
        <f>'PL2'!I112-'PL2'!I45</f>
        <v>245.60079999999994</v>
      </c>
      <c r="J86" s="2">
        <f>'PL2'!J112-'PL2'!J45</f>
        <v>252.12335999999999</v>
      </c>
      <c r="K86" s="2">
        <f>'PL2'!K112-'PL2'!K45</f>
        <v>312.61952999999983</v>
      </c>
      <c r="L86" s="2">
        <f>'PL2'!L112-'PL2'!L45</f>
        <v>326.19472999999999</v>
      </c>
      <c r="M86" s="2">
        <f>'PL2'!M112-'PL2'!M45</f>
        <v>194.95973000000004</v>
      </c>
      <c r="N86" s="2">
        <f>'PL2'!N112-'PL2'!N45</f>
        <v>203.0207299999999</v>
      </c>
      <c r="O86" s="2">
        <f>'PL2'!O112-'PL2'!O45</f>
        <v>384.49578000000002</v>
      </c>
      <c r="P86" s="2">
        <f>'PL2'!P112-'PL2'!P45</f>
        <v>246.46405000000004</v>
      </c>
      <c r="Q86" s="2">
        <f>'PL2'!Q112-'PL2'!Q45</f>
        <v>226.78951999999992</v>
      </c>
      <c r="R86" s="2">
        <f>'PL2'!R112-'PL2'!R45</f>
        <v>169.69972000000001</v>
      </c>
      <c r="S86" s="2">
        <f>'PL2'!S112-'PL2'!S45</f>
        <v>226.46780000000001</v>
      </c>
      <c r="T86" s="2">
        <f>'PL2'!T112-'PL2'!T45</f>
        <v>193.60606000000001</v>
      </c>
      <c r="U86" s="2">
        <f>'PL2'!U112-'PL2'!U45</f>
        <v>225.58661000000006</v>
      </c>
      <c r="V86" s="2">
        <f>'PL2'!V112-'PL2'!V45</f>
        <v>177.60260000000005</v>
      </c>
      <c r="W86" s="2">
        <f>'PL2'!W112-'PL2'!W45</f>
        <v>243.82025000000004</v>
      </c>
      <c r="X86" s="2">
        <f>'PL2'!X112-'PL2'!X45</f>
        <v>234.33274</v>
      </c>
      <c r="Y86" s="2">
        <f>'PL2'!Y112-'PL2'!Y45</f>
        <v>230.2981299999999</v>
      </c>
      <c r="Z86" s="2">
        <f>'PL2'!Z112-'PL2'!Z45</f>
        <v>307.36536000000012</v>
      </c>
      <c r="AA86" s="2">
        <f>'PL2'!AA112-'PL2'!AA45</f>
        <v>161.47708</v>
      </c>
      <c r="AB86" s="2">
        <f>'PL2'!AB112-'PL2'!AB45</f>
        <v>374.42016999999998</v>
      </c>
      <c r="AC86" s="2">
        <f>'PL2'!AC112-'PL2'!AC45</f>
        <v>224.32191999999992</v>
      </c>
      <c r="AD86" s="2">
        <f>'PL2'!AD112-'PL2'!AD45</f>
        <v>206.71500000000003</v>
      </c>
      <c r="AE86" s="2">
        <f>'PL2'!AE112-'PL2'!AE45</f>
        <v>288.95621000000011</v>
      </c>
      <c r="AF86" s="2">
        <f>'PL2'!AF112-'PL2'!AF45</f>
        <v>166.64648000000005</v>
      </c>
      <c r="AG86" s="2">
        <f>'PL2'!AG112-'PL2'!AG45</f>
        <v>235.67140000000006</v>
      </c>
      <c r="AH86" s="2">
        <f>'PL2'!AH112-'PL2'!AH45</f>
        <v>244.91061999999999</v>
      </c>
      <c r="AI86" s="2">
        <f>'PL2'!AI112-'PL2'!AI45</f>
        <v>238.22548999999992</v>
      </c>
      <c r="AK86" s="2">
        <f>'PL2'!AK112-'PL2'!AK45</f>
        <v>3079.4316700000004</v>
      </c>
      <c r="AL86" s="2">
        <f>'PL2'!AL112-'PL2'!AL45</f>
        <v>2771.4660400000002</v>
      </c>
      <c r="AM86" s="2">
        <f>'PL2'!AM112-'PL2'!AM45</f>
        <v>2913.3406000000009</v>
      </c>
    </row>
  </sheetData>
  <pageMargins left="0.7" right="0.7" top="0.75" bottom="0.75" header="0.3" footer="0.3"/>
  <pageSetup orientation="landscape" r:id="rId1"/>
  <extLst>
    <ext xmlns:x14="http://schemas.microsoft.com/office/spreadsheetml/2009/9/main" uri="{78C0D931-6437-407d-A8EE-F0AAD7539E65}">
      <x14:conditionalFormattings>
        <x14:conditionalFormatting xmlns:xm="http://schemas.microsoft.com/office/excel/2006/main">
          <x14:cfRule type="containsText" priority="1" operator="containsText" id="{8C047279-7C07-4CA1-8532-A264DE25C741}">
            <xm:f>NOT(ISERROR(SEARCH("NO",A1)))</xm:f>
            <xm:f>"NO"</xm:f>
            <x14:dxf>
              <font>
                <b/>
                <i val="0"/>
                <color rgb="FFFF0000"/>
              </font>
            </x14:dxf>
          </x14:cfRule>
          <xm:sqref>A1:A2</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2B984-E055-4625-BB46-A4EAA5DA47E3}">
  <sheetPr>
    <tabColor rgb="FFFFFF00"/>
    <pageSetUpPr fitToPage="1"/>
  </sheetPr>
  <dimension ref="A1:AM31"/>
  <sheetViews>
    <sheetView showGridLines="0" view="pageBreakPreview" zoomScaleNormal="100" zoomScaleSheetLayoutView="100" workbookViewId="0">
      <pane xSplit="4" ySplit="8" topLeftCell="K20" activePane="bottomRight" state="frozen"/>
      <selection pane="topRight"/>
      <selection pane="bottomLeft"/>
      <selection pane="bottomRight" activeCell="C2" sqref="C2"/>
    </sheetView>
  </sheetViews>
  <sheetFormatPr defaultRowHeight="10" outlineLevelRow="1" outlineLevelCol="1" x14ac:dyDescent="0.2"/>
  <cols>
    <col min="1" max="1" width="9.33203125" customWidth="1" outlineLevel="1"/>
    <col min="2" max="2" width="1.77734375" customWidth="1"/>
    <col min="3" max="3" width="26.77734375" bestFit="1" customWidth="1"/>
    <col min="4" max="4" width="4.33203125" customWidth="1" outlineLevel="1"/>
    <col min="5" max="35" width="7.77734375" customWidth="1" outlineLevel="1"/>
    <col min="36" max="36" width="1.77734375" customWidth="1" outlineLevel="1"/>
    <col min="37" max="39" width="8.77734375" customWidth="1"/>
    <col min="40" max="40" width="1.77734375" customWidth="1"/>
    <col min="41" max="41" width="7.6640625" customWidth="1"/>
    <col min="42" max="42" width="14" bestFit="1" customWidth="1"/>
    <col min="43" max="45" width="7.6640625" customWidth="1"/>
    <col min="48" max="48" width="29.6640625" bestFit="1" customWidth="1"/>
  </cols>
  <sheetData>
    <row r="1" spans="1:39" ht="10.5" x14ac:dyDescent="0.25">
      <c r="A1" s="38" t="str">
        <f>IF(ROUND(SUM(E29:AN30),1)&lt;&gt;0,"NO","Yes")</f>
        <v>Yes</v>
      </c>
      <c r="C1" t="s">
        <v>451</v>
      </c>
    </row>
    <row r="2" spans="1:39" ht="10.5" x14ac:dyDescent="0.25">
      <c r="A2" s="38" t="str">
        <f>IF(COUNTIF(E29:AN30,"&gt;0.5")+COUNTIF(E29:AN30,"&lt;-0.5")&lt;1,"Yes","No")</f>
        <v>No</v>
      </c>
      <c r="C2" t="s">
        <v>450</v>
      </c>
    </row>
    <row r="3" spans="1:39" x14ac:dyDescent="0.2">
      <c r="A3">
        <f>2-COUNTIF(A1:A2,"Yes")</f>
        <v>1</v>
      </c>
      <c r="C3" t="s">
        <v>36</v>
      </c>
    </row>
    <row r="4" spans="1:39" x14ac:dyDescent="0.2">
      <c r="C4" t="s">
        <v>365</v>
      </c>
    </row>
    <row r="7" spans="1:39" ht="13.5" customHeight="1" x14ac:dyDescent="0.55000000000000004">
      <c r="C7" s="34" t="str">
        <f>C4</f>
        <v>Equity Rollforward</v>
      </c>
      <c r="D7" s="31"/>
      <c r="E7" s="36" t="s">
        <v>32</v>
      </c>
      <c r="F7" s="36"/>
      <c r="G7" s="36"/>
      <c r="H7" s="36"/>
      <c r="I7" s="36"/>
      <c r="J7" s="36"/>
      <c r="K7" s="36"/>
      <c r="L7" s="36"/>
      <c r="M7" s="36"/>
      <c r="N7" s="36"/>
      <c r="O7" s="36"/>
      <c r="P7" s="36"/>
      <c r="Q7" s="36" t="s">
        <v>31</v>
      </c>
      <c r="R7" s="36"/>
      <c r="S7" s="36"/>
      <c r="T7" s="36"/>
      <c r="U7" s="36"/>
      <c r="V7" s="36"/>
      <c r="W7" s="36"/>
      <c r="X7" s="36"/>
      <c r="Y7" s="36"/>
      <c r="Z7" s="36"/>
      <c r="AA7" s="36"/>
      <c r="AB7" s="36"/>
      <c r="AC7" s="36" t="s">
        <v>35</v>
      </c>
      <c r="AD7" s="36"/>
      <c r="AE7" s="36"/>
      <c r="AF7" s="36"/>
      <c r="AG7" s="36"/>
      <c r="AH7" s="36"/>
      <c r="AI7" s="36"/>
      <c r="AJ7" s="31"/>
      <c r="AK7" s="31"/>
      <c r="AL7" s="31"/>
      <c r="AM7" s="31"/>
    </row>
    <row r="8" spans="1:39" ht="10.5" x14ac:dyDescent="0.25">
      <c r="C8" s="34" t="str">
        <f>C3</f>
        <v>($ in 000s)</v>
      </c>
      <c r="D8" s="33" t="s">
        <v>33</v>
      </c>
      <c r="E8" s="32">
        <f>TB!K1</f>
        <v>45046</v>
      </c>
      <c r="F8" s="32">
        <f>TB!L1</f>
        <v>45077</v>
      </c>
      <c r="G8" s="32">
        <f>TB!M1</f>
        <v>45107</v>
      </c>
      <c r="H8" s="32">
        <f>TB!N1</f>
        <v>45138</v>
      </c>
      <c r="I8" s="32">
        <f>TB!O1</f>
        <v>45169</v>
      </c>
      <c r="J8" s="32">
        <f>TB!P1</f>
        <v>45199</v>
      </c>
      <c r="K8" s="32">
        <f>TB!Q1</f>
        <v>45230</v>
      </c>
      <c r="L8" s="32">
        <f>TB!R1</f>
        <v>45260</v>
      </c>
      <c r="M8" s="32">
        <f>TB!S1</f>
        <v>45291</v>
      </c>
      <c r="N8" s="32">
        <f>TB!T1</f>
        <v>45322</v>
      </c>
      <c r="O8" s="32">
        <f>TB!U1</f>
        <v>45351</v>
      </c>
      <c r="P8" s="32">
        <f>TB!V1</f>
        <v>45382</v>
      </c>
      <c r="Q8" s="32">
        <f>TB!W1</f>
        <v>45412</v>
      </c>
      <c r="R8" s="32">
        <f>TB!X1</f>
        <v>45443</v>
      </c>
      <c r="S8" s="32">
        <f>TB!Y1</f>
        <v>45473</v>
      </c>
      <c r="T8" s="32">
        <f>TB!Z1</f>
        <v>45504</v>
      </c>
      <c r="U8" s="32">
        <f>TB!AA1</f>
        <v>45535</v>
      </c>
      <c r="V8" s="32">
        <f>TB!AB1</f>
        <v>45565</v>
      </c>
      <c r="W8" s="32">
        <f>TB!AC1</f>
        <v>45596</v>
      </c>
      <c r="X8" s="32">
        <f>TB!AD1</f>
        <v>45626</v>
      </c>
      <c r="Y8" s="32">
        <f>TB!AE1</f>
        <v>45657</v>
      </c>
      <c r="Z8" s="32">
        <f>TB!AF1</f>
        <v>45688</v>
      </c>
      <c r="AA8" s="32">
        <f>TB!AG1</f>
        <v>45716</v>
      </c>
      <c r="AB8" s="32">
        <f>TB!AH1</f>
        <v>45747</v>
      </c>
      <c r="AC8" s="32">
        <f>TB!AI1</f>
        <v>45777</v>
      </c>
      <c r="AD8" s="32">
        <f>TB!AJ1</f>
        <v>45808</v>
      </c>
      <c r="AE8" s="32">
        <f>TB!AK1</f>
        <v>45838</v>
      </c>
      <c r="AF8" s="32">
        <f>TB!AL1</f>
        <v>45869</v>
      </c>
      <c r="AG8" s="32">
        <f>TB!AM1</f>
        <v>45900</v>
      </c>
      <c r="AH8" s="32">
        <f>TB!AN1</f>
        <v>45930</v>
      </c>
      <c r="AI8" s="32">
        <f>TB!AO1</f>
        <v>45961</v>
      </c>
      <c r="AJ8" s="31"/>
      <c r="AK8" s="32">
        <f>P8</f>
        <v>45382</v>
      </c>
      <c r="AL8" s="32">
        <f>AB8</f>
        <v>45747</v>
      </c>
      <c r="AM8" s="32">
        <f>AI8</f>
        <v>45961</v>
      </c>
    </row>
    <row r="9" spans="1:39" ht="11.25" customHeight="1" outlineLevel="1" x14ac:dyDescent="0.2">
      <c r="C9" s="17" t="s">
        <v>340</v>
      </c>
      <c r="D9" s="15"/>
      <c r="E9" s="66">
        <f>-SUMIFS(TB!K:K,TB!$J:$J,$C9)</f>
        <v>1</v>
      </c>
      <c r="F9" s="66">
        <f>-SUMIFS(TB!L:L,TB!$J:$J,$C9)</f>
        <v>1</v>
      </c>
      <c r="G9" s="66">
        <f>-SUMIFS(TB!M:M,TB!$J:$J,$C9)</f>
        <v>1</v>
      </c>
      <c r="H9" s="66">
        <f>-SUMIFS(TB!N:N,TB!$J:$J,$C9)</f>
        <v>1</v>
      </c>
      <c r="I9" s="66">
        <f>-SUMIFS(TB!O:O,TB!$J:$J,$C9)</f>
        <v>1</v>
      </c>
      <c r="J9" s="66">
        <f>-SUMIFS(TB!P:P,TB!$J:$J,$C9)</f>
        <v>1</v>
      </c>
      <c r="K9" s="66">
        <f>-SUMIFS(TB!Q:Q,TB!$J:$J,$C9)</f>
        <v>1</v>
      </c>
      <c r="L9" s="66">
        <f>-SUMIFS(TB!R:R,TB!$J:$J,$C9)</f>
        <v>1</v>
      </c>
      <c r="M9" s="66">
        <f>-SUMIFS(TB!S:S,TB!$J:$J,$C9)</f>
        <v>1</v>
      </c>
      <c r="N9" s="66">
        <f>-SUMIFS(TB!T:T,TB!$J:$J,$C9)</f>
        <v>1</v>
      </c>
      <c r="O9" s="66">
        <f>-SUMIFS(TB!U:U,TB!$J:$J,$C9)</f>
        <v>1</v>
      </c>
      <c r="P9" s="66">
        <f>-SUMIFS(TB!V:V,TB!$J:$J,$C9)</f>
        <v>1</v>
      </c>
      <c r="Q9" s="66">
        <f>-SUMIFS(TB!W:W,TB!$J:$J,$C9)</f>
        <v>1</v>
      </c>
      <c r="R9" s="66">
        <f>-SUMIFS(TB!X:X,TB!$J:$J,$C9)</f>
        <v>1</v>
      </c>
      <c r="S9" s="66">
        <f>-SUMIFS(TB!Y:Y,TB!$J:$J,$C9)</f>
        <v>1</v>
      </c>
      <c r="T9" s="66">
        <f>-SUMIFS(TB!Z:Z,TB!$J:$J,$C9)</f>
        <v>1</v>
      </c>
      <c r="U9" s="66">
        <f>-SUMIFS(TB!AA:AA,TB!$J:$J,$C9)</f>
        <v>1</v>
      </c>
      <c r="V9" s="66">
        <f>-SUMIFS(TB!AB:AB,TB!$J:$J,$C9)</f>
        <v>1</v>
      </c>
      <c r="W9" s="66">
        <f>-SUMIFS(TB!AC:AC,TB!$J:$J,$C9)</f>
        <v>1</v>
      </c>
      <c r="X9" s="66">
        <f>-SUMIFS(TB!AD:AD,TB!$J:$J,$C9)</f>
        <v>1</v>
      </c>
      <c r="Y9" s="66">
        <f>-SUMIFS(TB!AE:AE,TB!$J:$J,$C9)</f>
        <v>1</v>
      </c>
      <c r="Z9" s="66">
        <f>-SUMIFS(TB!AF:AF,TB!$J:$J,$C9)</f>
        <v>1</v>
      </c>
      <c r="AA9" s="66">
        <f>-SUMIFS(TB!AG:AG,TB!$J:$J,$C9)</f>
        <v>1</v>
      </c>
      <c r="AB9" s="66">
        <f>-SUMIFS(TB!AH:AH,TB!$J:$J,$C9)</f>
        <v>1</v>
      </c>
      <c r="AC9" s="66">
        <f>-SUMIFS(TB!AI:AI,TB!$J:$J,$C9)</f>
        <v>1</v>
      </c>
      <c r="AD9" s="66">
        <f>-SUMIFS(TB!AJ:AJ,TB!$J:$J,$C9)</f>
        <v>1</v>
      </c>
      <c r="AE9" s="66">
        <f>-SUMIFS(TB!AK:AK,TB!$J:$J,$C9)</f>
        <v>1</v>
      </c>
      <c r="AF9" s="66">
        <f>-SUMIFS(TB!AL:AL,TB!$J:$J,$C9)</f>
        <v>1</v>
      </c>
      <c r="AG9" s="66">
        <f>-SUMIFS(TB!AM:AM,TB!$J:$J,$C9)</f>
        <v>1</v>
      </c>
      <c r="AH9" s="66">
        <f>-SUMIFS(TB!AN:AN,TB!$J:$J,$C9)</f>
        <v>1</v>
      </c>
      <c r="AI9" s="66">
        <f>-SUMIFS(TB!AO:AO,TB!$J:$J,$C9)</f>
        <v>1</v>
      </c>
      <c r="AJ9" s="66"/>
      <c r="AK9" s="66">
        <f>_xlfn.XLOOKUP(AK$8,$E$8:$AJ$8,$E9:$AJ9)</f>
        <v>1</v>
      </c>
      <c r="AL9" s="66">
        <f>_xlfn.XLOOKUP(AL$8,$E$8:$AJ$8,$E9:$AJ9)</f>
        <v>1</v>
      </c>
      <c r="AM9" s="66">
        <f>_xlfn.XLOOKUP(AM$8,$E$8:$AJ$8,$E9:$AJ9)</f>
        <v>1</v>
      </c>
    </row>
    <row r="10" spans="1:39" ht="11.25" customHeight="1" x14ac:dyDescent="0.2">
      <c r="C10" t="s">
        <v>364</v>
      </c>
      <c r="D10" s="4"/>
      <c r="E10" s="29">
        <f>SUM(E9:E9)</f>
        <v>1</v>
      </c>
      <c r="F10" s="29">
        <f>SUM(F9:F9)</f>
        <v>1</v>
      </c>
      <c r="G10" s="29">
        <f>SUM(G9:G9)</f>
        <v>1</v>
      </c>
      <c r="H10" s="29">
        <f>SUM(H9:H9)</f>
        <v>1</v>
      </c>
      <c r="I10" s="29">
        <f>SUM(I9:I9)</f>
        <v>1</v>
      </c>
      <c r="J10" s="29">
        <f>SUM(J9:J9)</f>
        <v>1</v>
      </c>
      <c r="K10" s="29">
        <f>SUM(K9:K9)</f>
        <v>1</v>
      </c>
      <c r="L10" s="29">
        <f>SUM(L9:L9)</f>
        <v>1</v>
      </c>
      <c r="M10" s="29">
        <f>SUM(M9:M9)</f>
        <v>1</v>
      </c>
      <c r="N10" s="29">
        <f>SUM(N9:N9)</f>
        <v>1</v>
      </c>
      <c r="O10" s="29">
        <f>SUM(O9:O9)</f>
        <v>1</v>
      </c>
      <c r="P10" s="29">
        <f>SUM(P9:P9)</f>
        <v>1</v>
      </c>
      <c r="Q10" s="29">
        <f>SUM(Q9:Q9)</f>
        <v>1</v>
      </c>
      <c r="R10" s="29">
        <f>SUM(R9:R9)</f>
        <v>1</v>
      </c>
      <c r="S10" s="29">
        <f>SUM(S9:S9)</f>
        <v>1</v>
      </c>
      <c r="T10" s="29">
        <f>SUM(T9:T9)</f>
        <v>1</v>
      </c>
      <c r="U10" s="29">
        <f>SUM(U9:U9)</f>
        <v>1</v>
      </c>
      <c r="V10" s="29">
        <f>SUM(V9:V9)</f>
        <v>1</v>
      </c>
      <c r="W10" s="29">
        <f>SUM(W9:W9)</f>
        <v>1</v>
      </c>
      <c r="X10" s="29">
        <f>SUM(X9:X9)</f>
        <v>1</v>
      </c>
      <c r="Y10" s="29">
        <f>SUM(Y9:Y9)</f>
        <v>1</v>
      </c>
      <c r="Z10" s="29">
        <f>SUM(Z9:Z9)</f>
        <v>1</v>
      </c>
      <c r="AA10" s="29">
        <f>SUM(AA9:AA9)</f>
        <v>1</v>
      </c>
      <c r="AB10" s="29">
        <f>SUM(AB9:AB9)</f>
        <v>1</v>
      </c>
      <c r="AC10" s="29">
        <f>SUM(AC9:AC9)</f>
        <v>1</v>
      </c>
      <c r="AD10" s="29">
        <f>SUM(AD9:AD9)</f>
        <v>1</v>
      </c>
      <c r="AE10" s="29">
        <f>SUM(AE9:AE9)</f>
        <v>1</v>
      </c>
      <c r="AF10" s="29">
        <f>SUM(AF9:AF9)</f>
        <v>1</v>
      </c>
      <c r="AG10" s="29">
        <f>SUM(AG9:AG9)</f>
        <v>1</v>
      </c>
      <c r="AH10" s="29">
        <f>SUM(AH9:AH9)</f>
        <v>1</v>
      </c>
      <c r="AI10" s="29">
        <f>SUM(AI9:AI9)</f>
        <v>1</v>
      </c>
      <c r="AJ10" s="29"/>
      <c r="AK10" s="29">
        <f>SUM(AK9:AK9)</f>
        <v>1</v>
      </c>
      <c r="AL10" s="29">
        <f>SUM(AL9:AL9)</f>
        <v>1</v>
      </c>
      <c r="AM10" s="29">
        <f>SUM(AM9:AM9)</f>
        <v>1</v>
      </c>
    </row>
    <row r="11" spans="1:39" ht="6" customHeight="1" outlineLevel="1" x14ac:dyDescent="0.2">
      <c r="D11" s="4"/>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row>
    <row r="12" spans="1:39" ht="11.25" customHeight="1" outlineLevel="1" x14ac:dyDescent="0.2">
      <c r="C12" t="s">
        <v>351</v>
      </c>
      <c r="D12" s="4"/>
      <c r="E12" s="2">
        <f>-SUMIFS(TB!K:K,TB!$J:$J,$C12)</f>
        <v>390.46628999999996</v>
      </c>
      <c r="F12" s="2">
        <f>-SUMIFS(TB!L:L,TB!$J:$J,$C12)</f>
        <v>370.86628999999999</v>
      </c>
      <c r="G12" s="2">
        <f>-SUMIFS(TB!M:M,TB!$J:$J,$C12)</f>
        <v>339.26628999999997</v>
      </c>
      <c r="H12" s="2">
        <f>-SUMIFS(TB!N:N,TB!$J:$J,$C12)</f>
        <v>319.36318</v>
      </c>
      <c r="I12" s="2">
        <f>-SUMIFS(TB!O:O,TB!$J:$J,$C12)</f>
        <v>309.56317999999999</v>
      </c>
      <c r="J12" s="2">
        <f>-SUMIFS(TB!P:P,TB!$J:$J,$C12)</f>
        <v>299.76317999999998</v>
      </c>
      <c r="K12" s="2">
        <f>-SUMIFS(TB!Q:Q,TB!$J:$J,$C12)</f>
        <v>289.96317999999997</v>
      </c>
      <c r="L12" s="2">
        <f>-SUMIFS(TB!R:R,TB!$J:$J,$C12)</f>
        <v>289.96317999999997</v>
      </c>
      <c r="M12" s="2">
        <f>-SUMIFS(TB!S:S,TB!$J:$J,$C12)</f>
        <v>289.96317999999997</v>
      </c>
      <c r="N12" s="2">
        <f>-SUMIFS(TB!T:T,TB!$J:$J,$C12)</f>
        <v>289.96317999999997</v>
      </c>
      <c r="O12" s="2">
        <f>-SUMIFS(TB!U:U,TB!$J:$J,$C12)</f>
        <v>232.73617999999999</v>
      </c>
      <c r="P12" s="2">
        <f>-SUMIFS(TB!V:V,TB!$J:$J,$C12)</f>
        <v>183.3218</v>
      </c>
      <c r="Q12" s="2">
        <f>-SUMIFS(TB!W:W,TB!$J:$J,$C12)</f>
        <v>175.3218</v>
      </c>
      <c r="R12" s="2">
        <f>-SUMIFS(TB!X:X,TB!$J:$J,$C12)</f>
        <v>175.3218</v>
      </c>
      <c r="S12" s="2">
        <f>-SUMIFS(TB!Y:Y,TB!$J:$J,$C12)</f>
        <v>175.3218</v>
      </c>
      <c r="T12" s="2">
        <f>-SUMIFS(TB!Z:Z,TB!$J:$J,$C12)</f>
        <v>150.8218</v>
      </c>
      <c r="U12" s="2">
        <f>-SUMIFS(TB!AA:AA,TB!$J:$J,$C12)</f>
        <v>150.8218</v>
      </c>
      <c r="V12" s="2">
        <f>-SUMIFS(TB!AB:AB,TB!$J:$J,$C12)</f>
        <v>146.80579999999998</v>
      </c>
      <c r="W12" s="2">
        <f>-SUMIFS(TB!AC:AC,TB!$J:$J,$C12)</f>
        <v>144.49098000000001</v>
      </c>
      <c r="X12" s="2">
        <f>-SUMIFS(TB!AD:AD,TB!$J:$J,$C12)</f>
        <v>119.99097999999999</v>
      </c>
      <c r="Y12" s="2">
        <f>-SUMIFS(TB!AE:AE,TB!$J:$J,$C12)</f>
        <v>119.99097999999999</v>
      </c>
      <c r="Z12" s="2">
        <f>-SUMIFS(TB!AF:AF,TB!$J:$J,$C12)</f>
        <v>119.99097999999999</v>
      </c>
      <c r="AA12" s="2">
        <f>-SUMIFS(TB!AG:AG,TB!$J:$J,$C12)</f>
        <v>-76.009020000000007</v>
      </c>
      <c r="AB12" s="2">
        <f>-SUMIFS(TB!AH:AH,TB!$J:$J,$C12)</f>
        <v>-328.88337999999999</v>
      </c>
      <c r="AC12" s="2">
        <f>-SUMIFS(TB!AI:AI,TB!$J:$J,$C12)</f>
        <v>-454.26837999999998</v>
      </c>
      <c r="AD12" s="2">
        <f>-SUMIFS(TB!AJ:AJ,TB!$J:$J,$C12)</f>
        <v>-601.26837999999998</v>
      </c>
      <c r="AE12" s="2">
        <f>-SUMIFS(TB!AK:AK,TB!$J:$J,$C12)</f>
        <v>-635.26837999999998</v>
      </c>
      <c r="AF12" s="2">
        <f>-SUMIFS(TB!AL:AL,TB!$J:$J,$C12)</f>
        <v>-635.26837999999998</v>
      </c>
      <c r="AG12" s="2">
        <f>-SUMIFS(TB!AM:AM,TB!$J:$J,$C12)</f>
        <v>-635.26837999999998</v>
      </c>
      <c r="AH12" s="2">
        <f>-SUMIFS(TB!AN:AN,TB!$J:$J,$C12)</f>
        <v>-671.26837999999998</v>
      </c>
      <c r="AI12" s="2">
        <f>-SUMIFS(TB!AO:AO,TB!$J:$J,$C12)</f>
        <v>-769.26837999999998</v>
      </c>
      <c r="AJ12" s="2"/>
      <c r="AK12" s="2">
        <f>_xlfn.SINGLE(_xlfn.XLOOKUP(AK$8,$E$8:$AJ$8,$E12:$AJ12))</f>
        <v>183.3218</v>
      </c>
      <c r="AL12" s="2">
        <f>_xlfn.SINGLE(_xlfn.XLOOKUP(AL$8,$E$8:$AJ$8,$E12:$AJ12))</f>
        <v>-328.88337999999999</v>
      </c>
      <c r="AM12" s="2">
        <f>_xlfn.SINGLE(_xlfn.XLOOKUP(AM$8,$E$8:$AJ$8,$E12:$AJ12))</f>
        <v>-769.26837999999998</v>
      </c>
    </row>
    <row r="13" spans="1:39" ht="11.25" customHeight="1" outlineLevel="1" x14ac:dyDescent="0.2">
      <c r="C13" s="17" t="s">
        <v>350</v>
      </c>
      <c r="D13" s="15"/>
      <c r="E13" s="14">
        <f>-SUMIFS(TB!K:K,TB!$J:$J,$C13)</f>
        <v>421.73071000000004</v>
      </c>
      <c r="F13" s="14">
        <f>-SUMIFS(TB!L:L,TB!$J:$J,$C13)</f>
        <v>401.33071000000001</v>
      </c>
      <c r="G13" s="14">
        <f>-SUMIFS(TB!M:M,TB!$J:$J,$C13)</f>
        <v>368.93071000000003</v>
      </c>
      <c r="H13" s="14">
        <f>-SUMIFS(TB!N:N,TB!$J:$J,$C13)</f>
        <v>348.53071</v>
      </c>
      <c r="I13" s="14">
        <f>-SUMIFS(TB!O:O,TB!$J:$J,$C13)</f>
        <v>338.33071000000001</v>
      </c>
      <c r="J13" s="14">
        <f>-SUMIFS(TB!P:P,TB!$J:$J,$C13)</f>
        <v>328.13071000000002</v>
      </c>
      <c r="K13" s="14">
        <f>-SUMIFS(TB!Q:Q,TB!$J:$J,$C13)</f>
        <v>317.93071000000003</v>
      </c>
      <c r="L13" s="14">
        <f>-SUMIFS(TB!R:R,TB!$J:$J,$C13)</f>
        <v>317.93071000000003</v>
      </c>
      <c r="M13" s="14">
        <f>-SUMIFS(TB!S:S,TB!$J:$J,$C13)</f>
        <v>317.93071000000003</v>
      </c>
      <c r="N13" s="14">
        <f>-SUMIFS(TB!T:T,TB!$J:$J,$C13)</f>
        <v>309.93071000000003</v>
      </c>
      <c r="O13" s="14">
        <f>-SUMIFS(TB!U:U,TB!$J:$J,$C13)</f>
        <v>243.82871</v>
      </c>
      <c r="P13" s="14">
        <f>-SUMIFS(TB!V:V,TB!$J:$J,$C13)</f>
        <v>194.28773000000001</v>
      </c>
      <c r="Q13" s="14">
        <f>-SUMIFS(TB!W:W,TB!$J:$J,$C13)</f>
        <v>191.30614000000003</v>
      </c>
      <c r="R13" s="14">
        <f>-SUMIFS(TB!X:X,TB!$J:$J,$C13)</f>
        <v>191.30614000000003</v>
      </c>
      <c r="S13" s="14">
        <f>-SUMIFS(TB!Y:Y,TB!$J:$J,$C13)</f>
        <v>191.30614000000003</v>
      </c>
      <c r="T13" s="14">
        <f>-SUMIFS(TB!Z:Z,TB!$J:$J,$C13)</f>
        <v>165.80614000000003</v>
      </c>
      <c r="U13" s="14">
        <f>-SUMIFS(TB!AA:AA,TB!$J:$J,$C13)</f>
        <v>165.80614000000003</v>
      </c>
      <c r="V13" s="14">
        <f>-SUMIFS(TB!AB:AB,TB!$J:$J,$C13)</f>
        <v>132.77367000000001</v>
      </c>
      <c r="W13" s="14">
        <f>-SUMIFS(TB!AC:AC,TB!$J:$J,$C13)</f>
        <v>132.77367000000001</v>
      </c>
      <c r="X13" s="14">
        <f>-SUMIFS(TB!AD:AD,TB!$J:$J,$C13)</f>
        <v>107.27367</v>
      </c>
      <c r="Y13" s="14">
        <f>-SUMIFS(TB!AE:AE,TB!$J:$J,$C13)</f>
        <v>107.27367</v>
      </c>
      <c r="Z13" s="14">
        <f>-SUMIFS(TB!AF:AF,TB!$J:$J,$C13)</f>
        <v>54.273669999999996</v>
      </c>
      <c r="AA13" s="14">
        <f>-SUMIFS(TB!AG:AG,TB!$J:$J,$C13)</f>
        <v>-149.72632999999999</v>
      </c>
      <c r="AB13" s="14">
        <f>-SUMIFS(TB!AH:AH,TB!$J:$J,$C13)</f>
        <v>-342.30718999999999</v>
      </c>
      <c r="AC13" s="14">
        <f>-SUMIFS(TB!AI:AI,TB!$J:$J,$C13)</f>
        <v>-484.99981000000002</v>
      </c>
      <c r="AD13" s="14">
        <f>-SUMIFS(TB!AJ:AJ,TB!$J:$J,$C13)</f>
        <v>-637.99981000000002</v>
      </c>
      <c r="AE13" s="14">
        <f>-SUMIFS(TB!AK:AK,TB!$J:$J,$C13)</f>
        <v>-683.99981000000002</v>
      </c>
      <c r="AF13" s="14">
        <f>-SUMIFS(TB!AL:AL,TB!$J:$J,$C13)</f>
        <v>-683.99981000000002</v>
      </c>
      <c r="AG13" s="14">
        <f>-SUMIFS(TB!AM:AM,TB!$J:$J,$C13)</f>
        <v>-683.99981000000002</v>
      </c>
      <c r="AH13" s="14">
        <f>-SUMIFS(TB!AN:AN,TB!$J:$J,$C13)</f>
        <v>-729.99981000000002</v>
      </c>
      <c r="AI13" s="14">
        <f>-SUMIFS(TB!AO:AO,TB!$J:$J,$C13)</f>
        <v>-831.99981000000002</v>
      </c>
      <c r="AJ13" s="14"/>
      <c r="AK13" s="14">
        <f>_xlfn.SINGLE(_xlfn.XLOOKUP(AK$8,$E$8:$AJ$8,$E13:$AJ13))</f>
        <v>194.28773000000001</v>
      </c>
      <c r="AL13" s="14">
        <f>_xlfn.SINGLE(_xlfn.XLOOKUP(AL$8,$E$8:$AJ$8,$E13:$AJ13))</f>
        <v>-342.30718999999999</v>
      </c>
      <c r="AM13" s="14">
        <f>_xlfn.SINGLE(_xlfn.XLOOKUP(AM$8,$E$8:$AJ$8,$E13:$AJ13))</f>
        <v>-831.99981000000002</v>
      </c>
    </row>
    <row r="14" spans="1:39" ht="11.25" customHeight="1" x14ac:dyDescent="0.2">
      <c r="C14" t="s">
        <v>339</v>
      </c>
      <c r="D14" s="4"/>
      <c r="E14" s="2">
        <f>SUM(E12:E13)</f>
        <v>812.197</v>
      </c>
      <c r="F14" s="2">
        <f>SUM(F12:F13)</f>
        <v>772.197</v>
      </c>
      <c r="G14" s="2">
        <f>SUM(G12:G13)</f>
        <v>708.197</v>
      </c>
      <c r="H14" s="2">
        <f>SUM(H12:H13)</f>
        <v>667.89389000000006</v>
      </c>
      <c r="I14" s="2">
        <f>SUM(I12:I13)</f>
        <v>647.89389000000006</v>
      </c>
      <c r="J14" s="2">
        <f>SUM(J12:J13)</f>
        <v>627.89389000000006</v>
      </c>
      <c r="K14" s="2">
        <f>SUM(K12:K13)</f>
        <v>607.89389000000006</v>
      </c>
      <c r="L14" s="2">
        <f>SUM(L12:L13)</f>
        <v>607.89389000000006</v>
      </c>
      <c r="M14" s="2">
        <f>SUM(M12:M13)</f>
        <v>607.89389000000006</v>
      </c>
      <c r="N14" s="2">
        <f>SUM(N12:N13)</f>
        <v>599.89389000000006</v>
      </c>
      <c r="O14" s="2">
        <f>SUM(O12:O13)</f>
        <v>476.56488999999999</v>
      </c>
      <c r="P14" s="2">
        <f>SUM(P12:P13)</f>
        <v>377.60953000000001</v>
      </c>
      <c r="Q14" s="2">
        <f>SUM(Q12:Q13)</f>
        <v>366.62794000000002</v>
      </c>
      <c r="R14" s="2">
        <f>SUM(R12:R13)</f>
        <v>366.62794000000002</v>
      </c>
      <c r="S14" s="2">
        <f>SUM(S12:S13)</f>
        <v>366.62794000000002</v>
      </c>
      <c r="T14" s="2">
        <f>SUM(T12:T13)</f>
        <v>316.62794000000002</v>
      </c>
      <c r="U14" s="2">
        <f>SUM(U12:U13)</f>
        <v>316.62794000000002</v>
      </c>
      <c r="V14" s="2">
        <f>SUM(V12:V13)</f>
        <v>279.57947000000001</v>
      </c>
      <c r="W14" s="2">
        <f>SUM(W12:W13)</f>
        <v>277.26465000000002</v>
      </c>
      <c r="X14" s="2">
        <f>SUM(X12:X13)</f>
        <v>227.26464999999999</v>
      </c>
      <c r="Y14" s="2">
        <f>SUM(Y12:Y13)</f>
        <v>227.26464999999999</v>
      </c>
      <c r="Z14" s="2">
        <f>SUM(Z12:Z13)</f>
        <v>174.26464999999999</v>
      </c>
      <c r="AA14" s="2">
        <f>SUM(AA12:AA13)</f>
        <v>-225.73534999999998</v>
      </c>
      <c r="AB14" s="2">
        <f>SUM(AB12:AB13)</f>
        <v>-671.19056999999998</v>
      </c>
      <c r="AC14" s="2">
        <f>SUM(AC12:AC13)</f>
        <v>-939.26819</v>
      </c>
      <c r="AD14" s="2">
        <f>SUM(AD12:AD13)</f>
        <v>-1239.26819</v>
      </c>
      <c r="AE14" s="2">
        <f>SUM(AE12:AE13)</f>
        <v>-1319.26819</v>
      </c>
      <c r="AF14" s="2">
        <f>SUM(AF12:AF13)</f>
        <v>-1319.26819</v>
      </c>
      <c r="AG14" s="2">
        <f>SUM(AG12:AG13)</f>
        <v>-1319.26819</v>
      </c>
      <c r="AH14" s="2">
        <f>SUM(AH12:AH13)</f>
        <v>-1401.26819</v>
      </c>
      <c r="AI14" s="2">
        <f>SUM(AI12:AI13)</f>
        <v>-1601.26819</v>
      </c>
      <c r="AJ14" s="2"/>
      <c r="AK14" s="2">
        <f>SUM(AK12:AK13)</f>
        <v>377.60953000000001</v>
      </c>
      <c r="AL14" s="2">
        <f>SUM(AL12:AL13)</f>
        <v>-671.19056999999998</v>
      </c>
      <c r="AM14" s="2">
        <f>SUM(AM12:AM13)</f>
        <v>-1601.26819</v>
      </c>
    </row>
    <row r="15" spans="1:39" ht="6" customHeight="1" outlineLevel="1" x14ac:dyDescent="0.2">
      <c r="D15" s="4"/>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row>
    <row r="16" spans="1:39" ht="11.25" customHeight="1" outlineLevel="1" x14ac:dyDescent="0.2">
      <c r="C16" s="17" t="s">
        <v>349</v>
      </c>
      <c r="D16" s="15"/>
      <c r="E16" s="14">
        <f>-SUMIFS(TB!K:K,TB!$J:$J,$C16)</f>
        <v>-7.5892100000000005</v>
      </c>
      <c r="F16" s="14">
        <f>-SUMIFS(TB!L:L,TB!$J:$J,$C16)</f>
        <v>-7.5892100000000005</v>
      </c>
      <c r="G16" s="14">
        <f>-SUMIFS(TB!M:M,TB!$J:$J,$C16)</f>
        <v>-7.5892100000000005</v>
      </c>
      <c r="H16" s="14">
        <f>-SUMIFS(TB!N:N,TB!$J:$J,$C16)</f>
        <v>-7.5892100000000005</v>
      </c>
      <c r="I16" s="14">
        <f>-SUMIFS(TB!O:O,TB!$J:$J,$C16)</f>
        <v>-7.5892100000000005</v>
      </c>
      <c r="J16" s="14">
        <f>-SUMIFS(TB!P:P,TB!$J:$J,$C16)</f>
        <v>-7.5892100000000005</v>
      </c>
      <c r="K16" s="14">
        <f>-SUMIFS(TB!Q:Q,TB!$J:$J,$C16)</f>
        <v>-7.5892100000000005</v>
      </c>
      <c r="L16" s="14">
        <f>-SUMIFS(TB!R:R,TB!$J:$J,$C16)</f>
        <v>-7.5892100000000005</v>
      </c>
      <c r="M16" s="14">
        <f>-SUMIFS(TB!S:S,TB!$J:$J,$C16)</f>
        <v>-7.5892100000000005</v>
      </c>
      <c r="N16" s="14">
        <f>-SUMIFS(TB!T:T,TB!$J:$J,$C16)</f>
        <v>-7.5892100000000005</v>
      </c>
      <c r="O16" s="14">
        <f>-SUMIFS(TB!U:U,TB!$J:$J,$C16)</f>
        <v>-7.5892100000000005</v>
      </c>
      <c r="P16" s="14">
        <f>-SUMIFS(TB!V:V,TB!$J:$J,$C16)</f>
        <v>-83.98921</v>
      </c>
      <c r="Q16" s="14">
        <f>-SUMIFS(TB!W:W,TB!$J:$J,$C16)</f>
        <v>1483.78081</v>
      </c>
      <c r="R16" s="14">
        <f>-SUMIFS(TB!X:X,TB!$J:$J,$C16)</f>
        <v>1483.78081</v>
      </c>
      <c r="S16" s="14">
        <f>-SUMIFS(TB!Y:Y,TB!$J:$J,$C16)</f>
        <v>1483.78081</v>
      </c>
      <c r="T16" s="14">
        <f>-SUMIFS(TB!Z:Z,TB!$J:$J,$C16)</f>
        <v>1483.78081</v>
      </c>
      <c r="U16" s="14">
        <f>-SUMIFS(TB!AA:AA,TB!$J:$J,$C16)</f>
        <v>1483.78081</v>
      </c>
      <c r="V16" s="14">
        <f>-SUMIFS(TB!AB:AB,TB!$J:$J,$C16)</f>
        <v>1483.78081</v>
      </c>
      <c r="W16" s="14">
        <f>-SUMIFS(TB!AC:AC,TB!$J:$J,$C16)</f>
        <v>1483.78081</v>
      </c>
      <c r="X16" s="14">
        <f>-SUMIFS(TB!AD:AD,TB!$J:$J,$C16)</f>
        <v>1483.78081</v>
      </c>
      <c r="Y16" s="14">
        <f>-SUMIFS(TB!AE:AE,TB!$J:$J,$C16)</f>
        <v>1483.78081</v>
      </c>
      <c r="Z16" s="14">
        <f>-SUMIFS(TB!AF:AF,TB!$J:$J,$C16)</f>
        <v>1483.78081</v>
      </c>
      <c r="AA16" s="14">
        <f>-SUMIFS(TB!AG:AG,TB!$J:$J,$C16)</f>
        <v>1483.78081</v>
      </c>
      <c r="AB16" s="14">
        <f>-SUMIFS(TB!AH:AH,TB!$J:$J,$C16)</f>
        <v>1861.3903400000002</v>
      </c>
      <c r="AC16" s="14">
        <f>-SUMIFS(TB!AI:AI,TB!$J:$J,$C16)</f>
        <v>2960.12167</v>
      </c>
      <c r="AD16" s="14">
        <f>-SUMIFS(TB!AJ:AJ,TB!$J:$J,$C16)</f>
        <v>2960.12167</v>
      </c>
      <c r="AE16" s="14">
        <f>-SUMIFS(TB!AK:AK,TB!$J:$J,$C16)</f>
        <v>2960.12167</v>
      </c>
      <c r="AF16" s="14">
        <f>-SUMIFS(TB!AL:AL,TB!$J:$J,$C16)</f>
        <v>2960.12167</v>
      </c>
      <c r="AG16" s="14">
        <f>-SUMIFS(TB!AM:AM,TB!$J:$J,$C16)</f>
        <v>2960.12167</v>
      </c>
      <c r="AH16" s="14">
        <f>-SUMIFS(TB!AN:AN,TB!$J:$J,$C16)</f>
        <v>2960.12167</v>
      </c>
      <c r="AI16" s="14">
        <f>-SUMIFS(TB!AO:AO,TB!$J:$J,$C16)</f>
        <v>2960.12167</v>
      </c>
      <c r="AJ16" s="14"/>
      <c r="AK16" s="14">
        <f>_xlfn.XLOOKUP(AK$8,$E$8:$AJ$8,$E16:$AJ16)</f>
        <v>-83.98921</v>
      </c>
      <c r="AL16" s="14">
        <f>_xlfn.XLOOKUP(AL$8,$E$8:$AJ$8,$E16:$AJ16)</f>
        <v>1861.3903400000002</v>
      </c>
      <c r="AM16" s="14">
        <f>_xlfn.XLOOKUP(AM$8,$E$8:$AJ$8,$E16:$AJ16)</f>
        <v>2960.12167</v>
      </c>
    </row>
    <row r="17" spans="3:39" ht="11.25" customHeight="1" x14ac:dyDescent="0.2">
      <c r="C17" t="s">
        <v>338</v>
      </c>
      <c r="D17" s="4"/>
      <c r="E17" s="2">
        <f>SUM(E16:E16)</f>
        <v>-7.5892100000000005</v>
      </c>
      <c r="F17" s="2">
        <f>SUM(F16:F16)</f>
        <v>-7.5892100000000005</v>
      </c>
      <c r="G17" s="2">
        <f>SUM(G16:G16)</f>
        <v>-7.5892100000000005</v>
      </c>
      <c r="H17" s="2">
        <f>SUM(H16:H16)</f>
        <v>-7.5892100000000005</v>
      </c>
      <c r="I17" s="2">
        <f>SUM(I16:I16)</f>
        <v>-7.5892100000000005</v>
      </c>
      <c r="J17" s="2">
        <f>SUM(J16:J16)</f>
        <v>-7.5892100000000005</v>
      </c>
      <c r="K17" s="2">
        <f>SUM(K16:K16)</f>
        <v>-7.5892100000000005</v>
      </c>
      <c r="L17" s="2">
        <f>SUM(L16:L16)</f>
        <v>-7.5892100000000005</v>
      </c>
      <c r="M17" s="2">
        <f>SUM(M16:M16)</f>
        <v>-7.5892100000000005</v>
      </c>
      <c r="N17" s="2">
        <f>SUM(N16:N16)</f>
        <v>-7.5892100000000005</v>
      </c>
      <c r="O17" s="2">
        <f>SUM(O16:O16)</f>
        <v>-7.5892100000000005</v>
      </c>
      <c r="P17" s="2">
        <f>SUM(P16:P16)</f>
        <v>-83.98921</v>
      </c>
      <c r="Q17" s="2">
        <f>SUM(Q16:Q16)</f>
        <v>1483.78081</v>
      </c>
      <c r="R17" s="2">
        <f>SUM(R16:R16)</f>
        <v>1483.78081</v>
      </c>
      <c r="S17" s="2">
        <f>SUM(S16:S16)</f>
        <v>1483.78081</v>
      </c>
      <c r="T17" s="2">
        <f>SUM(T16:T16)</f>
        <v>1483.78081</v>
      </c>
      <c r="U17" s="2">
        <f>SUM(U16:U16)</f>
        <v>1483.78081</v>
      </c>
      <c r="V17" s="2">
        <f>SUM(V16:V16)</f>
        <v>1483.78081</v>
      </c>
      <c r="W17" s="2">
        <f>SUM(W16:W16)</f>
        <v>1483.78081</v>
      </c>
      <c r="X17" s="2">
        <f>SUM(X16:X16)</f>
        <v>1483.78081</v>
      </c>
      <c r="Y17" s="2">
        <f>SUM(Y16:Y16)</f>
        <v>1483.78081</v>
      </c>
      <c r="Z17" s="2">
        <f>SUM(Z16:Z16)</f>
        <v>1483.78081</v>
      </c>
      <c r="AA17" s="2">
        <f>SUM(AA16:AA16)</f>
        <v>1483.78081</v>
      </c>
      <c r="AB17" s="2">
        <f>SUM(AB16:AB16)</f>
        <v>1861.3903400000002</v>
      </c>
      <c r="AC17" s="2">
        <f>SUM(AC16:AC16)</f>
        <v>2960.12167</v>
      </c>
      <c r="AD17" s="2">
        <f>SUM(AD16:AD16)</f>
        <v>2960.12167</v>
      </c>
      <c r="AE17" s="2">
        <f>SUM(AE16:AE16)</f>
        <v>2960.12167</v>
      </c>
      <c r="AF17" s="2">
        <f>SUM(AF16:AF16)</f>
        <v>2960.12167</v>
      </c>
      <c r="AG17" s="2">
        <f>SUM(AG16:AG16)</f>
        <v>2960.12167</v>
      </c>
      <c r="AH17" s="2">
        <f>SUM(AH16:AH16)</f>
        <v>2960.12167</v>
      </c>
      <c r="AI17" s="2">
        <f>SUM(AI16:AI16)</f>
        <v>2960.12167</v>
      </c>
      <c r="AJ17" s="2"/>
      <c r="AK17" s="2">
        <f>SUM(AK16:AK16)</f>
        <v>-83.98921</v>
      </c>
      <c r="AL17" s="2">
        <f>SUM(AL16:AL16)</f>
        <v>1861.3903400000002</v>
      </c>
      <c r="AM17" s="2">
        <f>SUM(AM16:AM16)</f>
        <v>2960.12167</v>
      </c>
    </row>
    <row r="18" spans="3:39" ht="11.25" customHeight="1" x14ac:dyDescent="0.2">
      <c r="C18" t="s">
        <v>337</v>
      </c>
      <c r="D18" s="4"/>
      <c r="E18" s="2">
        <f>'BS1'!E33</f>
        <v>-308.89328000000012</v>
      </c>
      <c r="F18" s="2">
        <f>'BS1'!F33</f>
        <v>-415.88139000000012</v>
      </c>
      <c r="G18" s="2">
        <f>'BS1'!G33</f>
        <v>-252.32464000000007</v>
      </c>
      <c r="H18" s="2">
        <f>'BS1'!H33</f>
        <v>66.179259999999914</v>
      </c>
      <c r="I18" s="2">
        <f>'BS1'!I33</f>
        <v>174.63522999999998</v>
      </c>
      <c r="J18" s="2">
        <f>'BS1'!J33</f>
        <v>138.30982999999992</v>
      </c>
      <c r="K18" s="2">
        <f>'BS1'!K33</f>
        <v>245.85728999999992</v>
      </c>
      <c r="L18" s="2">
        <f>'BS1'!L33</f>
        <v>920.22618</v>
      </c>
      <c r="M18" s="2">
        <f>'BS1'!M33</f>
        <v>1735.9857300000001</v>
      </c>
      <c r="N18" s="2">
        <f>'BS1'!N33</f>
        <v>1490.2895500000002</v>
      </c>
      <c r="O18" s="2">
        <f>'BS1'!O33</f>
        <v>1381.3664600000002</v>
      </c>
      <c r="P18" s="2">
        <f>'BS1'!P33</f>
        <v>1567.7700199999999</v>
      </c>
      <c r="Q18" s="2">
        <f>'BS1'!Q33</f>
        <v>-76.656609999999944</v>
      </c>
      <c r="R18" s="2">
        <f>'BS1'!R33</f>
        <v>7.6741400000000226</v>
      </c>
      <c r="S18" s="2">
        <f>'BS1'!S33</f>
        <v>-141.35341000000011</v>
      </c>
      <c r="T18" s="2">
        <f>'BS1'!T33</f>
        <v>-255.2714400000001</v>
      </c>
      <c r="U18" s="2">
        <f>'BS1'!U33</f>
        <v>-240.18690000000004</v>
      </c>
      <c r="V18" s="2">
        <f>'BS1'!V33</f>
        <v>-412.18591000000004</v>
      </c>
      <c r="W18" s="2">
        <f>'BS1'!W33</f>
        <v>-580.86806000000001</v>
      </c>
      <c r="X18" s="2">
        <f>'BS1'!X33</f>
        <v>75.855599999999754</v>
      </c>
      <c r="Y18" s="2">
        <f>'BS1'!Y33</f>
        <v>573.18429999999989</v>
      </c>
      <c r="Z18" s="2">
        <f>'BS1'!Z33</f>
        <v>814.84214999999961</v>
      </c>
      <c r="AA18" s="2">
        <f>'BS1'!AA33</f>
        <v>1216.5178499999997</v>
      </c>
      <c r="AB18" s="2">
        <f>'BS1'!AB33</f>
        <v>1098.7313299999987</v>
      </c>
      <c r="AC18" s="2">
        <f>'BS1'!AC33</f>
        <v>-133.9857199999999</v>
      </c>
      <c r="AD18" s="2">
        <f>'BS1'!AD33</f>
        <v>-130.16590999999994</v>
      </c>
      <c r="AE18" s="2">
        <f>'BS1'!AE33</f>
        <v>36.009250000000179</v>
      </c>
      <c r="AF18" s="2">
        <f>'BS1'!AF33</f>
        <v>13.535220000000265</v>
      </c>
      <c r="AG18" s="2">
        <f>'BS1'!AG33</f>
        <v>-219.25783999999976</v>
      </c>
      <c r="AH18" s="2">
        <f>'BS1'!AH33</f>
        <v>0.75731000000024551</v>
      </c>
      <c r="AI18" s="2">
        <f>'BS1'!AI33</f>
        <v>-101.55986999999956</v>
      </c>
      <c r="AJ18" s="2"/>
      <c r="AK18" s="2">
        <f>_xlfn.XLOOKUP(AK$8,$E$8:$AJ$8,$E18:$AJ18)</f>
        <v>1567.7700199999999</v>
      </c>
      <c r="AL18" s="2">
        <f>_xlfn.XLOOKUP(AL$8,$E$8:$AJ$8,$E18:$AJ18)</f>
        <v>1098.7313299999987</v>
      </c>
      <c r="AM18" s="2">
        <f>_xlfn.XLOOKUP(AM$8,$E$8:$AJ$8,$E18:$AJ18)</f>
        <v>-101.55986999999956</v>
      </c>
    </row>
    <row r="19" spans="3:39" ht="12" customHeight="1" thickBot="1" x14ac:dyDescent="0.3">
      <c r="C19" s="40" t="s">
        <v>336</v>
      </c>
      <c r="D19" s="76" t="s">
        <v>363</v>
      </c>
      <c r="E19" s="39">
        <f>SUM(E14+E17+E10+E18)</f>
        <v>496.7145099999999</v>
      </c>
      <c r="F19" s="39">
        <f>SUM(F14+F17+F10+F18)</f>
        <v>349.7263999999999</v>
      </c>
      <c r="G19" s="39">
        <f>SUM(G14+G17+G10+G18)</f>
        <v>449.28314999999998</v>
      </c>
      <c r="H19" s="39">
        <f>SUM(H14+H17+H10+H18)</f>
        <v>727.48393999999996</v>
      </c>
      <c r="I19" s="39">
        <f>SUM(I14+I17+I10+I18)</f>
        <v>815.93991000000005</v>
      </c>
      <c r="J19" s="39">
        <f>SUM(J14+J17+J10+J18)</f>
        <v>759.61451</v>
      </c>
      <c r="K19" s="39">
        <f>SUM(K14+K17+K10+K18)</f>
        <v>847.16197</v>
      </c>
      <c r="L19" s="39">
        <f>SUM(L14+L17+L10+L18)</f>
        <v>1521.5308600000001</v>
      </c>
      <c r="M19" s="39">
        <f>SUM(M14+M17+M10+M18)</f>
        <v>2337.2904100000001</v>
      </c>
      <c r="N19" s="39">
        <f>SUM(N14+N17+N10+N18)</f>
        <v>2083.5942300000002</v>
      </c>
      <c r="O19" s="39">
        <f>SUM(O14+O17+O10+O18)</f>
        <v>1851.3421400000002</v>
      </c>
      <c r="P19" s="39">
        <f>SUM(P14+P17+P10+P18)</f>
        <v>1862.3903399999999</v>
      </c>
      <c r="Q19" s="39">
        <f>SUM(Q14+Q17+Q10+Q18)</f>
        <v>1774.7521400000001</v>
      </c>
      <c r="R19" s="39">
        <f>SUM(R14+R17+R10+R18)</f>
        <v>1859.0828900000001</v>
      </c>
      <c r="S19" s="39">
        <f>SUM(S14+S17+S10+S18)</f>
        <v>1710.0553399999999</v>
      </c>
      <c r="T19" s="39">
        <f>SUM(T14+T17+T10+T18)</f>
        <v>1546.1373100000001</v>
      </c>
      <c r="U19" s="39">
        <f>SUM(U14+U17+U10+U18)</f>
        <v>1561.2218499999999</v>
      </c>
      <c r="V19" s="39">
        <f>SUM(V14+V17+V10+V18)</f>
        <v>1352.1743699999997</v>
      </c>
      <c r="W19" s="39">
        <f>SUM(W14+W17+W10+W18)</f>
        <v>1181.1774</v>
      </c>
      <c r="X19" s="39">
        <f>SUM(X14+X17+X10+X18)</f>
        <v>1787.9010599999997</v>
      </c>
      <c r="Y19" s="39">
        <f>SUM(Y14+Y17+Y10+Y18)</f>
        <v>2285.2297600000002</v>
      </c>
      <c r="Z19" s="39">
        <f>SUM(Z14+Z17+Z10+Z18)</f>
        <v>2473.8876099999998</v>
      </c>
      <c r="AA19" s="39">
        <f>SUM(AA14+AA17+AA10+AA18)</f>
        <v>2475.5633099999995</v>
      </c>
      <c r="AB19" s="39">
        <f>SUM(AB14+AB17+AB10+AB18)</f>
        <v>2289.9310999999989</v>
      </c>
      <c r="AC19" s="39">
        <f>SUM(AC14+AC17+AC10+AC18)</f>
        <v>1887.8677600000001</v>
      </c>
      <c r="AD19" s="39">
        <f>SUM(AD14+AD17+AD10+AD18)</f>
        <v>1591.6875700000001</v>
      </c>
      <c r="AE19" s="39">
        <f>SUM(AE14+AE17+AE10+AE18)</f>
        <v>1677.8627300000003</v>
      </c>
      <c r="AF19" s="39">
        <f>SUM(AF14+AF17+AF10+AF18)</f>
        <v>1655.3887000000002</v>
      </c>
      <c r="AG19" s="39">
        <f>SUM(AG14+AG17+AG10+AG18)</f>
        <v>1422.5956400000002</v>
      </c>
      <c r="AH19" s="39">
        <f>SUM(AH14+AH17+AH10+AH18)</f>
        <v>1560.6107900000002</v>
      </c>
      <c r="AI19" s="39">
        <f>SUM(AI14+AI17+AI10+AI18)</f>
        <v>1258.2936100000004</v>
      </c>
      <c r="AJ19" s="39"/>
      <c r="AK19" s="39">
        <f>SUM(AK14+AK17+AK10+AK18)</f>
        <v>1862.3903399999999</v>
      </c>
      <c r="AL19" s="39">
        <f>SUM(AL14+AL17+AL10+AL18)</f>
        <v>2289.9310999999989</v>
      </c>
      <c r="AM19" s="39">
        <f>SUM(AM14+AM17+AM10+AM18)</f>
        <v>1258.2936100000004</v>
      </c>
    </row>
    <row r="20" spans="3:39" ht="6" customHeight="1" x14ac:dyDescent="0.2">
      <c r="D20" s="4"/>
    </row>
    <row r="21" spans="3:39" ht="11.25" customHeight="1" x14ac:dyDescent="0.2">
      <c r="C21" s="7" t="s">
        <v>362</v>
      </c>
    </row>
    <row r="22" spans="3:39" ht="11.25" customHeight="1" x14ac:dyDescent="0.2">
      <c r="C22" t="s">
        <v>361</v>
      </c>
      <c r="E22" s="62" t="s">
        <v>359</v>
      </c>
      <c r="F22" s="2">
        <f>E26</f>
        <v>496.7145099999999</v>
      </c>
      <c r="G22" s="2">
        <f>F26</f>
        <v>349.7263999999999</v>
      </c>
      <c r="H22" s="2">
        <f>G26</f>
        <v>449.28314999999998</v>
      </c>
      <c r="I22" s="2">
        <f>H26</f>
        <v>727.48393999999996</v>
      </c>
      <c r="J22" s="2">
        <f>I26</f>
        <v>815.93991000000005</v>
      </c>
      <c r="K22" s="2">
        <f>J26</f>
        <v>759.61451</v>
      </c>
      <c r="L22" s="2">
        <f>K26</f>
        <v>847.16197</v>
      </c>
      <c r="M22" s="2">
        <f>L26</f>
        <v>1521.5308600000001</v>
      </c>
      <c r="N22" s="2">
        <f>M26</f>
        <v>2337.2904100000001</v>
      </c>
      <c r="O22" s="2">
        <f>N26</f>
        <v>2083.5942300000002</v>
      </c>
      <c r="P22" s="2">
        <f>O26</f>
        <v>1851.3421399999997</v>
      </c>
      <c r="Q22" s="2">
        <f>P26</f>
        <v>1938.7903399999996</v>
      </c>
      <c r="R22" s="2">
        <f>Q26</f>
        <v>1851.1521399999997</v>
      </c>
      <c r="S22" s="2">
        <f>R26</f>
        <v>1935.4828899999998</v>
      </c>
      <c r="T22" s="2">
        <f>S26</f>
        <v>1786.4553399999995</v>
      </c>
      <c r="U22" s="2">
        <f>T26</f>
        <v>1622.5373099999995</v>
      </c>
      <c r="V22" s="2">
        <f>U26</f>
        <v>1637.6218499999995</v>
      </c>
      <c r="W22" s="2">
        <f>V26</f>
        <v>1428.5743699999996</v>
      </c>
      <c r="X22" s="2">
        <f>W26</f>
        <v>1257.5773999999997</v>
      </c>
      <c r="Y22" s="2">
        <f>X26</f>
        <v>1864.3010599999993</v>
      </c>
      <c r="Z22" s="2">
        <f>Y26</f>
        <v>2361.6297599999994</v>
      </c>
      <c r="AA22" s="2">
        <f>Z26</f>
        <v>2550.2876099999989</v>
      </c>
      <c r="AB22" s="2">
        <f>AA26</f>
        <v>2551.9633099999992</v>
      </c>
      <c r="AC22" s="2">
        <f>AB26</f>
        <v>1988.7215699999981</v>
      </c>
      <c r="AD22" s="2">
        <f>AC26</f>
        <v>1586.6582299999982</v>
      </c>
      <c r="AE22" s="2">
        <f>AD26</f>
        <v>1290.4780399999981</v>
      </c>
      <c r="AF22" s="2">
        <f>AE26</f>
        <v>1376.6531999999984</v>
      </c>
      <c r="AG22" s="2">
        <f>AF26</f>
        <v>1354.1791699999985</v>
      </c>
      <c r="AH22" s="2">
        <f>AG26</f>
        <v>1121.3861099999986</v>
      </c>
      <c r="AI22" s="2">
        <f>AH26</f>
        <v>1259.4012599999985</v>
      </c>
      <c r="AK22" s="62" t="str">
        <f>E22</f>
        <v>NQ</v>
      </c>
      <c r="AL22" s="2">
        <f>Q22</f>
        <v>1938.7903399999996</v>
      </c>
      <c r="AM22" s="2">
        <f>X22</f>
        <v>1257.5773999999997</v>
      </c>
    </row>
    <row r="23" spans="3:39" ht="11.25" customHeight="1" x14ac:dyDescent="0.2">
      <c r="C23" t="s">
        <v>119</v>
      </c>
      <c r="E23" s="2">
        <f>'PL1'!E30</f>
        <v>-308.89328000000012</v>
      </c>
      <c r="F23" s="2">
        <f>'PL1'!F30</f>
        <v>-106.98811000000003</v>
      </c>
      <c r="G23" s="2">
        <f>'PL1'!G30</f>
        <v>163.55675000000005</v>
      </c>
      <c r="H23" s="2">
        <f>'PL1'!H30</f>
        <v>318.50389999999999</v>
      </c>
      <c r="I23" s="2">
        <f>'PL1'!I30</f>
        <v>108.45597000000006</v>
      </c>
      <c r="J23" s="2">
        <f>'PL1'!J30</f>
        <v>-36.325400000000059</v>
      </c>
      <c r="K23" s="2">
        <f>'PL1'!K30</f>
        <v>107.54746</v>
      </c>
      <c r="L23" s="2">
        <f>'PL1'!L30</f>
        <v>674.36889000000008</v>
      </c>
      <c r="M23" s="2">
        <f>'PL1'!M30</f>
        <v>815.7595500000001</v>
      </c>
      <c r="N23" s="2">
        <f>'PL1'!N30</f>
        <v>-245.69618</v>
      </c>
      <c r="O23" s="2">
        <f>'PL1'!O30</f>
        <v>-108.92309000000012</v>
      </c>
      <c r="P23" s="2">
        <f>'PL1'!P30</f>
        <v>186.40355999999974</v>
      </c>
      <c r="Q23" s="2">
        <f>'PL1'!Q30</f>
        <v>-76.656609999999944</v>
      </c>
      <c r="R23" s="2">
        <f>'PL1'!R30</f>
        <v>84.330749999999966</v>
      </c>
      <c r="S23" s="2">
        <f>'PL1'!S30</f>
        <v>-149.02755000000013</v>
      </c>
      <c r="T23" s="2">
        <f>'PL1'!T30</f>
        <v>-113.91802999999999</v>
      </c>
      <c r="U23" s="2">
        <f>'PL1'!U30</f>
        <v>15.084540000000061</v>
      </c>
      <c r="V23" s="2">
        <f>'PL1'!V30</f>
        <v>-171.99901</v>
      </c>
      <c r="W23" s="2">
        <f>'PL1'!W30</f>
        <v>-168.68214999999998</v>
      </c>
      <c r="X23" s="2">
        <f>'PL1'!X30</f>
        <v>656.72365999999977</v>
      </c>
      <c r="Y23" s="2">
        <f>'PL1'!Y30</f>
        <v>497.3287000000002</v>
      </c>
      <c r="Z23" s="2">
        <f>'PL1'!Z30</f>
        <v>241.65784999999971</v>
      </c>
      <c r="AA23" s="2">
        <f>'PL1'!AA30</f>
        <v>401.67570000000012</v>
      </c>
      <c r="AB23" s="2">
        <f>'PL1'!AB30</f>
        <v>-117.78652000000095</v>
      </c>
      <c r="AC23" s="2">
        <f>'PL1'!AC30</f>
        <v>-133.9857199999999</v>
      </c>
      <c r="AD23" s="2">
        <f>'PL1'!AD30</f>
        <v>3.8198099999999613</v>
      </c>
      <c r="AE23" s="2">
        <f>'PL1'!AE30</f>
        <v>166.17516000000012</v>
      </c>
      <c r="AF23" s="2">
        <f>'PL1'!AF30</f>
        <v>-22.474029999999914</v>
      </c>
      <c r="AG23" s="2">
        <f>'PL1'!AG30</f>
        <v>-232.79306000000003</v>
      </c>
      <c r="AH23" s="2">
        <f>'PL1'!AH30</f>
        <v>220.01515000000001</v>
      </c>
      <c r="AI23" s="2">
        <f>'PL1'!AI30</f>
        <v>-102.31717999999981</v>
      </c>
      <c r="AK23" s="2">
        <f>SUM(E23:P23)</f>
        <v>1567.7700199999999</v>
      </c>
      <c r="AL23" s="2">
        <f>SUM(Q23:AB23)</f>
        <v>1098.7313299999987</v>
      </c>
      <c r="AM23" s="2">
        <f>SUM(X23:AI23)</f>
        <v>1578.0395199999994</v>
      </c>
    </row>
    <row r="24" spans="3:39" ht="11.25" customHeight="1" x14ac:dyDescent="0.2">
      <c r="C24" t="s">
        <v>339</v>
      </c>
      <c r="E24" s="62" t="s">
        <v>359</v>
      </c>
      <c r="F24" s="86">
        <f>F14-E14</f>
        <v>-40</v>
      </c>
      <c r="G24" s="86">
        <f>G14-F14</f>
        <v>-64</v>
      </c>
      <c r="H24" s="86">
        <f>H14-G14</f>
        <v>-40.303109999999947</v>
      </c>
      <c r="I24" s="86">
        <f>I14-H14</f>
        <v>-20</v>
      </c>
      <c r="J24" s="86">
        <f>J14-I14</f>
        <v>-20</v>
      </c>
      <c r="K24" s="86">
        <f>K14-J14</f>
        <v>-20</v>
      </c>
      <c r="L24" s="86">
        <f>L14-K14</f>
        <v>0</v>
      </c>
      <c r="M24" s="86">
        <f>M14-L14</f>
        <v>0</v>
      </c>
      <c r="N24" s="86">
        <f>N14-M14</f>
        <v>-8</v>
      </c>
      <c r="O24" s="86">
        <f>O14-N14</f>
        <v>-123.32900000000006</v>
      </c>
      <c r="P24" s="86">
        <f>P14-O14</f>
        <v>-98.955359999999985</v>
      </c>
      <c r="Q24" s="86">
        <f>Q14-P14</f>
        <v>-10.981589999999983</v>
      </c>
      <c r="R24" s="86">
        <f>R14-Q14</f>
        <v>0</v>
      </c>
      <c r="S24" s="86">
        <f>S14-R14</f>
        <v>0</v>
      </c>
      <c r="T24" s="86">
        <f>T14-S14</f>
        <v>-50</v>
      </c>
      <c r="U24" s="86">
        <f>U14-T14</f>
        <v>0</v>
      </c>
      <c r="V24" s="86">
        <f>V14-U14</f>
        <v>-37.048470000000009</v>
      </c>
      <c r="W24" s="86">
        <f>W14-V14</f>
        <v>-2.3148199999999974</v>
      </c>
      <c r="X24" s="86">
        <f>X14-W14</f>
        <v>-50.000000000000028</v>
      </c>
      <c r="Y24" s="86">
        <f>Y14-X14</f>
        <v>0</v>
      </c>
      <c r="Z24" s="86">
        <f>Z14-Y14</f>
        <v>-53</v>
      </c>
      <c r="AA24" s="86">
        <f>AA14-Z14</f>
        <v>-400</v>
      </c>
      <c r="AB24" s="86">
        <f>AB14-AA14</f>
        <v>-445.45522</v>
      </c>
      <c r="AC24" s="86">
        <f>AC14-AB14</f>
        <v>-268.07762000000002</v>
      </c>
      <c r="AD24" s="86">
        <f>AD14-AC14</f>
        <v>-300</v>
      </c>
      <c r="AE24" s="86">
        <f>AE14-AD14</f>
        <v>-80</v>
      </c>
      <c r="AF24" s="86">
        <f>AF14-AE14</f>
        <v>0</v>
      </c>
      <c r="AG24" s="86">
        <f>AG14-AF14</f>
        <v>0</v>
      </c>
      <c r="AH24" s="86">
        <f>AH14-AG14</f>
        <v>-82</v>
      </c>
      <c r="AI24" s="86">
        <f>AI14-AH14</f>
        <v>-200</v>
      </c>
      <c r="AK24" s="2">
        <f>SUM(E24:P24)</f>
        <v>-434.58747</v>
      </c>
      <c r="AL24" s="2">
        <f>SUM(Q24:AB24)</f>
        <v>-1048.8000999999999</v>
      </c>
      <c r="AM24" s="2">
        <f>SUM(X24:AI24)</f>
        <v>-1878.5328400000001</v>
      </c>
    </row>
    <row r="25" spans="3:39" ht="11.25" customHeight="1" x14ac:dyDescent="0.2">
      <c r="C25" t="s">
        <v>360</v>
      </c>
      <c r="E25" s="62" t="s">
        <v>359</v>
      </c>
      <c r="F25" s="86"/>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K25" s="2">
        <f>SUM(E25:P25)</f>
        <v>0</v>
      </c>
      <c r="AL25" s="2">
        <f>SUM(Q25:AB25)</f>
        <v>0</v>
      </c>
      <c r="AM25" s="2">
        <f>SUM(X25:AI25)</f>
        <v>0</v>
      </c>
    </row>
    <row r="26" spans="3:39" ht="12" customHeight="1" thickBot="1" x14ac:dyDescent="0.3">
      <c r="C26" s="40" t="s">
        <v>358</v>
      </c>
      <c r="D26" s="76"/>
      <c r="E26" s="39">
        <f>E19</f>
        <v>496.7145099999999</v>
      </c>
      <c r="F26" s="39">
        <f>SUM(F22:F25)</f>
        <v>349.7263999999999</v>
      </c>
      <c r="G26" s="39">
        <f>SUM(G22:G25)</f>
        <v>449.28314999999998</v>
      </c>
      <c r="H26" s="39">
        <f>SUM(H22:H25)</f>
        <v>727.48393999999996</v>
      </c>
      <c r="I26" s="39">
        <f>SUM(I22:I25)</f>
        <v>815.93991000000005</v>
      </c>
      <c r="J26" s="39">
        <f>SUM(J22:J25)</f>
        <v>759.61451</v>
      </c>
      <c r="K26" s="39">
        <f>SUM(K22:K25)</f>
        <v>847.16197</v>
      </c>
      <c r="L26" s="39">
        <f>SUM(L22:L25)</f>
        <v>1521.5308600000001</v>
      </c>
      <c r="M26" s="39">
        <f>SUM(M22:M25)</f>
        <v>2337.2904100000001</v>
      </c>
      <c r="N26" s="39">
        <f>SUM(N22:N25)</f>
        <v>2083.5942300000002</v>
      </c>
      <c r="O26" s="39">
        <f>SUM(O22:O25)</f>
        <v>1851.3421399999997</v>
      </c>
      <c r="P26" s="39">
        <f>SUM(P22:P25)</f>
        <v>1938.7903399999996</v>
      </c>
      <c r="Q26" s="39">
        <f>SUM(Q22:Q25)</f>
        <v>1851.1521399999997</v>
      </c>
      <c r="R26" s="39">
        <f>SUM(R22:R25)</f>
        <v>1935.4828899999998</v>
      </c>
      <c r="S26" s="39">
        <f>SUM(S22:S25)</f>
        <v>1786.4553399999995</v>
      </c>
      <c r="T26" s="39">
        <f>SUM(T22:T25)</f>
        <v>1622.5373099999995</v>
      </c>
      <c r="U26" s="39">
        <f>SUM(U22:U25)</f>
        <v>1637.6218499999995</v>
      </c>
      <c r="V26" s="39">
        <f>SUM(V22:V25)</f>
        <v>1428.5743699999996</v>
      </c>
      <c r="W26" s="39">
        <f>SUM(W22:W25)</f>
        <v>1257.5773999999997</v>
      </c>
      <c r="X26" s="39">
        <f>SUM(X22:X25)</f>
        <v>1864.3010599999993</v>
      </c>
      <c r="Y26" s="39">
        <f>SUM(Y22:Y25)</f>
        <v>2361.6297599999994</v>
      </c>
      <c r="Z26" s="39">
        <f>SUM(Z22:Z25)</f>
        <v>2550.2876099999989</v>
      </c>
      <c r="AA26" s="39">
        <f>SUM(AA22:AA25)</f>
        <v>2551.9633099999992</v>
      </c>
      <c r="AB26" s="39">
        <f>SUM(AB22:AB25)</f>
        <v>1988.7215699999981</v>
      </c>
      <c r="AC26" s="39">
        <f>SUM(AC22:AC25)</f>
        <v>1586.6582299999982</v>
      </c>
      <c r="AD26" s="39">
        <f>SUM(AD22:AD25)</f>
        <v>1290.4780399999981</v>
      </c>
      <c r="AE26" s="39">
        <f>SUM(AE22:AE25)</f>
        <v>1376.6531999999984</v>
      </c>
      <c r="AF26" s="39">
        <f>SUM(AF22:AF25)</f>
        <v>1354.1791699999985</v>
      </c>
      <c r="AG26" s="39">
        <f>SUM(AG22:AG25)</f>
        <v>1121.3861099999986</v>
      </c>
      <c r="AH26" s="39">
        <f>SUM(AH22:AH25)</f>
        <v>1259.4012599999985</v>
      </c>
      <c r="AI26" s="39">
        <f>SUM(AI22:AI25)</f>
        <v>957.08407999999872</v>
      </c>
      <c r="AJ26" s="39"/>
      <c r="AK26" s="39">
        <f>AK19</f>
        <v>1862.3903399999999</v>
      </c>
      <c r="AL26" s="39">
        <f>SUM(AL22:AL25)</f>
        <v>1988.7215699999983</v>
      </c>
      <c r="AM26" s="39">
        <f>SUM(AM22:AM25)</f>
        <v>957.08407999999895</v>
      </c>
    </row>
    <row r="27" spans="3:39" ht="6" customHeight="1" x14ac:dyDescent="0.2"/>
    <row r="28" spans="3:39" x14ac:dyDescent="0.2">
      <c r="P28" s="2"/>
      <c r="AB28" s="2"/>
    </row>
    <row r="29" spans="3:39" x14ac:dyDescent="0.2">
      <c r="C29" t="s">
        <v>357</v>
      </c>
      <c r="E29" s="2">
        <f>E26-E19</f>
        <v>0</v>
      </c>
      <c r="F29" s="2">
        <f>F26-F19</f>
        <v>0</v>
      </c>
      <c r="G29" s="2">
        <f>G26-G19</f>
        <v>0</v>
      </c>
      <c r="H29" s="2">
        <f>H26-H19</f>
        <v>0</v>
      </c>
      <c r="I29" s="2">
        <f>I26-I19</f>
        <v>0</v>
      </c>
      <c r="J29" s="2">
        <f>J26-J19</f>
        <v>0</v>
      </c>
      <c r="K29" s="2">
        <f>K26-K19</f>
        <v>0</v>
      </c>
      <c r="L29" s="2">
        <f>L26-L19</f>
        <v>0</v>
      </c>
      <c r="M29" s="2">
        <f>M26-M19</f>
        <v>0</v>
      </c>
      <c r="N29" s="2">
        <f>N26-N19</f>
        <v>0</v>
      </c>
      <c r="O29" s="2">
        <f>O26-O19</f>
        <v>0</v>
      </c>
      <c r="P29" s="2">
        <f>P26-P19</f>
        <v>76.399999999999636</v>
      </c>
      <c r="Q29" s="2">
        <f>Q26-Q19</f>
        <v>76.399999999999636</v>
      </c>
      <c r="R29" s="2">
        <f>R26-R19</f>
        <v>76.399999999999636</v>
      </c>
      <c r="S29" s="2">
        <f>S26-S19</f>
        <v>76.399999999999636</v>
      </c>
      <c r="T29" s="2">
        <f>T26-T19</f>
        <v>76.399999999999409</v>
      </c>
      <c r="U29" s="2">
        <f>U26-U19</f>
        <v>76.399999999999636</v>
      </c>
      <c r="V29" s="2">
        <f>V26-V19</f>
        <v>76.399999999999864</v>
      </c>
      <c r="W29" s="2">
        <f>W26-W19</f>
        <v>76.399999999999636</v>
      </c>
      <c r="X29" s="2">
        <f>X26-X19</f>
        <v>76.399999999999636</v>
      </c>
      <c r="Y29" s="2">
        <f>Y26-Y19</f>
        <v>76.399999999999181</v>
      </c>
      <c r="Z29" s="2">
        <f>Z26-Z19</f>
        <v>76.399999999999181</v>
      </c>
      <c r="AA29" s="2">
        <f>AA26-AA19</f>
        <v>76.399999999999636</v>
      </c>
      <c r="AB29" s="2">
        <f>AB26-AB19</f>
        <v>-301.20953000000077</v>
      </c>
      <c r="AC29" s="2">
        <f>AC26-AC19</f>
        <v>-301.20953000000191</v>
      </c>
      <c r="AD29" s="2">
        <f>AD26-AD19</f>
        <v>-301.20953000000191</v>
      </c>
      <c r="AE29" s="2">
        <f>AE26-AE19</f>
        <v>-301.20953000000191</v>
      </c>
      <c r="AF29" s="2">
        <f>AF26-AF19</f>
        <v>-301.20953000000168</v>
      </c>
      <c r="AG29" s="2">
        <f>AG26-AG19</f>
        <v>-301.20953000000168</v>
      </c>
      <c r="AH29" s="2">
        <f>AH26-AH19</f>
        <v>-301.20953000000168</v>
      </c>
      <c r="AI29" s="2">
        <f>AI26-AI19</f>
        <v>-301.20953000000168</v>
      </c>
      <c r="AK29" s="2">
        <f>AK26-AK19</f>
        <v>0</v>
      </c>
      <c r="AL29" s="2">
        <f>AL26-AL19</f>
        <v>-301.20953000000054</v>
      </c>
      <c r="AM29" s="2">
        <f>AM26-AM19</f>
        <v>-301.20953000000145</v>
      </c>
    </row>
    <row r="30" spans="3:39" x14ac:dyDescent="0.2">
      <c r="C30" t="s">
        <v>356</v>
      </c>
      <c r="E30" s="2">
        <f>'BS1'!E34-E26</f>
        <v>0</v>
      </c>
      <c r="F30" s="2">
        <f>'BS1'!F34-F26</f>
        <v>0</v>
      </c>
      <c r="G30" s="2">
        <f>'BS1'!G34-G26</f>
        <v>0</v>
      </c>
      <c r="H30" s="2">
        <f>'BS1'!H34-H26</f>
        <v>0</v>
      </c>
      <c r="I30" s="2">
        <f>'BS1'!I34-I26</f>
        <v>0</v>
      </c>
      <c r="J30" s="2">
        <f>'BS1'!J34-J26</f>
        <v>0</v>
      </c>
      <c r="K30" s="2">
        <f>'BS1'!K34-K26</f>
        <v>0</v>
      </c>
      <c r="L30" s="2">
        <f>'BS1'!L34-L26</f>
        <v>0</v>
      </c>
      <c r="M30" s="2">
        <f>'BS1'!M34-M26</f>
        <v>0</v>
      </c>
      <c r="N30" s="2">
        <f>'BS1'!N34-N26</f>
        <v>0</v>
      </c>
      <c r="O30" s="2">
        <f>'BS1'!O34-O26</f>
        <v>0</v>
      </c>
      <c r="P30" s="2">
        <f>'BS1'!P34-P26</f>
        <v>-76.399999999999636</v>
      </c>
      <c r="Q30" s="2">
        <f>'BS1'!Q34-Q26</f>
        <v>-76.399999999999636</v>
      </c>
      <c r="R30" s="2">
        <f>'BS1'!R34-R26</f>
        <v>-76.399999999999636</v>
      </c>
      <c r="S30" s="2">
        <f>'BS1'!S34-S26</f>
        <v>-76.399999999999636</v>
      </c>
      <c r="T30" s="2">
        <f>'BS1'!T34-T26</f>
        <v>-76.399999999999409</v>
      </c>
      <c r="U30" s="2">
        <f>'BS1'!U34-U26</f>
        <v>-76.399999999999636</v>
      </c>
      <c r="V30" s="2">
        <f>'BS1'!V34-V26</f>
        <v>-76.399999999999864</v>
      </c>
      <c r="W30" s="2">
        <f>'BS1'!W34-W26</f>
        <v>-76.399999999999636</v>
      </c>
      <c r="X30" s="2">
        <f>'BS1'!X34-X26</f>
        <v>-76.399999999999636</v>
      </c>
      <c r="Y30" s="2">
        <f>'BS1'!Y34-Y26</f>
        <v>-76.399999999999181</v>
      </c>
      <c r="Z30" s="2">
        <f>'BS1'!Z34-Z26</f>
        <v>-76.399999999999181</v>
      </c>
      <c r="AA30" s="2">
        <f>'BS1'!AA34-AA26</f>
        <v>-76.399999999999636</v>
      </c>
      <c r="AB30" s="2">
        <f>'BS1'!AB34-AB26</f>
        <v>301.20953000000077</v>
      </c>
      <c r="AC30" s="2">
        <f>'BS1'!AC34-AC26</f>
        <v>301.20953000000191</v>
      </c>
      <c r="AD30" s="2">
        <f>'BS1'!AD34-AD26</f>
        <v>301.20953000000191</v>
      </c>
      <c r="AE30" s="2">
        <f>'BS1'!AE34-AE26</f>
        <v>301.20953000000191</v>
      </c>
      <c r="AF30" s="2">
        <f>'BS1'!AF34-AF26</f>
        <v>301.20953000000168</v>
      </c>
      <c r="AG30" s="2">
        <f>'BS1'!AG34-AG26</f>
        <v>301.20953000000168</v>
      </c>
      <c r="AH30" s="2">
        <f>'BS1'!AH34-AH26</f>
        <v>301.20953000000168</v>
      </c>
      <c r="AI30" s="2">
        <f>'BS1'!AI34-AI26</f>
        <v>301.20953000000168</v>
      </c>
      <c r="AJ30" s="2"/>
      <c r="AK30" s="2">
        <f>'BS1'!AK34-AK26</f>
        <v>0</v>
      </c>
      <c r="AL30" s="2">
        <f>'BS1'!AL34-AL26</f>
        <v>301.20953000000054</v>
      </c>
      <c r="AM30" s="2">
        <f>'BS1'!AM34-AM26</f>
        <v>301.20953000000145</v>
      </c>
    </row>
    <row r="31" spans="3:39" x14ac:dyDescent="0.2">
      <c r="E31" s="29"/>
      <c r="F31" s="29"/>
      <c r="G31" s="29"/>
      <c r="H31" s="29"/>
      <c r="I31" s="29"/>
      <c r="J31" s="29"/>
      <c r="K31" s="29"/>
      <c r="L31" s="29"/>
      <c r="M31" s="29"/>
      <c r="N31" s="29"/>
      <c r="O31" s="29"/>
      <c r="P31" s="29"/>
      <c r="Q31" s="29"/>
      <c r="R31" s="29"/>
      <c r="S31" s="29"/>
      <c r="T31" s="29"/>
      <c r="U31" s="29"/>
      <c r="V31" s="29"/>
      <c r="W31" s="29"/>
      <c r="X31" s="29"/>
      <c r="Y31" s="29"/>
      <c r="Z31" s="29"/>
      <c r="AA31" s="29"/>
      <c r="AB31" s="29"/>
      <c r="AC31" s="29"/>
      <c r="AD31" s="29"/>
      <c r="AE31" s="29"/>
      <c r="AF31" s="29"/>
      <c r="AG31" s="29"/>
      <c r="AH31" s="29"/>
      <c r="AI31" s="29"/>
    </row>
  </sheetData>
  <pageMargins left="0.7" right="0.7" top="0.75" bottom="0.75" header="0.3" footer="0.3"/>
  <pageSetup scale="51" orientation="landscape" r:id="rId1"/>
  <customProperties>
    <customPr name="OrphanNamesChecked" r:id="rId2"/>
  </customProperties>
  <drawing r:id="rId3"/>
  <extLst>
    <ext xmlns:x14="http://schemas.microsoft.com/office/spreadsheetml/2009/9/main" uri="{78C0D931-6437-407d-A8EE-F0AAD7539E65}">
      <x14:conditionalFormattings>
        <x14:conditionalFormatting xmlns:xm="http://schemas.microsoft.com/office/excel/2006/main">
          <x14:cfRule type="containsText" priority="1" operator="containsText" id="{EEAA9908-063F-421E-B0CF-92517AAB53B0}">
            <xm:f>NOT(ISERROR(SEARCH("NO",A1)))</xm:f>
            <xm:f>"NO"</xm:f>
            <x14:dxf>
              <font>
                <b/>
                <i val="0"/>
                <color rgb="FFFF0000"/>
              </font>
            </x14:dxf>
          </x14:cfRule>
          <xm:sqref>A1:A2</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2FFFF-CD3D-433B-9C5F-DEA729B026FD}">
  <sheetPr>
    <tabColor rgb="FFFFFF00"/>
  </sheetPr>
  <dimension ref="A1:AR265"/>
  <sheetViews>
    <sheetView showGridLines="0" workbookViewId="0"/>
  </sheetViews>
  <sheetFormatPr defaultColWidth="11.109375" defaultRowHeight="10" x14ac:dyDescent="0.2"/>
  <cols>
    <col min="1" max="1" width="51" style="88" bestFit="1" customWidth="1"/>
    <col min="2" max="2" width="17.44140625" style="88" bestFit="1" customWidth="1"/>
    <col min="3" max="3" width="22.44140625" style="88" bestFit="1" customWidth="1"/>
    <col min="4" max="4" width="5.88671875" style="88" bestFit="1" customWidth="1"/>
    <col min="5" max="5" width="6.6640625" style="88" bestFit="1" customWidth="1"/>
    <col min="6" max="6" width="11.6640625" style="88" bestFit="1" customWidth="1"/>
    <col min="7" max="7" width="29.33203125" style="88" customWidth="1"/>
    <col min="8" max="8" width="39.6640625" style="88" bestFit="1" customWidth="1"/>
    <col min="9" max="9" width="39.6640625" style="88" customWidth="1"/>
    <col min="10" max="10" width="38.109375" style="88" customWidth="1"/>
    <col min="11" max="44" width="8.77734375" style="87" customWidth="1"/>
    <col min="45" max="45" width="11.109375" style="87"/>
    <col min="46" max="46" width="11.44140625" style="87" bestFit="1" customWidth="1"/>
    <col min="47" max="16384" width="11.109375" style="87"/>
  </cols>
  <sheetData>
    <row r="1" spans="1:44" s="88" customFormat="1" ht="13.5" customHeight="1" x14ac:dyDescent="0.25">
      <c r="A1" s="106" t="s">
        <v>429</v>
      </c>
      <c r="B1" s="106" t="s">
        <v>428</v>
      </c>
      <c r="C1" s="106" t="s">
        <v>427</v>
      </c>
      <c r="D1" s="106" t="s">
        <v>426</v>
      </c>
      <c r="E1" s="106" t="s">
        <v>425</v>
      </c>
      <c r="F1" s="106" t="s">
        <v>424</v>
      </c>
      <c r="G1" s="106" t="s">
        <v>423</v>
      </c>
      <c r="H1" s="106" t="s">
        <v>422</v>
      </c>
      <c r="I1" s="106" t="s">
        <v>421</v>
      </c>
      <c r="J1" s="106" t="s">
        <v>420</v>
      </c>
      <c r="K1" s="105">
        <v>45046</v>
      </c>
      <c r="L1" s="105">
        <v>45077</v>
      </c>
      <c r="M1" s="105">
        <v>45107</v>
      </c>
      <c r="N1" s="105">
        <v>45138</v>
      </c>
      <c r="O1" s="105">
        <v>45169</v>
      </c>
      <c r="P1" s="105">
        <v>45199</v>
      </c>
      <c r="Q1" s="105">
        <v>45230</v>
      </c>
      <c r="R1" s="105">
        <v>45260</v>
      </c>
      <c r="S1" s="105">
        <v>45291</v>
      </c>
      <c r="T1" s="105">
        <v>45322</v>
      </c>
      <c r="U1" s="105">
        <v>45351</v>
      </c>
      <c r="V1" s="105">
        <v>45382</v>
      </c>
      <c r="W1" s="105">
        <v>45412</v>
      </c>
      <c r="X1" s="105">
        <v>45443</v>
      </c>
      <c r="Y1" s="105">
        <v>45473</v>
      </c>
      <c r="Z1" s="105">
        <v>45504</v>
      </c>
      <c r="AA1" s="105">
        <v>45535</v>
      </c>
      <c r="AB1" s="105">
        <v>45565</v>
      </c>
      <c r="AC1" s="105">
        <v>45596</v>
      </c>
      <c r="AD1" s="105">
        <v>45626</v>
      </c>
      <c r="AE1" s="105">
        <v>45657</v>
      </c>
      <c r="AF1" s="105">
        <v>45688</v>
      </c>
      <c r="AG1" s="105">
        <v>45716</v>
      </c>
      <c r="AH1" s="105">
        <v>45747</v>
      </c>
      <c r="AI1" s="105">
        <v>45777</v>
      </c>
      <c r="AJ1" s="105">
        <v>45808</v>
      </c>
      <c r="AK1" s="105">
        <v>45838</v>
      </c>
      <c r="AL1" s="105">
        <v>45869</v>
      </c>
      <c r="AM1" s="105">
        <v>45900</v>
      </c>
      <c r="AN1" s="105">
        <v>45930</v>
      </c>
      <c r="AO1" s="105">
        <v>45961</v>
      </c>
      <c r="AP1" s="105" t="s">
        <v>32</v>
      </c>
      <c r="AQ1" s="105" t="s">
        <v>31</v>
      </c>
      <c r="AR1" s="105" t="s">
        <v>30</v>
      </c>
    </row>
    <row r="2" spans="1:44" ht="11.25" customHeight="1" x14ac:dyDescent="0.2">
      <c r="A2" s="88" t="s">
        <v>177</v>
      </c>
      <c r="B2" s="104"/>
      <c r="E2" s="88" t="s">
        <v>416</v>
      </c>
      <c r="F2" s="88" t="s">
        <v>373</v>
      </c>
      <c r="G2" s="88" t="s">
        <v>418</v>
      </c>
      <c r="H2" s="88" t="s">
        <v>146</v>
      </c>
      <c r="I2" s="88" t="s">
        <v>146</v>
      </c>
      <c r="J2" s="88" t="s">
        <v>177</v>
      </c>
      <c r="K2" s="87">
        <v>241.55248999999998</v>
      </c>
      <c r="L2" s="87">
        <v>241.05248999999998</v>
      </c>
      <c r="M2" s="87">
        <v>241.05248999999998</v>
      </c>
      <c r="N2" s="87">
        <v>240.74938</v>
      </c>
      <c r="O2" s="87">
        <v>240.74938</v>
      </c>
      <c r="P2" s="87">
        <v>240.74938</v>
      </c>
      <c r="Q2" s="87">
        <v>240.74938</v>
      </c>
      <c r="R2" s="87">
        <v>240.71333999999999</v>
      </c>
      <c r="S2" s="87">
        <v>240.40911</v>
      </c>
      <c r="T2" s="87">
        <v>240.40911</v>
      </c>
      <c r="U2" s="87">
        <v>240.40911</v>
      </c>
      <c r="V2" s="87">
        <v>240.40911</v>
      </c>
      <c r="W2" s="87">
        <v>240.40911</v>
      </c>
      <c r="X2" s="87">
        <v>240.38410999999999</v>
      </c>
      <c r="Y2" s="87">
        <v>278.73410999999999</v>
      </c>
      <c r="Z2" s="87">
        <v>312.08411000000001</v>
      </c>
      <c r="AA2" s="87">
        <v>312.08411000000001</v>
      </c>
      <c r="AB2" s="87">
        <v>312.08411000000001</v>
      </c>
      <c r="AC2" s="87">
        <v>312.08411000000001</v>
      </c>
      <c r="AD2" s="87">
        <v>312.08411000000001</v>
      </c>
      <c r="AE2" s="87">
        <v>312.08411000000001</v>
      </c>
      <c r="AF2" s="87">
        <v>312.08411000000001</v>
      </c>
      <c r="AG2" s="87">
        <v>312.08411000000001</v>
      </c>
      <c r="AH2" s="87">
        <v>312.08411000000001</v>
      </c>
      <c r="AI2" s="87">
        <v>312.05552</v>
      </c>
      <c r="AJ2" s="87">
        <v>312.05552</v>
      </c>
      <c r="AK2" s="87">
        <v>365.15552000000002</v>
      </c>
      <c r="AL2" s="87">
        <v>365.15552000000002</v>
      </c>
      <c r="AM2" s="87">
        <v>403.25552000000005</v>
      </c>
      <c r="AN2" s="87">
        <v>403.25552000000005</v>
      </c>
      <c r="AO2" s="87">
        <v>403.25552000000005</v>
      </c>
      <c r="AP2" s="87">
        <f>IF($E2="BS",V2,SUM(K2:V2))</f>
        <v>240.40911</v>
      </c>
      <c r="AQ2" s="87">
        <f>IF($E2="BS",AH2,SUM(W2:AH2))</f>
        <v>312.08411000000001</v>
      </c>
      <c r="AR2" s="87">
        <f>IF($E2="BS",AO2,SUM(AD2:AO2))</f>
        <v>403.25552000000005</v>
      </c>
    </row>
    <row r="3" spans="1:44" ht="11.25" customHeight="1" x14ac:dyDescent="0.2">
      <c r="A3" s="88" t="s">
        <v>178</v>
      </c>
      <c r="B3" s="104"/>
      <c r="E3" s="88" t="s">
        <v>416</v>
      </c>
      <c r="F3" s="88" t="s">
        <v>373</v>
      </c>
      <c r="G3" s="88" t="s">
        <v>418</v>
      </c>
      <c r="H3" s="88" t="s">
        <v>146</v>
      </c>
      <c r="I3" s="88" t="s">
        <v>146</v>
      </c>
      <c r="J3" s="88" t="s">
        <v>178</v>
      </c>
      <c r="K3" s="87">
        <v>1392.93641</v>
      </c>
      <c r="L3" s="87">
        <v>1274.7818200000002</v>
      </c>
      <c r="M3" s="87">
        <v>1044.7660600000002</v>
      </c>
      <c r="N3" s="87">
        <v>1503.91794</v>
      </c>
      <c r="O3" s="87">
        <v>1652.81621</v>
      </c>
      <c r="P3" s="87">
        <v>1471.6316999999999</v>
      </c>
      <c r="Q3" s="87">
        <v>1561.2996699999999</v>
      </c>
      <c r="R3" s="87">
        <v>1587.8386399999999</v>
      </c>
      <c r="S3" s="87">
        <v>2715.6498700000002</v>
      </c>
      <c r="T3" s="87">
        <v>3088.5361499999999</v>
      </c>
      <c r="U3" s="87">
        <v>3120.50263</v>
      </c>
      <c r="V3" s="87">
        <v>2226.7280599999999</v>
      </c>
      <c r="W3" s="87">
        <v>2311.9427900000001</v>
      </c>
      <c r="X3" s="87">
        <v>2217.0810200000001</v>
      </c>
      <c r="Y3" s="87">
        <v>2312.1651699999998</v>
      </c>
      <c r="Z3" s="87">
        <v>2119.5666099999999</v>
      </c>
      <c r="AA3" s="87">
        <v>2118.6528900000003</v>
      </c>
      <c r="AB3" s="87">
        <v>1856.6123500000001</v>
      </c>
      <c r="AC3" s="87">
        <v>1820.1974399999999</v>
      </c>
      <c r="AD3" s="87">
        <v>2082.7491399999999</v>
      </c>
      <c r="AE3" s="87">
        <v>2389.3520699999999</v>
      </c>
      <c r="AF3" s="87">
        <v>3006.4507899999999</v>
      </c>
      <c r="AG3" s="87">
        <v>2479.0816199999999</v>
      </c>
      <c r="AH3" s="87">
        <v>2545.0138900000002</v>
      </c>
      <c r="AI3" s="87">
        <v>2228.6963700000001</v>
      </c>
      <c r="AJ3" s="87">
        <v>2111.7779500000001</v>
      </c>
      <c r="AK3" s="87">
        <v>1740.8500300000001</v>
      </c>
      <c r="AL3" s="87">
        <v>1788.9023400000001</v>
      </c>
      <c r="AM3" s="87">
        <v>1690.6655600000001</v>
      </c>
      <c r="AN3" s="87">
        <v>1603.7638300000001</v>
      </c>
      <c r="AO3" s="87">
        <v>1360.8279499999999</v>
      </c>
      <c r="AP3" s="87">
        <f>IF($E3="BS",V3,SUM(K3:V3))</f>
        <v>2226.7280599999999</v>
      </c>
      <c r="AQ3" s="87">
        <f>IF($E3="BS",AH3,SUM(W3:AH3))</f>
        <v>2545.0138900000002</v>
      </c>
      <c r="AR3" s="87">
        <f>IF($E3="BS",AO3,SUM(AD3:AO3))</f>
        <v>1360.8279499999999</v>
      </c>
    </row>
    <row r="4" spans="1:44" ht="11.25" customHeight="1" x14ac:dyDescent="0.2">
      <c r="A4" s="88" t="s">
        <v>176</v>
      </c>
      <c r="B4" s="104"/>
      <c r="E4" s="88" t="s">
        <v>416</v>
      </c>
      <c r="F4" s="88" t="s">
        <v>373</v>
      </c>
      <c r="G4" s="88" t="s">
        <v>418</v>
      </c>
      <c r="H4" s="88" t="s">
        <v>175</v>
      </c>
      <c r="I4" s="88" t="s">
        <v>419</v>
      </c>
      <c r="J4" s="88" t="s">
        <v>176</v>
      </c>
      <c r="K4" s="87">
        <v>298.09100000000001</v>
      </c>
      <c r="L4" s="87">
        <v>347.89449999999999</v>
      </c>
      <c r="M4" s="87">
        <v>766.23199999999997</v>
      </c>
      <c r="N4" s="87">
        <v>528.95699999999999</v>
      </c>
      <c r="O4" s="87">
        <v>459.32799999999997</v>
      </c>
      <c r="P4" s="87">
        <v>637.95600000000002</v>
      </c>
      <c r="Q4" s="87">
        <v>751.57500000000005</v>
      </c>
      <c r="R4" s="87">
        <v>1371.4255000000001</v>
      </c>
      <c r="S4" s="87">
        <v>911.52850000000001</v>
      </c>
      <c r="T4" s="87">
        <v>371.55950000000001</v>
      </c>
      <c r="U4" s="87">
        <v>371.72050000000002</v>
      </c>
      <c r="V4" s="87">
        <v>636.87599999999998</v>
      </c>
      <c r="W4" s="87">
        <v>542.14649999999995</v>
      </c>
      <c r="X4" s="87">
        <v>717.08450000000005</v>
      </c>
      <c r="Y4" s="87">
        <v>468.52699999999999</v>
      </c>
      <c r="Z4" s="87">
        <v>427.88400000000001</v>
      </c>
      <c r="AA4" s="87">
        <v>521.29499999999996</v>
      </c>
      <c r="AB4" s="87">
        <v>547.44899999999996</v>
      </c>
      <c r="AC4" s="87">
        <v>471.65699999999998</v>
      </c>
      <c r="AD4" s="87">
        <v>917.83900000000006</v>
      </c>
      <c r="AE4" s="87">
        <v>1105.5360000000001</v>
      </c>
      <c r="AF4" s="87">
        <v>329.661</v>
      </c>
      <c r="AG4" s="87">
        <v>727.59749999999997</v>
      </c>
      <c r="AH4" s="87">
        <v>597.9</v>
      </c>
      <c r="AI4" s="87">
        <v>557.57299999999998</v>
      </c>
      <c r="AJ4" s="87">
        <v>512</v>
      </c>
      <c r="AK4" s="87">
        <v>996.39009999999996</v>
      </c>
      <c r="AL4" s="87">
        <v>636.00360000000001</v>
      </c>
      <c r="AM4" s="87">
        <v>608.91700000000003</v>
      </c>
      <c r="AN4" s="87">
        <v>836.82</v>
      </c>
      <c r="AO4" s="87">
        <v>770.76300000000003</v>
      </c>
      <c r="AP4" s="87">
        <f>IF($E4="BS",V4,SUM(K4:V4))</f>
        <v>636.87599999999998</v>
      </c>
      <c r="AQ4" s="87">
        <f>IF($E4="BS",AH4,SUM(W4:AH4))</f>
        <v>597.9</v>
      </c>
      <c r="AR4" s="87">
        <f>IF($E4="BS",AO4,SUM(AD4:AO4))</f>
        <v>770.76300000000003</v>
      </c>
    </row>
    <row r="5" spans="1:44" ht="11.25" customHeight="1" x14ac:dyDescent="0.2">
      <c r="A5" s="88" t="s">
        <v>173</v>
      </c>
      <c r="B5" s="104"/>
      <c r="E5" s="88" t="s">
        <v>416</v>
      </c>
      <c r="F5" s="88" t="s">
        <v>373</v>
      </c>
      <c r="G5" s="88" t="s">
        <v>418</v>
      </c>
      <c r="H5" s="88" t="s">
        <v>168</v>
      </c>
      <c r="I5" s="88" t="s">
        <v>168</v>
      </c>
      <c r="J5" s="88" t="s">
        <v>173</v>
      </c>
      <c r="K5" s="87">
        <v>0</v>
      </c>
      <c r="L5" s="87">
        <v>0</v>
      </c>
      <c r="M5" s="87">
        <v>0</v>
      </c>
      <c r="N5" s="87">
        <v>0</v>
      </c>
      <c r="O5" s="87">
        <v>0</v>
      </c>
      <c r="P5" s="87">
        <v>0</v>
      </c>
      <c r="Q5" s="87">
        <v>0</v>
      </c>
      <c r="R5" s="87">
        <v>0</v>
      </c>
      <c r="S5" s="87">
        <v>0</v>
      </c>
      <c r="T5" s="87">
        <v>0</v>
      </c>
      <c r="U5" s="87">
        <v>0</v>
      </c>
      <c r="V5" s="87">
        <v>0</v>
      </c>
      <c r="W5" s="87">
        <v>0</v>
      </c>
      <c r="X5" s="87">
        <v>0</v>
      </c>
      <c r="Y5" s="87">
        <v>0</v>
      </c>
      <c r="Z5" s="87">
        <v>0</v>
      </c>
      <c r="AA5" s="87">
        <v>0</v>
      </c>
      <c r="AB5" s="87">
        <v>0</v>
      </c>
      <c r="AC5" s="87">
        <v>0</v>
      </c>
      <c r="AD5" s="87">
        <v>0</v>
      </c>
      <c r="AE5" s="87">
        <v>0</v>
      </c>
      <c r="AF5" s="87">
        <v>0</v>
      </c>
      <c r="AG5" s="87">
        <v>1.3</v>
      </c>
      <c r="AH5" s="87">
        <v>1.3</v>
      </c>
      <c r="AI5" s="87">
        <v>1.3</v>
      </c>
      <c r="AJ5" s="87">
        <v>1.3</v>
      </c>
      <c r="AK5" s="87">
        <v>1.3</v>
      </c>
      <c r="AL5" s="87">
        <v>1.3</v>
      </c>
      <c r="AM5" s="87">
        <v>1.3</v>
      </c>
      <c r="AN5" s="87">
        <v>1.3</v>
      </c>
      <c r="AO5" s="87">
        <v>1.3</v>
      </c>
      <c r="AP5" s="87">
        <f>IF($E5="BS",V5,SUM(K5:V5))</f>
        <v>0</v>
      </c>
      <c r="AQ5" s="87">
        <f>IF($E5="BS",AH5,SUM(W5:AH5))</f>
        <v>1.3</v>
      </c>
      <c r="AR5" s="87">
        <f>IF($E5="BS",AO5,SUM(AD5:AO5))</f>
        <v>1.3</v>
      </c>
    </row>
    <row r="6" spans="1:44" ht="11.25" customHeight="1" x14ac:dyDescent="0.2">
      <c r="A6" s="88" t="s">
        <v>171</v>
      </c>
      <c r="B6" s="104"/>
      <c r="E6" s="88" t="s">
        <v>416</v>
      </c>
      <c r="F6" s="88" t="s">
        <v>373</v>
      </c>
      <c r="G6" s="88" t="s">
        <v>418</v>
      </c>
      <c r="H6" s="88" t="s">
        <v>168</v>
      </c>
      <c r="I6" s="88" t="s">
        <v>168</v>
      </c>
      <c r="J6" s="88" t="s">
        <v>171</v>
      </c>
      <c r="K6" s="87">
        <v>2.887E-2</v>
      </c>
      <c r="L6" s="87">
        <v>2.887E-2</v>
      </c>
      <c r="M6" s="87">
        <v>2.887E-2</v>
      </c>
      <c r="N6" s="87">
        <v>2.887E-2</v>
      </c>
      <c r="O6" s="87">
        <v>2.887E-2</v>
      </c>
      <c r="P6" s="87">
        <v>2.887E-2</v>
      </c>
      <c r="Q6" s="87">
        <v>0</v>
      </c>
      <c r="R6" s="87">
        <v>0</v>
      </c>
      <c r="S6" s="87">
        <v>0</v>
      </c>
      <c r="T6" s="87">
        <v>0</v>
      </c>
      <c r="U6" s="87">
        <v>0</v>
      </c>
      <c r="V6" s="87">
        <v>0</v>
      </c>
      <c r="W6" s="87">
        <v>0</v>
      </c>
      <c r="X6" s="87">
        <v>0</v>
      </c>
      <c r="Y6" s="87">
        <v>0</v>
      </c>
      <c r="Z6" s="87">
        <v>0</v>
      </c>
      <c r="AA6" s="87">
        <v>0</v>
      </c>
      <c r="AB6" s="87">
        <v>0</v>
      </c>
      <c r="AC6" s="87">
        <v>0</v>
      </c>
      <c r="AD6" s="87">
        <v>0</v>
      </c>
      <c r="AE6" s="87">
        <v>0</v>
      </c>
      <c r="AF6" s="87">
        <v>0</v>
      </c>
      <c r="AG6" s="87">
        <v>0</v>
      </c>
      <c r="AH6" s="87">
        <v>0</v>
      </c>
      <c r="AI6" s="87">
        <v>0</v>
      </c>
      <c r="AJ6" s="87">
        <v>0</v>
      </c>
      <c r="AK6" s="87">
        <v>0</v>
      </c>
      <c r="AL6" s="87">
        <v>0</v>
      </c>
      <c r="AM6" s="87">
        <v>0</v>
      </c>
      <c r="AN6" s="87">
        <v>0</v>
      </c>
      <c r="AO6" s="87">
        <v>0</v>
      </c>
      <c r="AP6" s="87">
        <f>IF($E6="BS",V6,SUM(K6:V6))</f>
        <v>0</v>
      </c>
      <c r="AQ6" s="87">
        <f>IF($E6="BS",AH6,SUM(W6:AH6))</f>
        <v>0</v>
      </c>
      <c r="AR6" s="87">
        <f>IF($E6="BS",AO6,SUM(AD6:AO6))</f>
        <v>0</v>
      </c>
    </row>
    <row r="7" spans="1:44" ht="11.25" customHeight="1" x14ac:dyDescent="0.2">
      <c r="A7" s="88" t="s">
        <v>169</v>
      </c>
      <c r="B7" s="104"/>
      <c r="E7" s="88" t="s">
        <v>416</v>
      </c>
      <c r="F7" s="88" t="s">
        <v>373</v>
      </c>
      <c r="G7" s="88" t="s">
        <v>418</v>
      </c>
      <c r="H7" s="88" t="s">
        <v>168</v>
      </c>
      <c r="I7" s="88" t="s">
        <v>168</v>
      </c>
      <c r="J7" s="88" t="s">
        <v>169</v>
      </c>
      <c r="K7" s="87">
        <v>0</v>
      </c>
      <c r="L7" s="87">
        <v>0</v>
      </c>
      <c r="M7" s="87">
        <v>0</v>
      </c>
      <c r="N7" s="87">
        <v>0</v>
      </c>
      <c r="O7" s="87">
        <v>0</v>
      </c>
      <c r="P7" s="87">
        <v>0</v>
      </c>
      <c r="Q7" s="87">
        <v>0</v>
      </c>
      <c r="R7" s="87">
        <v>0</v>
      </c>
      <c r="S7" s="87">
        <v>0</v>
      </c>
      <c r="T7" s="87">
        <v>0</v>
      </c>
      <c r="U7" s="87">
        <v>0</v>
      </c>
      <c r="V7" s="87">
        <v>0</v>
      </c>
      <c r="W7" s="87">
        <v>0</v>
      </c>
      <c r="X7" s="87">
        <v>0</v>
      </c>
      <c r="Y7" s="87">
        <v>0</v>
      </c>
      <c r="Z7" s="87">
        <v>0</v>
      </c>
      <c r="AA7" s="87">
        <v>0.02</v>
      </c>
      <c r="AB7" s="87">
        <v>0</v>
      </c>
      <c r="AC7" s="87">
        <v>0</v>
      </c>
      <c r="AD7" s="87">
        <v>0</v>
      </c>
      <c r="AE7" s="87">
        <v>0</v>
      </c>
      <c r="AF7" s="87">
        <v>0</v>
      </c>
      <c r="AG7" s="87">
        <v>0</v>
      </c>
      <c r="AH7" s="87">
        <v>0</v>
      </c>
      <c r="AI7" s="87">
        <v>0</v>
      </c>
      <c r="AJ7" s="87">
        <v>0</v>
      </c>
      <c r="AK7" s="87">
        <v>0</v>
      </c>
      <c r="AL7" s="87">
        <v>0</v>
      </c>
      <c r="AM7" s="87">
        <v>0</v>
      </c>
      <c r="AN7" s="87">
        <v>0</v>
      </c>
      <c r="AO7" s="87">
        <v>0</v>
      </c>
      <c r="AP7" s="87">
        <f>IF($E7="BS",V7,SUM(K7:V7))</f>
        <v>0</v>
      </c>
      <c r="AQ7" s="87">
        <f>IF($E7="BS",AH7,SUM(W7:AH7))</f>
        <v>0</v>
      </c>
      <c r="AR7" s="87">
        <f>IF($E7="BS",AO7,SUM(AD7:AO7))</f>
        <v>0</v>
      </c>
    </row>
    <row r="8" spans="1:44" ht="11.25" customHeight="1" x14ac:dyDescent="0.2">
      <c r="A8" s="88" t="s">
        <v>170</v>
      </c>
      <c r="B8" s="104"/>
      <c r="E8" s="88" t="s">
        <v>416</v>
      </c>
      <c r="F8" s="88" t="s">
        <v>373</v>
      </c>
      <c r="G8" s="88" t="s">
        <v>418</v>
      </c>
      <c r="H8" s="88" t="s">
        <v>168</v>
      </c>
      <c r="I8" s="88" t="s">
        <v>168</v>
      </c>
      <c r="J8" s="88" t="s">
        <v>170</v>
      </c>
      <c r="K8" s="87">
        <v>4.1930000000000002E-2</v>
      </c>
      <c r="L8" s="87">
        <v>4.1930000000000002E-2</v>
      </c>
      <c r="M8" s="87">
        <v>4.1930000000000002E-2</v>
      </c>
      <c r="N8" s="87">
        <v>4.1930000000000002E-2</v>
      </c>
      <c r="O8" s="87">
        <v>4.1930000000000002E-2</v>
      </c>
      <c r="P8" s="87">
        <v>4.1930000000000002E-2</v>
      </c>
      <c r="Q8" s="87">
        <v>0</v>
      </c>
      <c r="R8" s="87">
        <v>0</v>
      </c>
      <c r="S8" s="87">
        <v>0</v>
      </c>
      <c r="T8" s="87">
        <v>0</v>
      </c>
      <c r="U8" s="87">
        <v>0</v>
      </c>
      <c r="V8" s="87">
        <v>0</v>
      </c>
      <c r="W8" s="87">
        <v>0</v>
      </c>
      <c r="X8" s="87">
        <v>0</v>
      </c>
      <c r="Y8" s="87">
        <v>0</v>
      </c>
      <c r="Z8" s="87">
        <v>0</v>
      </c>
      <c r="AA8" s="87">
        <v>0</v>
      </c>
      <c r="AB8" s="87">
        <v>0</v>
      </c>
      <c r="AC8" s="87">
        <v>0</v>
      </c>
      <c r="AD8" s="87">
        <v>0</v>
      </c>
      <c r="AE8" s="87">
        <v>0</v>
      </c>
      <c r="AF8" s="87">
        <v>0</v>
      </c>
      <c r="AG8" s="87">
        <v>0</v>
      </c>
      <c r="AH8" s="87">
        <v>0</v>
      </c>
      <c r="AI8" s="87">
        <v>0</v>
      </c>
      <c r="AJ8" s="87">
        <v>0</v>
      </c>
      <c r="AK8" s="87">
        <v>0</v>
      </c>
      <c r="AL8" s="87">
        <v>0</v>
      </c>
      <c r="AM8" s="87">
        <v>0</v>
      </c>
      <c r="AN8" s="87">
        <v>0</v>
      </c>
      <c r="AO8" s="87">
        <v>0</v>
      </c>
      <c r="AP8" s="87">
        <f>IF($E8="BS",V8,SUM(K8:V8))</f>
        <v>0</v>
      </c>
      <c r="AQ8" s="87">
        <f>IF($E8="BS",AH8,SUM(W8:AH8))</f>
        <v>0</v>
      </c>
      <c r="AR8" s="87">
        <f>IF($E8="BS",AO8,SUM(AD8:AO8))</f>
        <v>0</v>
      </c>
    </row>
    <row r="9" spans="1:44" ht="11.25" customHeight="1" x14ac:dyDescent="0.2">
      <c r="A9" s="88" t="s">
        <v>172</v>
      </c>
      <c r="B9" s="104"/>
      <c r="E9" s="88" t="s">
        <v>416</v>
      </c>
      <c r="F9" s="88" t="s">
        <v>373</v>
      </c>
      <c r="G9" s="88" t="s">
        <v>418</v>
      </c>
      <c r="H9" s="88" t="s">
        <v>168</v>
      </c>
      <c r="I9" s="88" t="s">
        <v>168</v>
      </c>
      <c r="J9" s="88" t="s">
        <v>172</v>
      </c>
      <c r="K9" s="87">
        <v>0</v>
      </c>
      <c r="L9" s="87">
        <v>0</v>
      </c>
      <c r="M9" s="87">
        <v>0</v>
      </c>
      <c r="N9" s="87">
        <v>5.2520000000000004E-2</v>
      </c>
      <c r="O9" s="87">
        <v>5.2520000000000004E-2</v>
      </c>
      <c r="P9" s="87">
        <v>5.2520000000000004E-2</v>
      </c>
      <c r="Q9" s="87">
        <v>5.2520000000000004E-2</v>
      </c>
      <c r="R9" s="87">
        <v>5.2520000000000004E-2</v>
      </c>
      <c r="S9" s="87">
        <v>5.2520000000000004E-2</v>
      </c>
      <c r="T9" s="87">
        <v>5.2520000000000004E-2</v>
      </c>
      <c r="U9" s="87">
        <v>5.2520000000000004E-2</v>
      </c>
      <c r="V9" s="87">
        <v>5.2520000000000004E-2</v>
      </c>
      <c r="W9" s="87">
        <v>5.2520000000000004E-2</v>
      </c>
      <c r="X9" s="87">
        <v>5.2520000000000004E-2</v>
      </c>
      <c r="Y9" s="87">
        <v>5.2520000000000004E-2</v>
      </c>
      <c r="Z9" s="87">
        <v>5.2520000000000004E-2</v>
      </c>
      <c r="AA9" s="87">
        <v>5.2520000000000004E-2</v>
      </c>
      <c r="AB9" s="87">
        <v>5.2520000000000004E-2</v>
      </c>
      <c r="AC9" s="87">
        <v>5.2520000000000004E-2</v>
      </c>
      <c r="AD9" s="87">
        <v>5.2520000000000004E-2</v>
      </c>
      <c r="AE9" s="87">
        <v>5.2520000000000004E-2</v>
      </c>
      <c r="AF9" s="87">
        <v>5.2520000000000004E-2</v>
      </c>
      <c r="AG9" s="87">
        <v>5.2520000000000004E-2</v>
      </c>
      <c r="AH9" s="87">
        <v>5.2520000000000004E-2</v>
      </c>
      <c r="AI9" s="87">
        <v>5.2520000000000004E-2</v>
      </c>
      <c r="AJ9" s="87">
        <v>5.2520000000000004E-2</v>
      </c>
      <c r="AK9" s="87">
        <v>5.2520000000000004E-2</v>
      </c>
      <c r="AL9" s="87">
        <v>5.2520000000000004E-2</v>
      </c>
      <c r="AM9" s="87">
        <v>5.2520000000000004E-2</v>
      </c>
      <c r="AN9" s="87">
        <v>5.2520000000000004E-2</v>
      </c>
      <c r="AO9" s="87">
        <v>5.2520000000000004E-2</v>
      </c>
      <c r="AP9" s="87">
        <f>IF($E9="BS",V9,SUM(K9:V9))</f>
        <v>5.2520000000000004E-2</v>
      </c>
      <c r="AQ9" s="87">
        <f>IF($E9="BS",AH9,SUM(W9:AH9))</f>
        <v>5.2520000000000004E-2</v>
      </c>
      <c r="AR9" s="87">
        <f>IF($E9="BS",AO9,SUM(AD9:AO9))</f>
        <v>5.2520000000000004E-2</v>
      </c>
    </row>
    <row r="10" spans="1:44" ht="11.25" customHeight="1" x14ac:dyDescent="0.2">
      <c r="A10" s="88" t="s">
        <v>174</v>
      </c>
      <c r="B10" s="104"/>
      <c r="E10" s="88" t="s">
        <v>416</v>
      </c>
      <c r="F10" s="88" t="s">
        <v>373</v>
      </c>
      <c r="G10" s="88" t="s">
        <v>418</v>
      </c>
      <c r="H10" s="88" t="s">
        <v>168</v>
      </c>
      <c r="I10" s="88" t="s">
        <v>168</v>
      </c>
      <c r="J10" s="88" t="s">
        <v>174</v>
      </c>
      <c r="K10" s="87">
        <v>0.3</v>
      </c>
      <c r="L10" s="87">
        <v>0.3</v>
      </c>
      <c r="M10" s="87">
        <v>0.3</v>
      </c>
      <c r="N10" s="87">
        <v>0.3</v>
      </c>
      <c r="O10" s="87">
        <v>0.3</v>
      </c>
      <c r="P10" s="87">
        <v>0.3</v>
      </c>
      <c r="Q10" s="87">
        <v>0.3</v>
      </c>
      <c r="R10" s="87">
        <v>0.3</v>
      </c>
      <c r="S10" s="87">
        <v>0.3</v>
      </c>
      <c r="T10" s="87">
        <v>0.3</v>
      </c>
      <c r="U10" s="87">
        <v>0.3</v>
      </c>
      <c r="V10" s="87">
        <v>0.3</v>
      </c>
      <c r="W10" s="87">
        <v>0.3</v>
      </c>
      <c r="X10" s="87">
        <v>0.3</v>
      </c>
      <c r="Y10" s="87">
        <v>0.3</v>
      </c>
      <c r="Z10" s="87">
        <v>0.3</v>
      </c>
      <c r="AA10" s="87">
        <v>0.3</v>
      </c>
      <c r="AB10" s="87">
        <v>2.9390000000000001</v>
      </c>
      <c r="AC10" s="87">
        <v>2.9390000000000001</v>
      </c>
      <c r="AD10" s="87">
        <v>2.9390000000000001</v>
      </c>
      <c r="AE10" s="87">
        <v>2.9390000000000001</v>
      </c>
      <c r="AF10" s="87">
        <v>2.9390000000000001</v>
      </c>
      <c r="AG10" s="87">
        <v>2.9390000000000001</v>
      </c>
      <c r="AH10" s="87">
        <v>2.9390000000000001</v>
      </c>
      <c r="AI10" s="87">
        <v>2.9390000000000001</v>
      </c>
      <c r="AJ10" s="87">
        <v>2.9390000000000001</v>
      </c>
      <c r="AK10" s="87">
        <v>2.9390000000000001</v>
      </c>
      <c r="AL10" s="87">
        <v>2.9390000000000001</v>
      </c>
      <c r="AM10" s="87">
        <v>2.9390000000000001</v>
      </c>
      <c r="AN10" s="87">
        <v>2.9390000000000001</v>
      </c>
      <c r="AO10" s="87">
        <v>2.9390000000000001</v>
      </c>
      <c r="AP10" s="87">
        <f>IF($E10="BS",V10,SUM(K10:V10))</f>
        <v>0.3</v>
      </c>
      <c r="AQ10" s="87">
        <f>IF($E10="BS",AH10,SUM(W10:AH10))</f>
        <v>2.9390000000000001</v>
      </c>
      <c r="AR10" s="87">
        <f>IF($E10="BS",AO10,SUM(AD10:AO10))</f>
        <v>2.9390000000000001</v>
      </c>
    </row>
    <row r="11" spans="1:44" ht="11.25" customHeight="1" x14ac:dyDescent="0.2">
      <c r="A11" s="88" t="s">
        <v>167</v>
      </c>
      <c r="B11" s="104"/>
      <c r="E11" s="88" t="s">
        <v>416</v>
      </c>
      <c r="F11" s="88" t="s">
        <v>373</v>
      </c>
      <c r="G11" s="88" t="s">
        <v>418</v>
      </c>
      <c r="H11" s="88" t="s">
        <v>188</v>
      </c>
      <c r="I11" s="88" t="s">
        <v>188</v>
      </c>
      <c r="J11" s="88" t="s">
        <v>167</v>
      </c>
      <c r="K11" s="87">
        <v>0</v>
      </c>
      <c r="L11" s="87">
        <v>0</v>
      </c>
      <c r="M11" s="87">
        <v>0</v>
      </c>
      <c r="N11" s="87">
        <v>0</v>
      </c>
      <c r="O11" s="87">
        <v>0</v>
      </c>
      <c r="P11" s="87">
        <v>0</v>
      </c>
      <c r="Q11" s="87">
        <v>0</v>
      </c>
      <c r="R11" s="87">
        <v>0</v>
      </c>
      <c r="S11" s="87">
        <v>-5</v>
      </c>
      <c r="T11" s="87">
        <v>-5</v>
      </c>
      <c r="U11" s="87">
        <v>-5</v>
      </c>
      <c r="V11" s="87">
        <v>-5</v>
      </c>
      <c r="W11" s="87">
        <v>0</v>
      </c>
      <c r="X11" s="87">
        <v>0</v>
      </c>
      <c r="Y11" s="87">
        <v>0</v>
      </c>
      <c r="Z11" s="87">
        <v>0</v>
      </c>
      <c r="AA11" s="87">
        <v>0</v>
      </c>
      <c r="AB11" s="87">
        <v>0</v>
      </c>
      <c r="AC11" s="87">
        <v>0</v>
      </c>
      <c r="AD11" s="87">
        <v>0</v>
      </c>
      <c r="AE11" s="87">
        <v>0</v>
      </c>
      <c r="AF11" s="87">
        <v>0</v>
      </c>
      <c r="AG11" s="87">
        <v>0</v>
      </c>
      <c r="AH11" s="87">
        <v>0</v>
      </c>
      <c r="AI11" s="87">
        <v>0</v>
      </c>
      <c r="AJ11" s="87">
        <v>0</v>
      </c>
      <c r="AK11" s="87">
        <v>0</v>
      </c>
      <c r="AL11" s="87">
        <v>0</v>
      </c>
      <c r="AM11" s="87">
        <v>0</v>
      </c>
      <c r="AN11" s="87">
        <v>0</v>
      </c>
      <c r="AO11" s="87">
        <v>0</v>
      </c>
      <c r="AP11" s="87">
        <f>IF($E11="BS",V11,SUM(K11:V11))</f>
        <v>-5</v>
      </c>
      <c r="AQ11" s="87">
        <f>IF($E11="BS",AH11,SUM(W11:AH11))</f>
        <v>0</v>
      </c>
      <c r="AR11" s="87">
        <f>IF($E11="BS",AO11,SUM(AD11:AO11))</f>
        <v>0</v>
      </c>
    </row>
    <row r="12" spans="1:44" ht="11.25" customHeight="1" x14ac:dyDescent="0.2">
      <c r="A12" s="88" t="s">
        <v>352</v>
      </c>
      <c r="B12" s="104"/>
      <c r="E12" s="88" t="s">
        <v>416</v>
      </c>
      <c r="F12" s="88" t="s">
        <v>373</v>
      </c>
      <c r="G12" s="88" t="s">
        <v>344</v>
      </c>
      <c r="H12" s="88" t="s">
        <v>345</v>
      </c>
      <c r="I12" s="88" t="s">
        <v>345</v>
      </c>
      <c r="J12" s="88" t="s">
        <v>352</v>
      </c>
      <c r="K12" s="87">
        <v>-187.179</v>
      </c>
      <c r="L12" s="87">
        <v>-187.179</v>
      </c>
      <c r="M12" s="87">
        <v>-187.179</v>
      </c>
      <c r="N12" s="87">
        <v>-187.179</v>
      </c>
      <c r="O12" s="87">
        <v>-187.179</v>
      </c>
      <c r="P12" s="87">
        <v>-187.179</v>
      </c>
      <c r="Q12" s="87">
        <v>-187.179</v>
      </c>
      <c r="R12" s="87">
        <v>-187.179</v>
      </c>
      <c r="S12" s="87">
        <v>-187.179</v>
      </c>
      <c r="T12" s="87">
        <v>-187.179</v>
      </c>
      <c r="U12" s="87">
        <v>-187.179</v>
      </c>
      <c r="V12" s="87">
        <v>-191.62700000000001</v>
      </c>
      <c r="W12" s="87">
        <v>-191.62700000000001</v>
      </c>
      <c r="X12" s="87">
        <v>-191.62700000000001</v>
      </c>
      <c r="Y12" s="87">
        <v>-191.62700000000001</v>
      </c>
      <c r="Z12" s="87">
        <v>-191.62700000000001</v>
      </c>
      <c r="AA12" s="87">
        <v>-191.62700000000001</v>
      </c>
      <c r="AB12" s="87">
        <v>-191.62700000000001</v>
      </c>
      <c r="AC12" s="87">
        <v>-191.62700000000001</v>
      </c>
      <c r="AD12" s="87">
        <v>-191.62700000000001</v>
      </c>
      <c r="AE12" s="87">
        <v>-191.62700000000001</v>
      </c>
      <c r="AF12" s="87">
        <v>-198.09301000000002</v>
      </c>
      <c r="AG12" s="87">
        <v>-198.09301000000002</v>
      </c>
      <c r="AH12" s="87">
        <v>-195.143</v>
      </c>
      <c r="AI12" s="87">
        <v>-195.143</v>
      </c>
      <c r="AJ12" s="87">
        <v>-195.143</v>
      </c>
      <c r="AK12" s="87">
        <v>-195.143</v>
      </c>
      <c r="AL12" s="87">
        <v>-195.143</v>
      </c>
      <c r="AM12" s="87">
        <v>-195.143</v>
      </c>
      <c r="AN12" s="87">
        <v>-195.143</v>
      </c>
      <c r="AO12" s="87">
        <v>-195.143</v>
      </c>
      <c r="AP12" s="87">
        <f>IF($E12="BS",V12,SUM(K12:V12))</f>
        <v>-191.62700000000001</v>
      </c>
      <c r="AQ12" s="87">
        <f>IF($E12="BS",AH12,SUM(W12:AH12))</f>
        <v>-195.143</v>
      </c>
      <c r="AR12" s="87">
        <f>IF($E12="BS",AO12,SUM(AD12:AO12))</f>
        <v>-195.143</v>
      </c>
    </row>
    <row r="13" spans="1:44" ht="11.25" customHeight="1" x14ac:dyDescent="0.2">
      <c r="A13" s="88" t="s">
        <v>353</v>
      </c>
      <c r="B13" s="104"/>
      <c r="E13" s="88" t="s">
        <v>416</v>
      </c>
      <c r="F13" s="88" t="s">
        <v>373</v>
      </c>
      <c r="G13" s="88" t="s">
        <v>344</v>
      </c>
      <c r="H13" s="88" t="s">
        <v>346</v>
      </c>
      <c r="I13" s="88" t="s">
        <v>346</v>
      </c>
      <c r="J13" s="88" t="s">
        <v>353</v>
      </c>
      <c r="K13" s="87">
        <v>15.13109</v>
      </c>
      <c r="L13" s="87">
        <v>15.13109</v>
      </c>
      <c r="M13" s="87">
        <v>15.13109</v>
      </c>
      <c r="N13" s="87">
        <v>15.13109</v>
      </c>
      <c r="O13" s="87">
        <v>15.13109</v>
      </c>
      <c r="P13" s="87">
        <v>15.13109</v>
      </c>
      <c r="Q13" s="87">
        <v>15.13109</v>
      </c>
      <c r="R13" s="87">
        <v>15.13109</v>
      </c>
      <c r="S13" s="87">
        <v>15.13109</v>
      </c>
      <c r="T13" s="87">
        <v>15.13109</v>
      </c>
      <c r="U13" s="87">
        <v>15.13109</v>
      </c>
      <c r="V13" s="87">
        <v>15.13109</v>
      </c>
      <c r="W13" s="87">
        <v>15.13109</v>
      </c>
      <c r="X13" s="87">
        <v>15.13109</v>
      </c>
      <c r="Y13" s="87">
        <v>15.13109</v>
      </c>
      <c r="Z13" s="87">
        <v>15.13109</v>
      </c>
      <c r="AA13" s="87">
        <v>15.13109</v>
      </c>
      <c r="AB13" s="87">
        <v>15.13109</v>
      </c>
      <c r="AC13" s="87">
        <v>15.13109</v>
      </c>
      <c r="AD13" s="87">
        <v>15.13109</v>
      </c>
      <c r="AE13" s="87">
        <v>15.13109</v>
      </c>
      <c r="AF13" s="87">
        <v>15.13109</v>
      </c>
      <c r="AG13" s="87">
        <v>15.13109</v>
      </c>
      <c r="AH13" s="87">
        <v>15.13109</v>
      </c>
      <c r="AI13" s="87">
        <v>15.13109</v>
      </c>
      <c r="AJ13" s="87">
        <v>15.13109</v>
      </c>
      <c r="AK13" s="87">
        <v>15.13109</v>
      </c>
      <c r="AL13" s="87">
        <v>15.13109</v>
      </c>
      <c r="AM13" s="87">
        <v>15.13109</v>
      </c>
      <c r="AN13" s="87">
        <v>15.13109</v>
      </c>
      <c r="AO13" s="87">
        <v>15.13109</v>
      </c>
      <c r="AP13" s="87">
        <f>IF($E13="BS",V13,SUM(K13:V13))</f>
        <v>15.13109</v>
      </c>
      <c r="AQ13" s="87">
        <f>IF($E13="BS",AH13,SUM(W13:AH13))</f>
        <v>15.13109</v>
      </c>
      <c r="AR13" s="87">
        <f>IF($E13="BS",AO13,SUM(AD13:AO13))</f>
        <v>15.13109</v>
      </c>
    </row>
    <row r="14" spans="1:44" ht="11.25" customHeight="1" x14ac:dyDescent="0.2">
      <c r="A14" s="88" t="s">
        <v>354</v>
      </c>
      <c r="B14" s="104"/>
      <c r="E14" s="88" t="s">
        <v>416</v>
      </c>
      <c r="F14" s="88" t="s">
        <v>373</v>
      </c>
      <c r="G14" s="88" t="s">
        <v>344</v>
      </c>
      <c r="H14" s="88" t="s">
        <v>346</v>
      </c>
      <c r="I14" s="88" t="s">
        <v>346</v>
      </c>
      <c r="J14" s="88" t="s">
        <v>354</v>
      </c>
      <c r="K14" s="87">
        <v>40.617899999999999</v>
      </c>
      <c r="L14" s="87">
        <v>40.617899999999999</v>
      </c>
      <c r="M14" s="87">
        <v>40.617899999999999</v>
      </c>
      <c r="N14" s="87">
        <v>40.617899999999999</v>
      </c>
      <c r="O14" s="87">
        <v>40.617899999999999</v>
      </c>
      <c r="P14" s="87">
        <v>40.617899999999999</v>
      </c>
      <c r="Q14" s="87">
        <v>40.617899999999999</v>
      </c>
      <c r="R14" s="87">
        <v>40.617899999999999</v>
      </c>
      <c r="S14" s="87">
        <v>40.617899999999999</v>
      </c>
      <c r="T14" s="87">
        <v>40.617899999999999</v>
      </c>
      <c r="U14" s="87">
        <v>40.617899999999999</v>
      </c>
      <c r="V14" s="87">
        <v>40.617899999999999</v>
      </c>
      <c r="W14" s="87">
        <v>40.617899999999999</v>
      </c>
      <c r="X14" s="87">
        <v>40.617899999999999</v>
      </c>
      <c r="Y14" s="87">
        <v>40.617899999999999</v>
      </c>
      <c r="Z14" s="87">
        <v>40.617899999999999</v>
      </c>
      <c r="AA14" s="87">
        <v>40.617899999999999</v>
      </c>
      <c r="AB14" s="87">
        <v>40.617899999999999</v>
      </c>
      <c r="AC14" s="87">
        <v>40.617899999999999</v>
      </c>
      <c r="AD14" s="87">
        <v>40.617899999999999</v>
      </c>
      <c r="AE14" s="87">
        <v>40.617899999999999</v>
      </c>
      <c r="AF14" s="87">
        <v>40.617899999999999</v>
      </c>
      <c r="AG14" s="87">
        <v>40.617899999999999</v>
      </c>
      <c r="AH14" s="87">
        <v>40.617899999999999</v>
      </c>
      <c r="AI14" s="87">
        <v>40.617899999999999</v>
      </c>
      <c r="AJ14" s="87">
        <v>40.617899999999999</v>
      </c>
      <c r="AK14" s="87">
        <v>40.617899999999999</v>
      </c>
      <c r="AL14" s="87">
        <v>40.617899999999999</v>
      </c>
      <c r="AM14" s="87">
        <v>40.617899999999999</v>
      </c>
      <c r="AN14" s="87">
        <v>40.617899999999999</v>
      </c>
      <c r="AO14" s="87">
        <v>40.617899999999999</v>
      </c>
      <c r="AP14" s="87">
        <f>IF($E14="BS",V14,SUM(K14:V14))</f>
        <v>40.617899999999999</v>
      </c>
      <c r="AQ14" s="87">
        <f>IF($E14="BS",AH14,SUM(W14:AH14))</f>
        <v>40.617899999999999</v>
      </c>
      <c r="AR14" s="87">
        <f>IF($E14="BS",AO14,SUM(AD14:AO14))</f>
        <v>40.617899999999999</v>
      </c>
    </row>
    <row r="15" spans="1:44" ht="11.25" customHeight="1" x14ac:dyDescent="0.2">
      <c r="A15" s="88" t="s">
        <v>355</v>
      </c>
      <c r="B15" s="104"/>
      <c r="E15" s="88" t="s">
        <v>416</v>
      </c>
      <c r="F15" s="88" t="s">
        <v>373</v>
      </c>
      <c r="G15" s="88" t="s">
        <v>344</v>
      </c>
      <c r="H15" s="88" t="s">
        <v>346</v>
      </c>
      <c r="I15" s="88" t="s">
        <v>346</v>
      </c>
      <c r="J15" s="88" t="s">
        <v>355</v>
      </c>
      <c r="K15" s="87">
        <v>144.28984</v>
      </c>
      <c r="L15" s="87">
        <v>144.28984</v>
      </c>
      <c r="M15" s="87">
        <v>144.28984</v>
      </c>
      <c r="N15" s="87">
        <v>144.28984</v>
      </c>
      <c r="O15" s="87">
        <v>144.28984</v>
      </c>
      <c r="P15" s="87">
        <v>144.28984</v>
      </c>
      <c r="Q15" s="87">
        <v>144.28984</v>
      </c>
      <c r="R15" s="87">
        <v>144.28984</v>
      </c>
      <c r="S15" s="87">
        <v>144.28984</v>
      </c>
      <c r="T15" s="87">
        <v>144.28984</v>
      </c>
      <c r="U15" s="87">
        <v>144.28984</v>
      </c>
      <c r="V15" s="87">
        <v>144.28984</v>
      </c>
      <c r="W15" s="87">
        <v>144.28984</v>
      </c>
      <c r="X15" s="87">
        <v>144.28984</v>
      </c>
      <c r="Y15" s="87">
        <v>144.28984</v>
      </c>
      <c r="Z15" s="87">
        <v>144.28984</v>
      </c>
      <c r="AA15" s="87">
        <v>144.28984</v>
      </c>
      <c r="AB15" s="87">
        <v>144.28984</v>
      </c>
      <c r="AC15" s="87">
        <v>150.75585000000001</v>
      </c>
      <c r="AD15" s="87">
        <v>150.75585000000001</v>
      </c>
      <c r="AE15" s="87">
        <v>150.75585000000001</v>
      </c>
      <c r="AF15" s="87">
        <v>150.75585000000001</v>
      </c>
      <c r="AG15" s="87">
        <v>152.05056999999999</v>
      </c>
      <c r="AH15" s="87">
        <v>144.28984</v>
      </c>
      <c r="AI15" s="87">
        <v>144.28984</v>
      </c>
      <c r="AJ15" s="87">
        <v>144.28984</v>
      </c>
      <c r="AK15" s="87">
        <v>144.28984</v>
      </c>
      <c r="AL15" s="87">
        <v>144.28984</v>
      </c>
      <c r="AM15" s="87">
        <v>144.28984</v>
      </c>
      <c r="AN15" s="87">
        <v>144.28984</v>
      </c>
      <c r="AO15" s="87">
        <v>144.28984</v>
      </c>
      <c r="AP15" s="87">
        <f>IF($E15="BS",V15,SUM(K15:V15))</f>
        <v>144.28984</v>
      </c>
      <c r="AQ15" s="87">
        <f>IF($E15="BS",AH15,SUM(W15:AH15))</f>
        <v>144.28984</v>
      </c>
      <c r="AR15" s="87">
        <f>IF($E15="BS",AO15,SUM(AD15:AO15))</f>
        <v>144.28984</v>
      </c>
    </row>
    <row r="16" spans="1:44" ht="11.25" customHeight="1" x14ac:dyDescent="0.2">
      <c r="A16" s="88" t="s">
        <v>164</v>
      </c>
      <c r="B16" s="104"/>
      <c r="E16" s="88" t="s">
        <v>416</v>
      </c>
      <c r="F16" s="88" t="s">
        <v>372</v>
      </c>
      <c r="G16" s="88" t="s">
        <v>417</v>
      </c>
      <c r="H16" s="88" t="s">
        <v>187</v>
      </c>
      <c r="I16" s="88" t="s">
        <v>187</v>
      </c>
      <c r="J16" s="88" t="s">
        <v>164</v>
      </c>
      <c r="K16" s="87">
        <v>-102.97868</v>
      </c>
      <c r="L16" s="87">
        <v>-125.28341999999999</v>
      </c>
      <c r="M16" s="87">
        <v>-176.99108999999999</v>
      </c>
      <c r="N16" s="87">
        <v>-66.261679999999998</v>
      </c>
      <c r="O16" s="87">
        <v>-116.23258</v>
      </c>
      <c r="P16" s="87">
        <v>-121.51022999999999</v>
      </c>
      <c r="Q16" s="87">
        <v>-187.83073000000002</v>
      </c>
      <c r="R16" s="87">
        <v>-127.91239999999999</v>
      </c>
      <c r="S16" s="87">
        <v>70.614460000000008</v>
      </c>
      <c r="T16" s="87">
        <v>35.702379999999998</v>
      </c>
      <c r="U16" s="87">
        <v>-175.42123999999998</v>
      </c>
      <c r="V16" s="87">
        <v>0</v>
      </c>
      <c r="W16" s="87">
        <v>-57.586829999999999</v>
      </c>
      <c r="X16" s="87">
        <v>-5.61409</v>
      </c>
      <c r="Y16" s="87">
        <v>-95.67886</v>
      </c>
      <c r="Z16" s="87">
        <v>-10.043340000000001</v>
      </c>
      <c r="AA16" s="87">
        <v>-131.57436999999999</v>
      </c>
      <c r="AB16" s="87">
        <v>-51.048589999999997</v>
      </c>
      <c r="AC16" s="87">
        <v>-118.19169000000001</v>
      </c>
      <c r="AD16" s="87">
        <v>-169.12200000000001</v>
      </c>
      <c r="AE16" s="87">
        <v>-118.87128999999999</v>
      </c>
      <c r="AF16" s="87">
        <v>-222.63320000000002</v>
      </c>
      <c r="AG16" s="87">
        <v>-96.150399999999991</v>
      </c>
      <c r="AH16" s="87">
        <v>-66.373259999999988</v>
      </c>
      <c r="AI16" s="87">
        <v>-111.65541999999999</v>
      </c>
      <c r="AJ16" s="87">
        <v>-144.52427</v>
      </c>
      <c r="AK16" s="87">
        <v>-237.55035999999998</v>
      </c>
      <c r="AL16" s="87">
        <v>-57.762129999999999</v>
      </c>
      <c r="AM16" s="87">
        <v>-154.90525</v>
      </c>
      <c r="AN16" s="87">
        <v>-105.925</v>
      </c>
      <c r="AO16" s="87">
        <v>-95.755990000000011</v>
      </c>
      <c r="AP16" s="87">
        <f>IF($E16="BS",V16,SUM(K16:V16))</f>
        <v>0</v>
      </c>
      <c r="AQ16" s="87">
        <f>IF($E16="BS",AH16,SUM(W16:AH16))</f>
        <v>-66.373259999999988</v>
      </c>
      <c r="AR16" s="87">
        <f>IF($E16="BS",AO16,SUM(AD16:AO16))</f>
        <v>-95.755990000000011</v>
      </c>
    </row>
    <row r="17" spans="1:44" ht="11.25" customHeight="1" x14ac:dyDescent="0.2">
      <c r="A17" s="88" t="s">
        <v>151</v>
      </c>
      <c r="B17" s="104"/>
      <c r="E17" s="88" t="s">
        <v>416</v>
      </c>
      <c r="F17" s="88" t="s">
        <v>372</v>
      </c>
      <c r="G17" s="88" t="s">
        <v>417</v>
      </c>
      <c r="H17" s="88" t="s">
        <v>150</v>
      </c>
      <c r="I17" s="88" t="s">
        <v>150</v>
      </c>
      <c r="J17" s="88" t="s">
        <v>151</v>
      </c>
      <c r="K17" s="87">
        <v>-4.9988900000000003</v>
      </c>
      <c r="L17" s="87">
        <v>-11.54903</v>
      </c>
      <c r="M17" s="87">
        <v>-0.10635</v>
      </c>
      <c r="N17" s="87">
        <v>-5.72126</v>
      </c>
      <c r="O17" s="87">
        <v>-1.63473</v>
      </c>
      <c r="P17" s="87">
        <v>-1.6259700000000001</v>
      </c>
      <c r="Q17" s="87">
        <v>-2.9461200000000001</v>
      </c>
      <c r="R17" s="87">
        <v>-1.3489899999999999</v>
      </c>
      <c r="S17" s="87">
        <v>-0.21380000000000002</v>
      </c>
      <c r="T17" s="87">
        <v>-0.66918</v>
      </c>
      <c r="U17" s="87">
        <v>-5.4251300000000002</v>
      </c>
      <c r="V17" s="87">
        <v>-5.6001400000000006</v>
      </c>
      <c r="W17" s="87">
        <v>-4.8886799999999999</v>
      </c>
      <c r="X17" s="87">
        <v>-1.1119000000000001</v>
      </c>
      <c r="Y17" s="87">
        <v>-5.43933</v>
      </c>
      <c r="Z17" s="87">
        <v>-3.8437899999999998</v>
      </c>
      <c r="AA17" s="87">
        <v>-0.43463999999999997</v>
      </c>
      <c r="AB17" s="87">
        <v>-5.4978899999999999</v>
      </c>
      <c r="AC17" s="87">
        <v>-4.1983300000000003</v>
      </c>
      <c r="AD17" s="87">
        <v>-4.02806</v>
      </c>
      <c r="AE17" s="87">
        <v>0</v>
      </c>
      <c r="AF17" s="87">
        <v>-3.4602199999999996</v>
      </c>
      <c r="AG17" s="87">
        <v>-4.3994300000000006</v>
      </c>
      <c r="AH17" s="87">
        <v>-3.9042500000000002</v>
      </c>
      <c r="AI17" s="87">
        <v>-3.98306</v>
      </c>
      <c r="AJ17" s="87">
        <v>-2.3029799999999998</v>
      </c>
      <c r="AK17" s="87">
        <v>-3.4098800000000002</v>
      </c>
      <c r="AL17" s="87">
        <v>-5.76356</v>
      </c>
      <c r="AM17" s="87">
        <v>-3.0628200000000003</v>
      </c>
      <c r="AN17" s="87">
        <v>-3.1991900000000002</v>
      </c>
      <c r="AO17" s="87">
        <v>-4.8542200000000006</v>
      </c>
      <c r="AP17" s="87">
        <f>IF($E17="BS",V17,SUM(K17:V17))</f>
        <v>-5.6001400000000006</v>
      </c>
      <c r="AQ17" s="87">
        <f>IF($E17="BS",AH17,SUM(W17:AH17))</f>
        <v>-3.9042500000000002</v>
      </c>
      <c r="AR17" s="87">
        <f>IF($E17="BS",AO17,SUM(AD17:AO17))</f>
        <v>-4.8542200000000006</v>
      </c>
    </row>
    <row r="18" spans="1:44" ht="11.25" customHeight="1" x14ac:dyDescent="0.2">
      <c r="A18" s="88" t="s">
        <v>153</v>
      </c>
      <c r="B18" s="104"/>
      <c r="E18" s="88" t="s">
        <v>416</v>
      </c>
      <c r="F18" s="88" t="s">
        <v>372</v>
      </c>
      <c r="G18" s="88" t="s">
        <v>417</v>
      </c>
      <c r="H18" s="88" t="s">
        <v>152</v>
      </c>
      <c r="I18" s="88" t="s">
        <v>152</v>
      </c>
      <c r="J18" s="88" t="s">
        <v>153</v>
      </c>
      <c r="K18" s="87">
        <v>-8.0588800000000003</v>
      </c>
      <c r="L18" s="87">
        <v>-8.8410200000000003</v>
      </c>
      <c r="M18" s="87">
        <v>-8.8410200000000003</v>
      </c>
      <c r="N18" s="87">
        <v>-8.8810200000000012</v>
      </c>
      <c r="O18" s="87">
        <v>-8.7560200000000012</v>
      </c>
      <c r="P18" s="87">
        <v>-8.7560200000000012</v>
      </c>
      <c r="Q18" s="87">
        <v>-8.2840799999999994</v>
      </c>
      <c r="R18" s="87">
        <v>-8.2840799999999994</v>
      </c>
      <c r="S18" s="87">
        <v>-6.2965799999999996</v>
      </c>
      <c r="T18" s="87">
        <v>-9.0425799999999992</v>
      </c>
      <c r="U18" s="87">
        <v>-9.0425799999999992</v>
      </c>
      <c r="V18" s="87">
        <v>-34.044519999999999</v>
      </c>
      <c r="W18" s="87">
        <v>-9.0425799999999992</v>
      </c>
      <c r="X18" s="87">
        <v>-9.2625799999999998</v>
      </c>
      <c r="Y18" s="87">
        <v>-9.2625799999999998</v>
      </c>
      <c r="Z18" s="87">
        <v>-9.2701100000000007</v>
      </c>
      <c r="AA18" s="87">
        <v>-9.2701100000000007</v>
      </c>
      <c r="AB18" s="87">
        <v>-9.2625799999999998</v>
      </c>
      <c r="AC18" s="87">
        <v>-9.2701100000000007</v>
      </c>
      <c r="AD18" s="87">
        <v>-9.2701100000000007</v>
      </c>
      <c r="AE18" s="87">
        <v>-9.2701100000000007</v>
      </c>
      <c r="AF18" s="87">
        <v>-9.3978400000000004</v>
      </c>
      <c r="AG18" s="87">
        <v>-7.6471599999999995</v>
      </c>
      <c r="AH18" s="87">
        <v>-7.9801599999999997</v>
      </c>
      <c r="AI18" s="87">
        <v>-8.0094200000000004</v>
      </c>
      <c r="AJ18" s="87">
        <v>-8.0094200000000004</v>
      </c>
      <c r="AK18" s="87">
        <v>-17.013450000000002</v>
      </c>
      <c r="AL18" s="87">
        <v>-8.5094200000000004</v>
      </c>
      <c r="AM18" s="87">
        <v>-8.3867199999999986</v>
      </c>
      <c r="AN18" s="87">
        <v>-8.3867199999999986</v>
      </c>
      <c r="AO18" s="87">
        <v>0</v>
      </c>
      <c r="AP18" s="87">
        <f>IF($E18="BS",V18,SUM(K18:V18))</f>
        <v>-34.044519999999999</v>
      </c>
      <c r="AQ18" s="87">
        <f>IF($E18="BS",AH18,SUM(W18:AH18))</f>
        <v>-7.9801599999999997</v>
      </c>
      <c r="AR18" s="87">
        <f>IF($E18="BS",AO18,SUM(AD18:AO18))</f>
        <v>0</v>
      </c>
    </row>
    <row r="19" spans="1:44" ht="11.25" customHeight="1" x14ac:dyDescent="0.2">
      <c r="A19" s="88" t="s">
        <v>155</v>
      </c>
      <c r="B19" s="104"/>
      <c r="E19" s="88" t="s">
        <v>416</v>
      </c>
      <c r="F19" s="88" t="s">
        <v>372</v>
      </c>
      <c r="G19" s="88" t="s">
        <v>417</v>
      </c>
      <c r="H19" s="88" t="s">
        <v>152</v>
      </c>
      <c r="I19" s="88" t="s">
        <v>152</v>
      </c>
      <c r="J19" s="88" t="s">
        <v>155</v>
      </c>
      <c r="K19" s="87">
        <v>-48.5</v>
      </c>
      <c r="L19" s="87">
        <v>-97</v>
      </c>
      <c r="M19" s="87">
        <v>-145.5</v>
      </c>
      <c r="N19" s="87">
        <v>-194</v>
      </c>
      <c r="O19" s="87">
        <v>-242.5</v>
      </c>
      <c r="P19" s="87">
        <v>-291</v>
      </c>
      <c r="Q19" s="87">
        <v>-339.5</v>
      </c>
      <c r="R19" s="87">
        <v>-388</v>
      </c>
      <c r="S19" s="87">
        <v>-436.5</v>
      </c>
      <c r="T19" s="87">
        <v>-485</v>
      </c>
      <c r="U19" s="87">
        <v>-533.5</v>
      </c>
      <c r="V19" s="87">
        <v>0</v>
      </c>
      <c r="W19" s="87">
        <v>-51.25</v>
      </c>
      <c r="X19" s="87">
        <v>-102.5</v>
      </c>
      <c r="Y19" s="87">
        <v>-153.75</v>
      </c>
      <c r="Z19" s="87">
        <v>-205</v>
      </c>
      <c r="AA19" s="87">
        <v>-256.25</v>
      </c>
      <c r="AB19" s="87">
        <v>-307.5</v>
      </c>
      <c r="AC19" s="87">
        <v>-358.75</v>
      </c>
      <c r="AD19" s="87">
        <v>-410</v>
      </c>
      <c r="AE19" s="87">
        <v>-461.25</v>
      </c>
      <c r="AF19" s="87">
        <v>0</v>
      </c>
      <c r="AG19" s="87">
        <v>0</v>
      </c>
      <c r="AH19" s="87">
        <v>0</v>
      </c>
      <c r="AI19" s="87">
        <v>0</v>
      </c>
      <c r="AJ19" s="87">
        <v>-102.5</v>
      </c>
      <c r="AK19" s="87">
        <v>-153.75</v>
      </c>
      <c r="AL19" s="87">
        <v>-205</v>
      </c>
      <c r="AM19" s="87">
        <v>-256.25</v>
      </c>
      <c r="AN19" s="87">
        <v>-307.5</v>
      </c>
      <c r="AO19" s="87">
        <v>-358.75</v>
      </c>
      <c r="AP19" s="87">
        <f>IF($E19="BS",V19,SUM(K19:V19))</f>
        <v>0</v>
      </c>
      <c r="AQ19" s="87">
        <f>IF($E19="BS",AH19,SUM(W19:AH19))</f>
        <v>0</v>
      </c>
      <c r="AR19" s="87">
        <f>IF($E19="BS",AO19,SUM(AD19:AO19))</f>
        <v>-358.75</v>
      </c>
    </row>
    <row r="20" spans="1:44" ht="11.25" customHeight="1" x14ac:dyDescent="0.2">
      <c r="A20" s="88" t="s">
        <v>161</v>
      </c>
      <c r="B20" s="104"/>
      <c r="E20" s="88" t="s">
        <v>416</v>
      </c>
      <c r="F20" s="88" t="s">
        <v>372</v>
      </c>
      <c r="G20" s="88" t="s">
        <v>417</v>
      </c>
      <c r="H20" s="88" t="s">
        <v>158</v>
      </c>
      <c r="I20" s="88" t="s">
        <v>158</v>
      </c>
      <c r="J20" s="88" t="s">
        <v>161</v>
      </c>
      <c r="K20" s="87">
        <v>0</v>
      </c>
      <c r="L20" s="87">
        <v>0</v>
      </c>
      <c r="M20" s="87">
        <v>0</v>
      </c>
      <c r="N20" s="87">
        <v>0</v>
      </c>
      <c r="O20" s="87">
        <v>0</v>
      </c>
      <c r="P20" s="87">
        <v>0</v>
      </c>
      <c r="Q20" s="87">
        <v>0</v>
      </c>
      <c r="R20" s="87">
        <v>0</v>
      </c>
      <c r="S20" s="87">
        <v>0</v>
      </c>
      <c r="T20" s="87">
        <v>0</v>
      </c>
      <c r="U20" s="87">
        <v>0</v>
      </c>
      <c r="V20" s="87">
        <v>0</v>
      </c>
      <c r="W20" s="87">
        <v>0</v>
      </c>
      <c r="X20" s="87">
        <v>0</v>
      </c>
      <c r="Y20" s="87">
        <v>0</v>
      </c>
      <c r="Z20" s="87">
        <v>0</v>
      </c>
      <c r="AA20" s="87">
        <v>0</v>
      </c>
      <c r="AB20" s="87">
        <v>0</v>
      </c>
      <c r="AC20" s="87">
        <v>0</v>
      </c>
      <c r="AD20" s="87">
        <v>0</v>
      </c>
      <c r="AE20" s="87">
        <v>0</v>
      </c>
      <c r="AF20" s="87">
        <v>0</v>
      </c>
      <c r="AG20" s="87">
        <v>0</v>
      </c>
      <c r="AH20" s="87">
        <v>0</v>
      </c>
      <c r="AI20" s="87">
        <v>0</v>
      </c>
      <c r="AJ20" s="87">
        <v>0</v>
      </c>
      <c r="AK20" s="87">
        <v>0</v>
      </c>
      <c r="AL20" s="87">
        <v>0</v>
      </c>
      <c r="AM20" s="87">
        <v>0</v>
      </c>
      <c r="AN20" s="87">
        <v>-0.57999999999999996</v>
      </c>
      <c r="AO20" s="87">
        <v>-0.57999999999999996</v>
      </c>
      <c r="AP20" s="87">
        <f>IF($E20="BS",V20,SUM(K20:V20))</f>
        <v>0</v>
      </c>
      <c r="AQ20" s="87">
        <f>IF($E20="BS",AH20,SUM(W20:AH20))</f>
        <v>0</v>
      </c>
      <c r="AR20" s="87">
        <f>IF($E20="BS",AO20,SUM(AD20:AO20))</f>
        <v>-0.57999999999999996</v>
      </c>
    </row>
    <row r="21" spans="1:44" ht="11.25" customHeight="1" x14ac:dyDescent="0.2">
      <c r="A21" s="88" t="s">
        <v>159</v>
      </c>
      <c r="B21" s="104"/>
      <c r="E21" s="88" t="s">
        <v>416</v>
      </c>
      <c r="F21" s="88" t="s">
        <v>372</v>
      </c>
      <c r="G21" s="88" t="s">
        <v>417</v>
      </c>
      <c r="H21" s="88" t="s">
        <v>158</v>
      </c>
      <c r="I21" s="88" t="s">
        <v>158</v>
      </c>
      <c r="J21" s="88" t="s">
        <v>159</v>
      </c>
      <c r="K21" s="87">
        <v>-15</v>
      </c>
      <c r="L21" s="87">
        <v>-15</v>
      </c>
      <c r="M21" s="87">
        <v>-15</v>
      </c>
      <c r="N21" s="87">
        <v>-15</v>
      </c>
      <c r="O21" s="87">
        <v>-15</v>
      </c>
      <c r="P21" s="87">
        <v>-15</v>
      </c>
      <c r="Q21" s="87">
        <v>-15</v>
      </c>
      <c r="R21" s="87">
        <v>0</v>
      </c>
      <c r="S21" s="87">
        <v>0</v>
      </c>
      <c r="T21" s="87">
        <v>0</v>
      </c>
      <c r="U21" s="87">
        <v>0</v>
      </c>
      <c r="V21" s="87">
        <v>0</v>
      </c>
      <c r="W21" s="87">
        <v>0</v>
      </c>
      <c r="X21" s="87">
        <v>0</v>
      </c>
      <c r="Y21" s="87">
        <v>0</v>
      </c>
      <c r="Z21" s="87">
        <v>0</v>
      </c>
      <c r="AA21" s="87">
        <v>0</v>
      </c>
      <c r="AB21" s="87">
        <v>0</v>
      </c>
      <c r="AC21" s="87">
        <v>0</v>
      </c>
      <c r="AD21" s="87">
        <v>0</v>
      </c>
      <c r="AE21" s="87">
        <v>0</v>
      </c>
      <c r="AF21" s="87">
        <v>0</v>
      </c>
      <c r="AG21" s="87">
        <v>0</v>
      </c>
      <c r="AH21" s="87">
        <v>0</v>
      </c>
      <c r="AI21" s="87">
        <v>0</v>
      </c>
      <c r="AJ21" s="87">
        <v>0</v>
      </c>
      <c r="AK21" s="87">
        <v>0</v>
      </c>
      <c r="AL21" s="87">
        <v>0</v>
      </c>
      <c r="AM21" s="87">
        <v>0</v>
      </c>
      <c r="AN21" s="87">
        <v>0</v>
      </c>
      <c r="AO21" s="87">
        <v>0</v>
      </c>
      <c r="AP21" s="87">
        <f>IF($E21="BS",V21,SUM(K21:V21))</f>
        <v>0</v>
      </c>
      <c r="AQ21" s="87">
        <f>IF($E21="BS",AH21,SUM(W21:AH21))</f>
        <v>0</v>
      </c>
      <c r="AR21" s="87">
        <f>IF($E21="BS",AO21,SUM(AD21:AO21))</f>
        <v>0</v>
      </c>
    </row>
    <row r="22" spans="1:44" ht="11.25" customHeight="1" x14ac:dyDescent="0.2">
      <c r="A22" s="88" t="s">
        <v>162</v>
      </c>
      <c r="B22" s="104"/>
      <c r="E22" s="88" t="s">
        <v>416</v>
      </c>
      <c r="F22" s="88" t="s">
        <v>372</v>
      </c>
      <c r="G22" s="88" t="s">
        <v>417</v>
      </c>
      <c r="H22" s="88" t="s">
        <v>158</v>
      </c>
      <c r="I22" s="88" t="s">
        <v>158</v>
      </c>
      <c r="J22" s="88" t="s">
        <v>162</v>
      </c>
      <c r="K22" s="87">
        <v>0</v>
      </c>
      <c r="L22" s="87">
        <v>0</v>
      </c>
      <c r="M22" s="87">
        <v>0</v>
      </c>
      <c r="N22" s="87">
        <v>0</v>
      </c>
      <c r="O22" s="87">
        <v>0</v>
      </c>
      <c r="P22" s="87">
        <v>0</v>
      </c>
      <c r="Q22" s="87">
        <v>0</v>
      </c>
      <c r="R22" s="87">
        <v>0</v>
      </c>
      <c r="S22" s="87">
        <v>0</v>
      </c>
      <c r="T22" s="87">
        <v>0</v>
      </c>
      <c r="U22" s="87">
        <v>0</v>
      </c>
      <c r="V22" s="87">
        <v>0</v>
      </c>
      <c r="W22" s="87">
        <v>0</v>
      </c>
      <c r="X22" s="87">
        <v>0</v>
      </c>
      <c r="Y22" s="87">
        <v>0</v>
      </c>
      <c r="Z22" s="87">
        <v>0</v>
      </c>
      <c r="AA22" s="87">
        <v>0</v>
      </c>
      <c r="AB22" s="87">
        <v>0</v>
      </c>
      <c r="AC22" s="87">
        <v>-15.654999999999999</v>
      </c>
      <c r="AD22" s="87">
        <v>-15.654999999999999</v>
      </c>
      <c r="AE22" s="87">
        <v>-15.654999999999999</v>
      </c>
      <c r="AF22" s="87">
        <v>-15.654999999999999</v>
      </c>
      <c r="AG22" s="87">
        <v>-15.654999999999999</v>
      </c>
      <c r="AH22" s="87">
        <v>-15.654999999999999</v>
      </c>
      <c r="AI22" s="87">
        <v>-15.654999999999999</v>
      </c>
      <c r="AJ22" s="87">
        <v>-15.654999999999999</v>
      </c>
      <c r="AK22" s="87">
        <v>-15.654999999999999</v>
      </c>
      <c r="AL22" s="87">
        <v>-15.654999999999999</v>
      </c>
      <c r="AM22" s="87">
        <v>-15.654999999999999</v>
      </c>
      <c r="AN22" s="87">
        <v>-15.654999999999999</v>
      </c>
      <c r="AO22" s="87">
        <v>-15.654999999999999</v>
      </c>
      <c r="AP22" s="87">
        <f>IF($E22="BS",V22,SUM(K22:V22))</f>
        <v>0</v>
      </c>
      <c r="AQ22" s="87">
        <f>IF($E22="BS",AH22,SUM(W22:AH22))</f>
        <v>-15.654999999999999</v>
      </c>
      <c r="AR22" s="87">
        <f>IF($E22="BS",AO22,SUM(AD22:AO22))</f>
        <v>-15.654999999999999</v>
      </c>
    </row>
    <row r="23" spans="1:44" ht="11.25" customHeight="1" x14ac:dyDescent="0.2">
      <c r="A23" s="88" t="s">
        <v>154</v>
      </c>
      <c r="B23" s="104"/>
      <c r="E23" s="88" t="s">
        <v>416</v>
      </c>
      <c r="F23" s="88" t="s">
        <v>372</v>
      </c>
      <c r="G23" s="88" t="s">
        <v>417</v>
      </c>
      <c r="H23" s="88" t="s">
        <v>152</v>
      </c>
      <c r="I23" s="88" t="s">
        <v>152</v>
      </c>
      <c r="J23" s="88" t="s">
        <v>154</v>
      </c>
      <c r="K23" s="87">
        <v>-103.44607000000001</v>
      </c>
      <c r="L23" s="87">
        <v>-103.44607000000001</v>
      </c>
      <c r="M23" s="87">
        <v>-103.44607000000001</v>
      </c>
      <c r="N23" s="87">
        <v>-103.44607000000001</v>
      </c>
      <c r="O23" s="87">
        <v>0</v>
      </c>
      <c r="P23" s="87">
        <v>0</v>
      </c>
      <c r="Q23" s="87">
        <v>0</v>
      </c>
      <c r="R23" s="87">
        <v>0</v>
      </c>
      <c r="S23" s="87">
        <v>0</v>
      </c>
      <c r="T23" s="87">
        <v>0</v>
      </c>
      <c r="U23" s="87">
        <v>0</v>
      </c>
      <c r="V23" s="87">
        <v>-91.939139999999995</v>
      </c>
      <c r="W23" s="87">
        <v>-91.939139999999995</v>
      </c>
      <c r="X23" s="87">
        <v>-91.939139999999995</v>
      </c>
      <c r="Y23" s="87">
        <v>-91.939139999999995</v>
      </c>
      <c r="Z23" s="87">
        <v>-91.939139999999995</v>
      </c>
      <c r="AA23" s="87">
        <v>0</v>
      </c>
      <c r="AB23" s="87">
        <v>0</v>
      </c>
      <c r="AC23" s="87">
        <v>0</v>
      </c>
      <c r="AD23" s="87">
        <v>0</v>
      </c>
      <c r="AE23" s="87">
        <v>0</v>
      </c>
      <c r="AF23" s="87">
        <v>0</v>
      </c>
      <c r="AG23" s="87">
        <v>0</v>
      </c>
      <c r="AH23" s="87">
        <v>-87.325890000000001</v>
      </c>
      <c r="AI23" s="87">
        <v>-87.325890000000001</v>
      </c>
      <c r="AJ23" s="87">
        <v>-87.325890000000001</v>
      </c>
      <c r="AK23" s="87">
        <v>-87.325890000000001</v>
      </c>
      <c r="AL23" s="87">
        <v>0</v>
      </c>
      <c r="AM23" s="87">
        <v>0</v>
      </c>
      <c r="AN23" s="87">
        <v>0</v>
      </c>
      <c r="AO23" s="87">
        <v>0</v>
      </c>
      <c r="AP23" s="87">
        <f>IF($E23="BS",V23,SUM(K23:V23))</f>
        <v>-91.939139999999995</v>
      </c>
      <c r="AQ23" s="87">
        <f>IF($E23="BS",AH23,SUM(W23:AH23))</f>
        <v>-87.325890000000001</v>
      </c>
      <c r="AR23" s="87">
        <f>IF($E23="BS",AO23,SUM(AD23:AO23))</f>
        <v>0</v>
      </c>
    </row>
    <row r="24" spans="1:44" ht="11.25" customHeight="1" x14ac:dyDescent="0.2">
      <c r="A24" s="88" t="s">
        <v>160</v>
      </c>
      <c r="B24" s="104"/>
      <c r="E24" s="88" t="s">
        <v>416</v>
      </c>
      <c r="F24" s="88" t="s">
        <v>372</v>
      </c>
      <c r="G24" s="88" t="s">
        <v>417</v>
      </c>
      <c r="H24" s="88" t="s">
        <v>158</v>
      </c>
      <c r="I24" s="88" t="s">
        <v>158</v>
      </c>
      <c r="J24" s="88" t="s">
        <v>160</v>
      </c>
      <c r="K24" s="87">
        <v>0</v>
      </c>
      <c r="L24" s="87">
        <v>0</v>
      </c>
      <c r="M24" s="87">
        <v>0</v>
      </c>
      <c r="N24" s="87">
        <v>0</v>
      </c>
      <c r="O24" s="87">
        <v>0</v>
      </c>
      <c r="P24" s="87">
        <v>0</v>
      </c>
      <c r="Q24" s="87">
        <v>0</v>
      </c>
      <c r="R24" s="87">
        <v>0</v>
      </c>
      <c r="S24" s="87">
        <v>0</v>
      </c>
      <c r="T24" s="87">
        <v>0</v>
      </c>
      <c r="U24" s="87">
        <v>0</v>
      </c>
      <c r="V24" s="87">
        <v>-1.2193800000000001</v>
      </c>
      <c r="W24" s="87">
        <v>-1.2193800000000001</v>
      </c>
      <c r="X24" s="87">
        <v>-1.2193800000000001</v>
      </c>
      <c r="Y24" s="87">
        <v>-1.2193800000000001</v>
      </c>
      <c r="Z24" s="87">
        <v>-1.2193800000000001</v>
      </c>
      <c r="AA24" s="87">
        <v>-1.2193800000000001</v>
      </c>
      <c r="AB24" s="87">
        <v>-1.2193800000000001</v>
      </c>
      <c r="AC24" s="87">
        <v>-1.2193800000000001</v>
      </c>
      <c r="AD24" s="87">
        <v>-1.2193800000000001</v>
      </c>
      <c r="AE24" s="87">
        <v>-1.2193800000000001</v>
      </c>
      <c r="AF24" s="87">
        <v>-1.2193800000000001</v>
      </c>
      <c r="AG24" s="87">
        <v>0</v>
      </c>
      <c r="AH24" s="87">
        <v>-67.845690000000005</v>
      </c>
      <c r="AI24" s="87">
        <v>-67.845690000000005</v>
      </c>
      <c r="AJ24" s="87">
        <v>-67.845690000000005</v>
      </c>
      <c r="AK24" s="87">
        <v>-67.845690000000005</v>
      </c>
      <c r="AL24" s="87">
        <v>0</v>
      </c>
      <c r="AM24" s="87">
        <v>0</v>
      </c>
      <c r="AN24" s="87">
        <v>0</v>
      </c>
      <c r="AO24" s="87">
        <v>0</v>
      </c>
      <c r="AP24" s="87">
        <f>IF($E24="BS",V24,SUM(K24:V24))</f>
        <v>-1.2193800000000001</v>
      </c>
      <c r="AQ24" s="87">
        <f>IF($E24="BS",AH24,SUM(W24:AH24))</f>
        <v>-67.845690000000005</v>
      </c>
      <c r="AR24" s="87">
        <f>IF($E24="BS",AO24,SUM(AD24:AO24))</f>
        <v>0</v>
      </c>
    </row>
    <row r="25" spans="1:44" ht="11.25" customHeight="1" x14ac:dyDescent="0.2">
      <c r="A25" s="88" t="s">
        <v>157</v>
      </c>
      <c r="B25" s="104"/>
      <c r="E25" s="88" t="s">
        <v>416</v>
      </c>
      <c r="F25" s="88" t="s">
        <v>372</v>
      </c>
      <c r="G25" s="88" t="s">
        <v>417</v>
      </c>
      <c r="H25" s="88" t="s">
        <v>186</v>
      </c>
      <c r="I25" s="88" t="s">
        <v>186</v>
      </c>
      <c r="J25" s="88" t="s">
        <v>157</v>
      </c>
      <c r="K25" s="87">
        <v>-1166.1134999999999</v>
      </c>
      <c r="L25" s="87">
        <v>-1166.1134999999999</v>
      </c>
      <c r="M25" s="87">
        <v>-1166.1134999999999</v>
      </c>
      <c r="N25" s="87">
        <v>-1166.1134999999999</v>
      </c>
      <c r="O25" s="87">
        <v>-1166.1134999999999</v>
      </c>
      <c r="P25" s="87">
        <v>-1166.1134999999999</v>
      </c>
      <c r="Q25" s="87">
        <v>-1166.1134999999999</v>
      </c>
      <c r="R25" s="87">
        <v>-1166.1134999999999</v>
      </c>
      <c r="S25" s="87">
        <v>-1166.1134999999999</v>
      </c>
      <c r="T25" s="87">
        <v>-1166.1134999999999</v>
      </c>
      <c r="U25" s="87">
        <v>-1166.1134999999999</v>
      </c>
      <c r="V25" s="87">
        <v>-1112.5840000000001</v>
      </c>
      <c r="W25" s="87">
        <v>-1112.5840000000001</v>
      </c>
      <c r="X25" s="87">
        <v>-1112.5840000000001</v>
      </c>
      <c r="Y25" s="87">
        <v>-1000.846</v>
      </c>
      <c r="Z25" s="87">
        <v>-1000.846</v>
      </c>
      <c r="AA25" s="87">
        <v>-1000.846</v>
      </c>
      <c r="AB25" s="87">
        <v>-1000.846</v>
      </c>
      <c r="AC25" s="87">
        <v>-933.346</v>
      </c>
      <c r="AD25" s="87">
        <v>-933.346</v>
      </c>
      <c r="AE25" s="87">
        <v>-933.346</v>
      </c>
      <c r="AF25" s="87">
        <v>-933.346</v>
      </c>
      <c r="AG25" s="87">
        <v>-933.346</v>
      </c>
      <c r="AH25" s="87">
        <v>-925.17</v>
      </c>
      <c r="AI25" s="87">
        <v>-925.17</v>
      </c>
      <c r="AJ25" s="87">
        <v>-925.17</v>
      </c>
      <c r="AK25" s="87">
        <v>-851.17</v>
      </c>
      <c r="AL25" s="87">
        <v>-851.17</v>
      </c>
      <c r="AM25" s="87">
        <v>-851.17</v>
      </c>
      <c r="AN25" s="87">
        <v>-851.17</v>
      </c>
      <c r="AO25" s="87">
        <v>-810.14499999999998</v>
      </c>
      <c r="AP25" s="87">
        <f>IF($E25="BS",V25,SUM(K25:V25))</f>
        <v>-1112.5840000000001</v>
      </c>
      <c r="AQ25" s="87">
        <f>IF($E25="BS",AH25,SUM(W25:AH25))</f>
        <v>-925.17</v>
      </c>
      <c r="AR25" s="87">
        <f>IF($E25="BS",AO25,SUM(AD25:AO25))</f>
        <v>-810.14499999999998</v>
      </c>
    </row>
    <row r="26" spans="1:44" ht="11.25" customHeight="1" x14ac:dyDescent="0.2">
      <c r="A26" s="88" t="s">
        <v>340</v>
      </c>
      <c r="B26" s="104"/>
      <c r="E26" s="88" t="s">
        <v>416</v>
      </c>
      <c r="F26" s="88" t="s">
        <v>371</v>
      </c>
      <c r="G26" s="88" t="s">
        <v>371</v>
      </c>
      <c r="H26" s="88" t="s">
        <v>340</v>
      </c>
      <c r="I26" s="88" t="s">
        <v>340</v>
      </c>
      <c r="J26" s="88" t="s">
        <v>340</v>
      </c>
      <c r="K26" s="87">
        <v>-1</v>
      </c>
      <c r="L26" s="87">
        <v>-1</v>
      </c>
      <c r="M26" s="87">
        <v>-1</v>
      </c>
      <c r="N26" s="87">
        <v>-1</v>
      </c>
      <c r="O26" s="87">
        <v>-1</v>
      </c>
      <c r="P26" s="87">
        <v>-1</v>
      </c>
      <c r="Q26" s="87">
        <v>-1</v>
      </c>
      <c r="R26" s="87">
        <v>-1</v>
      </c>
      <c r="S26" s="87">
        <v>-1</v>
      </c>
      <c r="T26" s="87">
        <v>-1</v>
      </c>
      <c r="U26" s="87">
        <v>-1</v>
      </c>
      <c r="V26" s="87">
        <v>-1</v>
      </c>
      <c r="W26" s="87">
        <v>-1</v>
      </c>
      <c r="X26" s="87">
        <v>-1</v>
      </c>
      <c r="Y26" s="87">
        <v>-1</v>
      </c>
      <c r="Z26" s="87">
        <v>-1</v>
      </c>
      <c r="AA26" s="87">
        <v>-1</v>
      </c>
      <c r="AB26" s="87">
        <v>-1</v>
      </c>
      <c r="AC26" s="87">
        <v>-1</v>
      </c>
      <c r="AD26" s="87">
        <v>-1</v>
      </c>
      <c r="AE26" s="87">
        <v>-1</v>
      </c>
      <c r="AF26" s="87">
        <v>-1</v>
      </c>
      <c r="AG26" s="87">
        <v>-1</v>
      </c>
      <c r="AH26" s="87">
        <v>-1</v>
      </c>
      <c r="AI26" s="87">
        <v>-1</v>
      </c>
      <c r="AJ26" s="87">
        <v>-1</v>
      </c>
      <c r="AK26" s="87">
        <v>-1</v>
      </c>
      <c r="AL26" s="87">
        <v>-1</v>
      </c>
      <c r="AM26" s="87">
        <v>-1</v>
      </c>
      <c r="AN26" s="87">
        <v>-1</v>
      </c>
      <c r="AO26" s="87">
        <v>-1</v>
      </c>
      <c r="AP26" s="87">
        <f>IF($E26="BS",V26,SUM(K26:V26))</f>
        <v>-1</v>
      </c>
      <c r="AQ26" s="87">
        <f>IF($E26="BS",AH26,SUM(W26:AH26))</f>
        <v>-1</v>
      </c>
      <c r="AR26" s="87">
        <f>IF($E26="BS",AO26,SUM(AD26:AO26))</f>
        <v>-1</v>
      </c>
    </row>
    <row r="27" spans="1:44" ht="11.25" customHeight="1" x14ac:dyDescent="0.2">
      <c r="A27" s="88" t="s">
        <v>350</v>
      </c>
      <c r="B27" s="104"/>
      <c r="E27" s="88" t="s">
        <v>416</v>
      </c>
      <c r="F27" s="88" t="s">
        <v>371</v>
      </c>
      <c r="G27" s="88" t="s">
        <v>371</v>
      </c>
      <c r="H27" s="88" t="s">
        <v>339</v>
      </c>
      <c r="I27" s="88" t="s">
        <v>339</v>
      </c>
      <c r="J27" s="88" t="s">
        <v>350</v>
      </c>
      <c r="K27" s="87">
        <v>-421.73071000000004</v>
      </c>
      <c r="L27" s="87">
        <v>-401.33071000000001</v>
      </c>
      <c r="M27" s="87">
        <v>-368.93071000000003</v>
      </c>
      <c r="N27" s="87">
        <v>-348.53071</v>
      </c>
      <c r="O27" s="87">
        <v>-338.33071000000001</v>
      </c>
      <c r="P27" s="87">
        <v>-328.13071000000002</v>
      </c>
      <c r="Q27" s="87">
        <v>-317.93071000000003</v>
      </c>
      <c r="R27" s="87">
        <v>-317.93071000000003</v>
      </c>
      <c r="S27" s="87">
        <v>-317.93071000000003</v>
      </c>
      <c r="T27" s="87">
        <v>-309.93071000000003</v>
      </c>
      <c r="U27" s="87">
        <v>-243.82871</v>
      </c>
      <c r="V27" s="87">
        <v>-194.28773000000001</v>
      </c>
      <c r="W27" s="87">
        <v>-191.30614000000003</v>
      </c>
      <c r="X27" s="87">
        <v>-191.30614000000003</v>
      </c>
      <c r="Y27" s="87">
        <v>-191.30614000000003</v>
      </c>
      <c r="Z27" s="87">
        <v>-165.80614000000003</v>
      </c>
      <c r="AA27" s="87">
        <v>-165.80614000000003</v>
      </c>
      <c r="AB27" s="87">
        <v>-132.77367000000001</v>
      </c>
      <c r="AC27" s="87">
        <v>-132.77367000000001</v>
      </c>
      <c r="AD27" s="87">
        <v>-107.27367</v>
      </c>
      <c r="AE27" s="87">
        <v>-107.27367</v>
      </c>
      <c r="AF27" s="87">
        <v>-54.273669999999996</v>
      </c>
      <c r="AG27" s="87">
        <v>149.72632999999999</v>
      </c>
      <c r="AH27" s="87">
        <v>342.30718999999999</v>
      </c>
      <c r="AI27" s="87">
        <v>484.99981000000002</v>
      </c>
      <c r="AJ27" s="87">
        <v>637.99981000000002</v>
      </c>
      <c r="AK27" s="87">
        <v>683.99981000000002</v>
      </c>
      <c r="AL27" s="87">
        <v>683.99981000000002</v>
      </c>
      <c r="AM27" s="87">
        <v>683.99981000000002</v>
      </c>
      <c r="AN27" s="87">
        <v>729.99981000000002</v>
      </c>
      <c r="AO27" s="87">
        <v>831.99981000000002</v>
      </c>
      <c r="AP27" s="87">
        <f>IF($E27="BS",V27,SUM(K27:V27))</f>
        <v>-194.28773000000001</v>
      </c>
      <c r="AQ27" s="87">
        <f>IF($E27="BS",AH27,SUM(W27:AH27))</f>
        <v>342.30718999999999</v>
      </c>
      <c r="AR27" s="87">
        <f>IF($E27="BS",AO27,SUM(AD27:AO27))</f>
        <v>831.99981000000002</v>
      </c>
    </row>
    <row r="28" spans="1:44" ht="11.25" customHeight="1" x14ac:dyDescent="0.2">
      <c r="A28" s="88" t="s">
        <v>351</v>
      </c>
      <c r="B28" s="104"/>
      <c r="E28" s="88" t="s">
        <v>416</v>
      </c>
      <c r="F28" s="88" t="s">
        <v>371</v>
      </c>
      <c r="G28" s="88" t="s">
        <v>371</v>
      </c>
      <c r="H28" s="88" t="s">
        <v>339</v>
      </c>
      <c r="I28" s="88" t="s">
        <v>339</v>
      </c>
      <c r="J28" s="88" t="s">
        <v>351</v>
      </c>
      <c r="K28" s="87">
        <v>-390.46628999999996</v>
      </c>
      <c r="L28" s="87">
        <v>-370.86628999999999</v>
      </c>
      <c r="M28" s="87">
        <v>-339.26628999999997</v>
      </c>
      <c r="N28" s="87">
        <v>-319.36318</v>
      </c>
      <c r="O28" s="87">
        <v>-309.56317999999999</v>
      </c>
      <c r="P28" s="87">
        <v>-299.76317999999998</v>
      </c>
      <c r="Q28" s="87">
        <v>-289.96317999999997</v>
      </c>
      <c r="R28" s="87">
        <v>-289.96317999999997</v>
      </c>
      <c r="S28" s="87">
        <v>-289.96317999999997</v>
      </c>
      <c r="T28" s="87">
        <v>-289.96317999999997</v>
      </c>
      <c r="U28" s="87">
        <v>-232.73617999999999</v>
      </c>
      <c r="V28" s="87">
        <v>-183.3218</v>
      </c>
      <c r="W28" s="87">
        <v>-175.3218</v>
      </c>
      <c r="X28" s="87">
        <v>-175.3218</v>
      </c>
      <c r="Y28" s="87">
        <v>-175.3218</v>
      </c>
      <c r="Z28" s="87">
        <v>-150.8218</v>
      </c>
      <c r="AA28" s="87">
        <v>-150.8218</v>
      </c>
      <c r="AB28" s="87">
        <v>-146.80579999999998</v>
      </c>
      <c r="AC28" s="87">
        <v>-144.49098000000001</v>
      </c>
      <c r="AD28" s="87">
        <v>-119.99097999999999</v>
      </c>
      <c r="AE28" s="87">
        <v>-119.99097999999999</v>
      </c>
      <c r="AF28" s="87">
        <v>-119.99097999999999</v>
      </c>
      <c r="AG28" s="87">
        <v>76.009020000000007</v>
      </c>
      <c r="AH28" s="87">
        <v>328.88337999999999</v>
      </c>
      <c r="AI28" s="87">
        <v>454.26837999999998</v>
      </c>
      <c r="AJ28" s="87">
        <v>601.26837999999998</v>
      </c>
      <c r="AK28" s="87">
        <v>635.26837999999998</v>
      </c>
      <c r="AL28" s="87">
        <v>635.26837999999998</v>
      </c>
      <c r="AM28" s="87">
        <v>635.26837999999998</v>
      </c>
      <c r="AN28" s="87">
        <v>671.26837999999998</v>
      </c>
      <c r="AO28" s="87">
        <v>769.26837999999998</v>
      </c>
      <c r="AP28" s="87">
        <f>IF($E28="BS",V28,SUM(K28:V28))</f>
        <v>-183.3218</v>
      </c>
      <c r="AQ28" s="87">
        <f>IF($E28="BS",AH28,SUM(W28:AH28))</f>
        <v>328.88337999999999</v>
      </c>
      <c r="AR28" s="87">
        <f>IF($E28="BS",AO28,SUM(AD28:AO28))</f>
        <v>769.26837999999998</v>
      </c>
    </row>
    <row r="29" spans="1:44" ht="11.25" customHeight="1" x14ac:dyDescent="0.2">
      <c r="A29" s="88" t="s">
        <v>349</v>
      </c>
      <c r="B29" s="104"/>
      <c r="E29" s="88" t="s">
        <v>416</v>
      </c>
      <c r="F29" s="88" t="s">
        <v>371</v>
      </c>
      <c r="G29" s="88" t="s">
        <v>371</v>
      </c>
      <c r="H29" s="88" t="s">
        <v>338</v>
      </c>
      <c r="I29" s="88" t="s">
        <v>338</v>
      </c>
      <c r="J29" s="88" t="s">
        <v>349</v>
      </c>
      <c r="K29" s="87">
        <v>7.5892100000000005</v>
      </c>
      <c r="L29" s="87">
        <v>7.5892100000000005</v>
      </c>
      <c r="M29" s="87">
        <v>7.5892100000000005</v>
      </c>
      <c r="N29" s="87">
        <v>7.5892100000000005</v>
      </c>
      <c r="O29" s="87">
        <v>7.5892100000000005</v>
      </c>
      <c r="P29" s="87">
        <v>7.5892100000000005</v>
      </c>
      <c r="Q29" s="87">
        <v>7.5892100000000005</v>
      </c>
      <c r="R29" s="87">
        <v>7.5892100000000005</v>
      </c>
      <c r="S29" s="87">
        <v>7.5892100000000005</v>
      </c>
      <c r="T29" s="87">
        <v>7.5892100000000005</v>
      </c>
      <c r="U29" s="87">
        <v>7.5892100000000005</v>
      </c>
      <c r="V29" s="87">
        <v>83.98921</v>
      </c>
      <c r="W29" s="87">
        <v>-1483.78081</v>
      </c>
      <c r="X29" s="87">
        <v>-1483.78081</v>
      </c>
      <c r="Y29" s="87">
        <v>-1483.78081</v>
      </c>
      <c r="Z29" s="87">
        <v>-1483.78081</v>
      </c>
      <c r="AA29" s="87">
        <v>-1483.78081</v>
      </c>
      <c r="AB29" s="87">
        <v>-1483.78081</v>
      </c>
      <c r="AC29" s="87">
        <v>-1483.78081</v>
      </c>
      <c r="AD29" s="87">
        <v>-1483.78081</v>
      </c>
      <c r="AE29" s="87">
        <v>-1483.78081</v>
      </c>
      <c r="AF29" s="87">
        <v>-1483.78081</v>
      </c>
      <c r="AG29" s="87">
        <v>-1483.78081</v>
      </c>
      <c r="AH29" s="87">
        <v>-1861.3903400000002</v>
      </c>
      <c r="AI29" s="87">
        <v>-2960.12167</v>
      </c>
      <c r="AJ29" s="87">
        <v>-2960.12167</v>
      </c>
      <c r="AK29" s="87">
        <v>-2960.12167</v>
      </c>
      <c r="AL29" s="87">
        <v>-2960.12167</v>
      </c>
      <c r="AM29" s="87">
        <v>-2960.12167</v>
      </c>
      <c r="AN29" s="87">
        <v>-2960.12167</v>
      </c>
      <c r="AO29" s="87">
        <v>-2960.12167</v>
      </c>
      <c r="AP29" s="87">
        <f>IF($E29="BS",V29,SUM(K29:V29))</f>
        <v>83.98921</v>
      </c>
      <c r="AQ29" s="87">
        <f>IF($E29="BS",AH29,SUM(W29:AH29))</f>
        <v>-1861.3903400000002</v>
      </c>
      <c r="AR29" s="87">
        <f>IF($E29="BS",AO29,SUM(AD29:AO29))</f>
        <v>-2960.12167</v>
      </c>
    </row>
    <row r="30" spans="1:44" ht="11.25" customHeight="1" x14ac:dyDescent="0.2">
      <c r="A30" s="88" t="s">
        <v>325</v>
      </c>
      <c r="B30" s="104"/>
      <c r="E30" s="88" t="s">
        <v>376</v>
      </c>
      <c r="G30" s="88" t="s">
        <v>28</v>
      </c>
      <c r="H30" s="88" t="s">
        <v>29</v>
      </c>
      <c r="I30" s="88" t="s">
        <v>29</v>
      </c>
      <c r="J30" s="88" t="s">
        <v>325</v>
      </c>
      <c r="K30" s="87">
        <v>2.573</v>
      </c>
      <c r="L30" s="87">
        <v>3.2065000000000001</v>
      </c>
      <c r="M30" s="87">
        <v>6.98</v>
      </c>
      <c r="N30" s="87">
        <v>5.0949999999999998</v>
      </c>
      <c r="O30" s="87">
        <v>3.8279999999999998</v>
      </c>
      <c r="P30" s="87">
        <v>3.5190000000000001</v>
      </c>
      <c r="Q30" s="87">
        <v>1.3069999999999999</v>
      </c>
      <c r="R30" s="87">
        <v>2.9155000000000002</v>
      </c>
      <c r="S30" s="87">
        <v>14.224</v>
      </c>
      <c r="T30" s="87">
        <v>0.99850000000000005</v>
      </c>
      <c r="U30" s="87">
        <v>8.1019000000000023</v>
      </c>
      <c r="V30" s="87">
        <v>7.3564999999999996</v>
      </c>
      <c r="W30" s="87">
        <v>1.1060000000000001</v>
      </c>
      <c r="X30" s="87">
        <v>0.22500000000000001</v>
      </c>
      <c r="Y30" s="87">
        <v>2.04</v>
      </c>
      <c r="Z30" s="87">
        <v>4.3410000000000002</v>
      </c>
      <c r="AA30" s="87">
        <v>2.5710000000000002</v>
      </c>
      <c r="AB30" s="87">
        <v>1.696</v>
      </c>
      <c r="AC30" s="87">
        <v>0.98599999999999999</v>
      </c>
      <c r="AD30" s="87">
        <v>9.0730000000000004</v>
      </c>
      <c r="AE30" s="87">
        <v>4.8548600000000004</v>
      </c>
      <c r="AF30" s="87">
        <v>1.873989999999998</v>
      </c>
      <c r="AG30" s="87">
        <v>10.420999999999999</v>
      </c>
      <c r="AH30" s="87">
        <v>0</v>
      </c>
      <c r="AI30" s="87">
        <v>1.3520000000000001</v>
      </c>
      <c r="AJ30" s="87">
        <v>3.4929999999999999</v>
      </c>
      <c r="AK30" s="87">
        <v>6.7355</v>
      </c>
      <c r="AL30" s="87">
        <v>0.67800000000000005</v>
      </c>
      <c r="AM30" s="87">
        <v>0.71</v>
      </c>
      <c r="AN30" s="87">
        <v>2.5089999999999999</v>
      </c>
      <c r="AO30" s="87">
        <v>1.212</v>
      </c>
      <c r="AP30" s="87">
        <f>IF($E30="BS",V30,SUM(K30:V30))</f>
        <v>60.104900000000001</v>
      </c>
      <c r="AQ30" s="87">
        <f>IF($E30="BS",AH30,SUM(W30:AH30))</f>
        <v>39.187850000000005</v>
      </c>
      <c r="AR30" s="87">
        <f>IF($E30="BS",AO30,SUM(AD30:AO30))</f>
        <v>42.912349999999996</v>
      </c>
    </row>
    <row r="31" spans="1:44" ht="11.25" customHeight="1" x14ac:dyDescent="0.2">
      <c r="A31" s="88" t="s">
        <v>324</v>
      </c>
      <c r="B31" s="104"/>
      <c r="E31" s="88" t="s">
        <v>376</v>
      </c>
      <c r="G31" s="88" t="s">
        <v>28</v>
      </c>
      <c r="H31" s="88" t="s">
        <v>29</v>
      </c>
      <c r="I31" s="88" t="s">
        <v>29</v>
      </c>
      <c r="J31" s="88" t="s">
        <v>324</v>
      </c>
      <c r="K31" s="87">
        <v>0</v>
      </c>
      <c r="L31" s="87">
        <v>0</v>
      </c>
      <c r="M31" s="87">
        <v>0</v>
      </c>
      <c r="N31" s="87">
        <v>0</v>
      </c>
      <c r="O31" s="87">
        <v>0</v>
      </c>
      <c r="P31" s="87">
        <v>0</v>
      </c>
      <c r="Q31" s="87">
        <v>0</v>
      </c>
      <c r="R31" s="87">
        <v>0</v>
      </c>
      <c r="S31" s="87">
        <v>0</v>
      </c>
      <c r="T31" s="87">
        <v>0</v>
      </c>
      <c r="U31" s="87">
        <v>0</v>
      </c>
      <c r="V31" s="87">
        <v>1112.5840000000001</v>
      </c>
      <c r="W31" s="87">
        <v>0</v>
      </c>
      <c r="X31" s="87">
        <v>0</v>
      </c>
      <c r="Y31" s="87">
        <v>0</v>
      </c>
      <c r="Z31" s="87">
        <v>0</v>
      </c>
      <c r="AA31" s="87">
        <v>0</v>
      </c>
      <c r="AB31" s="87">
        <v>0</v>
      </c>
      <c r="AC31" s="87">
        <v>0</v>
      </c>
      <c r="AD31" s="87">
        <v>0</v>
      </c>
      <c r="AE31" s="87">
        <v>0</v>
      </c>
      <c r="AF31" s="87">
        <v>0</v>
      </c>
      <c r="AG31" s="87">
        <v>0</v>
      </c>
      <c r="AH31" s="87">
        <v>925.17</v>
      </c>
      <c r="AI31" s="87">
        <v>0</v>
      </c>
      <c r="AJ31" s="87">
        <v>0</v>
      </c>
      <c r="AK31" s="87">
        <v>0</v>
      </c>
      <c r="AL31" s="87">
        <v>0</v>
      </c>
      <c r="AM31" s="87">
        <v>0</v>
      </c>
      <c r="AN31" s="87">
        <v>0</v>
      </c>
      <c r="AO31" s="87">
        <v>0</v>
      </c>
      <c r="AP31" s="87">
        <f>IF($E31="BS",V31,SUM(K31:V31))</f>
        <v>1112.5840000000001</v>
      </c>
      <c r="AQ31" s="87">
        <f>IF($E31="BS",AH31,SUM(W31:AH31))</f>
        <v>925.17</v>
      </c>
      <c r="AR31" s="87">
        <f>IF($E31="BS",AO31,SUM(AD31:AO31))</f>
        <v>925.17</v>
      </c>
    </row>
    <row r="32" spans="1:44" ht="11.25" customHeight="1" x14ac:dyDescent="0.2">
      <c r="A32" s="88" t="s">
        <v>327</v>
      </c>
      <c r="B32" s="104"/>
      <c r="E32" s="88" t="s">
        <v>376</v>
      </c>
      <c r="G32" s="88" t="s">
        <v>28</v>
      </c>
      <c r="H32" s="88" t="s">
        <v>29</v>
      </c>
      <c r="I32" s="88" t="s">
        <v>29</v>
      </c>
      <c r="J32" s="88" t="s">
        <v>327</v>
      </c>
      <c r="K32" s="87">
        <v>0</v>
      </c>
      <c r="L32" s="87">
        <v>0</v>
      </c>
      <c r="M32" s="87">
        <v>0</v>
      </c>
      <c r="N32" s="87">
        <v>0</v>
      </c>
      <c r="O32" s="87">
        <v>0</v>
      </c>
      <c r="P32" s="87">
        <v>0</v>
      </c>
      <c r="Q32" s="87">
        <v>0</v>
      </c>
      <c r="R32" s="87">
        <v>0</v>
      </c>
      <c r="S32" s="87">
        <v>0</v>
      </c>
      <c r="T32" s="87">
        <v>0</v>
      </c>
      <c r="U32" s="87">
        <v>0</v>
      </c>
      <c r="V32" s="87">
        <v>-1166.1134999999999</v>
      </c>
      <c r="W32" s="87">
        <v>0</v>
      </c>
      <c r="X32" s="87">
        <v>0</v>
      </c>
      <c r="Y32" s="87">
        <v>0</v>
      </c>
      <c r="Z32" s="87">
        <v>0</v>
      </c>
      <c r="AA32" s="87">
        <v>0</v>
      </c>
      <c r="AB32" s="87">
        <v>0</v>
      </c>
      <c r="AC32" s="87">
        <v>0</v>
      </c>
      <c r="AD32" s="87">
        <v>0</v>
      </c>
      <c r="AE32" s="87">
        <v>0</v>
      </c>
      <c r="AF32" s="87">
        <v>0</v>
      </c>
      <c r="AG32" s="87">
        <v>0</v>
      </c>
      <c r="AH32" s="87">
        <v>-933.346</v>
      </c>
      <c r="AI32" s="87">
        <v>0</v>
      </c>
      <c r="AJ32" s="87">
        <v>0</v>
      </c>
      <c r="AK32" s="87">
        <v>0</v>
      </c>
      <c r="AL32" s="87">
        <v>0</v>
      </c>
      <c r="AM32" s="87">
        <v>0</v>
      </c>
      <c r="AN32" s="87">
        <v>0</v>
      </c>
      <c r="AO32" s="87">
        <v>0</v>
      </c>
      <c r="AP32" s="87">
        <f>IF($E32="BS",V32,SUM(K32:V32))</f>
        <v>-1166.1134999999999</v>
      </c>
      <c r="AQ32" s="87">
        <f>IF($E32="BS",AH32,SUM(W32:AH32))</f>
        <v>-933.346</v>
      </c>
      <c r="AR32" s="87">
        <f>IF($E32="BS",AO32,SUM(AD32:AO32))</f>
        <v>-933.346</v>
      </c>
    </row>
    <row r="33" spans="1:44" ht="11.25" customHeight="1" x14ac:dyDescent="0.2">
      <c r="A33" s="88" t="s">
        <v>326</v>
      </c>
      <c r="B33" s="104"/>
      <c r="E33" s="88" t="s">
        <v>376</v>
      </c>
      <c r="G33" s="88" t="s">
        <v>28</v>
      </c>
      <c r="H33" s="88" t="s">
        <v>29</v>
      </c>
      <c r="I33" s="88" t="s">
        <v>29</v>
      </c>
      <c r="J33" s="88" t="s">
        <v>326</v>
      </c>
      <c r="K33" s="87">
        <v>0</v>
      </c>
      <c r="L33" s="87">
        <v>0</v>
      </c>
      <c r="M33" s="87">
        <v>-1.8</v>
      </c>
      <c r="N33" s="87">
        <v>1.8</v>
      </c>
      <c r="O33" s="87">
        <v>0</v>
      </c>
      <c r="P33" s="87">
        <v>0</v>
      </c>
      <c r="Q33" s="87">
        <v>0</v>
      </c>
      <c r="R33" s="87">
        <v>0</v>
      </c>
      <c r="S33" s="87">
        <v>0</v>
      </c>
      <c r="T33" s="87">
        <v>-3.6</v>
      </c>
      <c r="U33" s="87">
        <v>0</v>
      </c>
      <c r="V33" s="87">
        <v>0</v>
      </c>
      <c r="W33" s="87">
        <v>0</v>
      </c>
      <c r="X33" s="87">
        <v>0</v>
      </c>
      <c r="Y33" s="87">
        <v>0</v>
      </c>
      <c r="Z33" s="87">
        <v>0</v>
      </c>
      <c r="AA33" s="87">
        <v>0</v>
      </c>
      <c r="AB33" s="87">
        <v>0</v>
      </c>
      <c r="AC33" s="87">
        <v>0</v>
      </c>
      <c r="AD33" s="87">
        <v>0</v>
      </c>
      <c r="AE33" s="87">
        <v>0</v>
      </c>
      <c r="AF33" s="87">
        <v>0</v>
      </c>
      <c r="AG33" s="87">
        <v>29</v>
      </c>
      <c r="AH33" s="87">
        <v>0</v>
      </c>
      <c r="AI33" s="87">
        <v>0</v>
      </c>
      <c r="AJ33" s="87">
        <v>0</v>
      </c>
      <c r="AK33" s="87">
        <v>0</v>
      </c>
      <c r="AL33" s="87">
        <v>0</v>
      </c>
      <c r="AM33" s="87">
        <v>0</v>
      </c>
      <c r="AN33" s="87">
        <v>0</v>
      </c>
      <c r="AO33" s="87">
        <v>0</v>
      </c>
      <c r="AP33" s="87">
        <f>IF($E33="BS",V33,SUM(K33:V33))</f>
        <v>-3.6</v>
      </c>
      <c r="AQ33" s="87">
        <f>IF($E33="BS",AH33,SUM(W33:AH33))</f>
        <v>29</v>
      </c>
      <c r="AR33" s="87">
        <f>IF($E33="BS",AO33,SUM(AD33:AO33))</f>
        <v>29</v>
      </c>
    </row>
    <row r="34" spans="1:44" ht="11.25" customHeight="1" x14ac:dyDescent="0.2">
      <c r="A34" s="88" t="s">
        <v>328</v>
      </c>
      <c r="B34" s="104"/>
      <c r="E34" s="88" t="s">
        <v>376</v>
      </c>
      <c r="G34" s="88" t="s">
        <v>28</v>
      </c>
      <c r="H34" s="88" t="s">
        <v>29</v>
      </c>
      <c r="I34" s="88" t="s">
        <v>29</v>
      </c>
      <c r="J34" s="88" t="s">
        <v>328</v>
      </c>
      <c r="K34" s="87">
        <v>-195.7</v>
      </c>
      <c r="L34" s="87">
        <v>-432.65</v>
      </c>
      <c r="M34" s="87">
        <v>-736.995</v>
      </c>
      <c r="N34" s="87">
        <v>-437.25</v>
      </c>
      <c r="O34" s="87">
        <v>-627.25699999999995</v>
      </c>
      <c r="P34" s="87">
        <v>-484.35</v>
      </c>
      <c r="Q34" s="87">
        <v>-689.77499999999998</v>
      </c>
      <c r="R34" s="87">
        <v>-1270.3150000000001</v>
      </c>
      <c r="S34" s="87">
        <v>-1290.4000000000001</v>
      </c>
      <c r="T34" s="87">
        <v>-236.1</v>
      </c>
      <c r="U34" s="87">
        <v>-558.995</v>
      </c>
      <c r="V34" s="87">
        <v>-690.61</v>
      </c>
      <c r="W34" s="87">
        <v>-423.15</v>
      </c>
      <c r="X34" s="87">
        <v>-525.875</v>
      </c>
      <c r="Y34" s="87">
        <v>-373.38799999999998</v>
      </c>
      <c r="Z34" s="87">
        <v>-385.97500000000002</v>
      </c>
      <c r="AA34" s="87">
        <v>-539.75</v>
      </c>
      <c r="AB34" s="87">
        <v>-358.6</v>
      </c>
      <c r="AC34" s="87">
        <v>-366.6</v>
      </c>
      <c r="AD34" s="87">
        <v>-1141.4749999999999</v>
      </c>
      <c r="AE34" s="87">
        <v>-1140.0250000000001</v>
      </c>
      <c r="AF34" s="87">
        <v>-331.52499999999998</v>
      </c>
      <c r="AG34" s="87">
        <v>-847.35</v>
      </c>
      <c r="AH34" s="87">
        <v>-405.05000999999976</v>
      </c>
      <c r="AI34" s="87">
        <v>-352.82499999999999</v>
      </c>
      <c r="AJ34" s="87">
        <v>-547.1</v>
      </c>
      <c r="AK34" s="87">
        <v>-743.30060000000014</v>
      </c>
      <c r="AL34" s="87">
        <v>-426.32499999999999</v>
      </c>
      <c r="AM34" s="87">
        <v>-284.89999999999998</v>
      </c>
      <c r="AN34" s="87">
        <v>-762.875</v>
      </c>
      <c r="AO34" s="87">
        <v>-424.4</v>
      </c>
      <c r="AP34" s="87">
        <f>IF($E34="BS",V34,SUM(K34:V34))</f>
        <v>-7650.396999999999</v>
      </c>
      <c r="AQ34" s="87">
        <f>IF($E34="BS",AH34,SUM(W34:AH34))</f>
        <v>-6838.7630099999997</v>
      </c>
      <c r="AR34" s="87">
        <f>IF($E34="BS",AO34,SUM(AD34:AO34))</f>
        <v>-7407.1506099999997</v>
      </c>
    </row>
    <row r="35" spans="1:44" ht="11.25" customHeight="1" x14ac:dyDescent="0.2">
      <c r="A35" s="88" t="s">
        <v>268</v>
      </c>
      <c r="B35" s="104"/>
      <c r="E35" s="88" t="s">
        <v>376</v>
      </c>
      <c r="G35" s="88" t="s">
        <v>18</v>
      </c>
      <c r="H35" s="88" t="s">
        <v>21</v>
      </c>
      <c r="I35" s="88" t="s">
        <v>21</v>
      </c>
      <c r="J35" s="88" t="s">
        <v>268</v>
      </c>
      <c r="K35" s="87">
        <v>7.4</v>
      </c>
      <c r="L35" s="87">
        <v>6.9</v>
      </c>
      <c r="M35" s="87">
        <v>5.6</v>
      </c>
      <c r="N35" s="87">
        <v>11.74</v>
      </c>
      <c r="O35" s="87">
        <v>0</v>
      </c>
      <c r="P35" s="87">
        <v>14.815</v>
      </c>
      <c r="Q35" s="87">
        <v>9.9474999999999998</v>
      </c>
      <c r="R35" s="87">
        <v>8</v>
      </c>
      <c r="S35" s="87">
        <v>8.5649999999999995</v>
      </c>
      <c r="T35" s="87">
        <v>8</v>
      </c>
      <c r="U35" s="87">
        <v>11.02</v>
      </c>
      <c r="V35" s="87">
        <v>8.8949999999999996</v>
      </c>
      <c r="W35" s="87">
        <v>9.63307</v>
      </c>
      <c r="X35" s="87">
        <v>8</v>
      </c>
      <c r="Y35" s="87">
        <v>14.59</v>
      </c>
      <c r="Z35" s="87">
        <v>17.726500000000001</v>
      </c>
      <c r="AA35" s="87">
        <v>0</v>
      </c>
      <c r="AB35" s="87">
        <v>10.4</v>
      </c>
      <c r="AC35" s="87">
        <v>11.395000000000007</v>
      </c>
      <c r="AD35" s="87">
        <v>15.605</v>
      </c>
      <c r="AE35" s="87">
        <v>13.0595</v>
      </c>
      <c r="AF35" s="87">
        <v>8.75</v>
      </c>
      <c r="AG35" s="87">
        <v>12.323499999999999</v>
      </c>
      <c r="AH35" s="87">
        <v>8</v>
      </c>
      <c r="AI35" s="87">
        <v>11.2858</v>
      </c>
      <c r="AJ35" s="87">
        <v>8.6</v>
      </c>
      <c r="AK35" s="87">
        <v>8.1999999999999993</v>
      </c>
      <c r="AL35" s="87">
        <v>13.680000000000003</v>
      </c>
      <c r="AM35" s="87">
        <v>8</v>
      </c>
      <c r="AN35" s="87">
        <v>16</v>
      </c>
      <c r="AO35" s="87">
        <v>8.6999999999999993</v>
      </c>
      <c r="AP35" s="87">
        <f>IF($E35="BS",V35,SUM(K35:V35))</f>
        <v>100.88249999999999</v>
      </c>
      <c r="AQ35" s="87">
        <f>IF($E35="BS",AH35,SUM(W35:AH35))</f>
        <v>129.48257000000001</v>
      </c>
      <c r="AR35" s="87">
        <f>IF($E35="BS",AO35,SUM(AD35:AO35))</f>
        <v>132.2038</v>
      </c>
    </row>
    <row r="36" spans="1:44" ht="11.25" customHeight="1" x14ac:dyDescent="0.2">
      <c r="A36" s="88" t="s">
        <v>258</v>
      </c>
      <c r="B36" s="104"/>
      <c r="E36" s="88" t="s">
        <v>376</v>
      </c>
      <c r="G36" s="88" t="s">
        <v>18</v>
      </c>
      <c r="H36" s="88" t="s">
        <v>20</v>
      </c>
      <c r="I36" s="88" t="s">
        <v>20</v>
      </c>
      <c r="J36" s="88" t="s">
        <v>258</v>
      </c>
      <c r="K36" s="87">
        <v>9.6659999999999996E-2</v>
      </c>
      <c r="L36" s="87">
        <v>0.82184999999999997</v>
      </c>
      <c r="M36" s="87">
        <v>0</v>
      </c>
      <c r="N36" s="87">
        <v>0</v>
      </c>
      <c r="O36" s="87">
        <v>0.13782999999999992</v>
      </c>
      <c r="P36" s="87">
        <v>0</v>
      </c>
      <c r="Q36" s="87">
        <v>0.14037000000000011</v>
      </c>
      <c r="R36" s="87">
        <v>6.2730000000000022E-2</v>
      </c>
      <c r="S36" s="87">
        <v>0.14883999999999992</v>
      </c>
      <c r="T36" s="87">
        <v>0</v>
      </c>
      <c r="U36" s="87">
        <v>0.63860000000000017</v>
      </c>
      <c r="V36" s="87">
        <v>0</v>
      </c>
      <c r="W36" s="87">
        <v>0</v>
      </c>
      <c r="X36" s="87">
        <v>0.33992</v>
      </c>
      <c r="Y36" s="87">
        <v>1.0852999999999999</v>
      </c>
      <c r="Z36" s="87">
        <v>0</v>
      </c>
      <c r="AA36" s="87">
        <v>1.1295400000000002</v>
      </c>
      <c r="AB36" s="87">
        <v>0</v>
      </c>
      <c r="AC36" s="87">
        <v>3.4000000000000002E-2</v>
      </c>
      <c r="AD36" s="87">
        <v>0.69199999999999995</v>
      </c>
      <c r="AE36" s="87">
        <v>0</v>
      </c>
      <c r="AF36" s="87">
        <v>0.214</v>
      </c>
      <c r="AG36" s="87">
        <v>4.4999999999999998E-2</v>
      </c>
      <c r="AH36" s="87">
        <v>0.19404999999999972</v>
      </c>
      <c r="AI36" s="87">
        <v>0</v>
      </c>
      <c r="AJ36" s="87">
        <v>1.4E-2</v>
      </c>
      <c r="AK36" s="87">
        <v>0.35055999999999998</v>
      </c>
      <c r="AL36" s="87">
        <v>-0.25067</v>
      </c>
      <c r="AM36" s="87">
        <v>2.2532400000000004</v>
      </c>
      <c r="AN36" s="87">
        <v>0.01</v>
      </c>
      <c r="AO36" s="87">
        <v>0.03</v>
      </c>
      <c r="AP36" s="87">
        <f>IF($E36="BS",V36,SUM(K36:V36))</f>
        <v>2.0468799999999998</v>
      </c>
      <c r="AQ36" s="87">
        <f>IF($E36="BS",AH36,SUM(W36:AH36))</f>
        <v>3.7338099999999996</v>
      </c>
      <c r="AR36" s="87">
        <f>IF($E36="BS",AO36,SUM(AD36:AO36))</f>
        <v>3.5521799999999994</v>
      </c>
    </row>
    <row r="37" spans="1:44" ht="11.25" customHeight="1" x14ac:dyDescent="0.2">
      <c r="A37" s="88" t="s">
        <v>255</v>
      </c>
      <c r="B37" s="104"/>
      <c r="E37" s="88" t="s">
        <v>376</v>
      </c>
      <c r="G37" s="88" t="s">
        <v>18</v>
      </c>
      <c r="H37" s="88" t="s">
        <v>20</v>
      </c>
      <c r="I37" s="88" t="s">
        <v>20</v>
      </c>
      <c r="J37" s="88" t="s">
        <v>255</v>
      </c>
      <c r="K37" s="87">
        <v>0.11718000000000001</v>
      </c>
      <c r="L37" s="87">
        <v>6.1560000000000004E-2</v>
      </c>
      <c r="M37" s="87">
        <v>5.1120000000000006E-2</v>
      </c>
      <c r="N37" s="87">
        <v>4.440999999999997E-2</v>
      </c>
      <c r="O37" s="87">
        <v>0.11820000000000004</v>
      </c>
      <c r="P37" s="87">
        <v>0.16393999999999995</v>
      </c>
      <c r="Q37" s="87">
        <v>3.4450000000000043E-2</v>
      </c>
      <c r="R37" s="87">
        <v>9.6600000000000019E-2</v>
      </c>
      <c r="S37" s="87">
        <v>0.12243999999999994</v>
      </c>
      <c r="T37" s="87">
        <v>4.5080000000000044E-2</v>
      </c>
      <c r="U37" s="87">
        <v>9.5439999999999942E-2</v>
      </c>
      <c r="V37" s="87">
        <v>0.15725000000000011</v>
      </c>
      <c r="W37" s="87">
        <v>6.5450000000000008E-2</v>
      </c>
      <c r="X37" s="87">
        <v>9.4760000000000011E-2</v>
      </c>
      <c r="Y37" s="87">
        <v>0.15231999999999996</v>
      </c>
      <c r="Z37" s="87">
        <v>4.2770000000000037E-2</v>
      </c>
      <c r="AA37" s="87">
        <v>4.6810000000000004E-2</v>
      </c>
      <c r="AB37" s="87">
        <v>0.12512000000000001</v>
      </c>
      <c r="AC37" s="87">
        <v>0.11893999999999993</v>
      </c>
      <c r="AD37" s="87">
        <v>6.5240000000000006E-2</v>
      </c>
      <c r="AE37" s="87">
        <v>7.7790000000000081E-2</v>
      </c>
      <c r="AF37" s="87">
        <v>8.3649999999999974E-2</v>
      </c>
      <c r="AG37" s="87">
        <v>7.0959999999999926E-2</v>
      </c>
      <c r="AH37" s="87">
        <v>8.8850000000000137E-2</v>
      </c>
      <c r="AI37" s="87">
        <v>3.1379999999999998E-2</v>
      </c>
      <c r="AJ37" s="87">
        <v>6.6300000000000012E-2</v>
      </c>
      <c r="AK37" s="87">
        <v>2.4299999999999999E-2</v>
      </c>
      <c r="AL37" s="87">
        <v>8.8899999999999993E-2</v>
      </c>
      <c r="AM37" s="87">
        <v>7.9990000000000006E-2</v>
      </c>
      <c r="AN37" s="87">
        <v>3.3029999999999976E-2</v>
      </c>
      <c r="AO37" s="87">
        <v>0.11986000000000001</v>
      </c>
      <c r="AP37" s="87">
        <f>IF($E37="BS",V37,SUM(K37:V37))</f>
        <v>1.1076700000000002</v>
      </c>
      <c r="AQ37" s="87">
        <f>IF($E37="BS",AH37,SUM(W37:AH37))</f>
        <v>1.0326600000000001</v>
      </c>
      <c r="AR37" s="87">
        <f>IF($E37="BS",AO37,SUM(AD37:AO37))</f>
        <v>0.83025000000000015</v>
      </c>
    </row>
    <row r="38" spans="1:44" ht="11.25" customHeight="1" x14ac:dyDescent="0.2">
      <c r="A38" s="88" t="s">
        <v>245</v>
      </c>
      <c r="B38" s="104"/>
      <c r="E38" s="88" t="s">
        <v>376</v>
      </c>
      <c r="G38" s="88" t="s">
        <v>13</v>
      </c>
      <c r="H38" s="88" t="s">
        <v>16</v>
      </c>
      <c r="I38" s="88" t="s">
        <v>16</v>
      </c>
      <c r="J38" s="88" t="s">
        <v>245</v>
      </c>
      <c r="K38" s="87">
        <v>0</v>
      </c>
      <c r="L38" s="87">
        <v>0</v>
      </c>
      <c r="M38" s="87">
        <v>0.375</v>
      </c>
      <c r="N38" s="87">
        <v>0</v>
      </c>
      <c r="O38" s="87">
        <v>0</v>
      </c>
      <c r="P38" s="87">
        <v>0.375</v>
      </c>
      <c r="Q38" s="87">
        <v>0</v>
      </c>
      <c r="R38" s="87">
        <v>0</v>
      </c>
      <c r="S38" s="87">
        <v>0.375</v>
      </c>
      <c r="T38" s="87">
        <v>0</v>
      </c>
      <c r="U38" s="87">
        <v>0</v>
      </c>
      <c r="V38" s="87">
        <v>0.375</v>
      </c>
      <c r="W38" s="87">
        <v>0</v>
      </c>
      <c r="X38" s="87">
        <v>0</v>
      </c>
      <c r="Y38" s="87">
        <v>0</v>
      </c>
      <c r="Z38" s="87">
        <v>0</v>
      </c>
      <c r="AA38" s="87">
        <v>0</v>
      </c>
      <c r="AB38" s="87">
        <v>1.1299999999999999</v>
      </c>
      <c r="AC38" s="87">
        <v>0</v>
      </c>
      <c r="AD38" s="87">
        <v>0</v>
      </c>
      <c r="AE38" s="87">
        <v>1.3979999999999999</v>
      </c>
      <c r="AF38" s="87">
        <v>0</v>
      </c>
      <c r="AG38" s="87">
        <v>0</v>
      </c>
      <c r="AH38" s="87">
        <v>0.56499999999999995</v>
      </c>
      <c r="AI38" s="87">
        <v>0</v>
      </c>
      <c r="AJ38" s="87">
        <v>0</v>
      </c>
      <c r="AK38" s="87">
        <v>0</v>
      </c>
      <c r="AL38" s="87">
        <v>0</v>
      </c>
      <c r="AM38" s="87">
        <v>0</v>
      </c>
      <c r="AN38" s="87">
        <v>0</v>
      </c>
      <c r="AO38" s="87">
        <v>0</v>
      </c>
      <c r="AP38" s="87">
        <f>IF($E38="BS",V38,SUM(K38:V38))</f>
        <v>1.5</v>
      </c>
      <c r="AQ38" s="87">
        <f>IF($E38="BS",AH38,SUM(W38:AH38))</f>
        <v>3.0929999999999995</v>
      </c>
      <c r="AR38" s="87">
        <f>IF($E38="BS",AO38,SUM(AD38:AO38))</f>
        <v>1.9629999999999999</v>
      </c>
    </row>
    <row r="39" spans="1:44" ht="11.25" customHeight="1" x14ac:dyDescent="0.2">
      <c r="A39" s="88" t="s">
        <v>243</v>
      </c>
      <c r="B39" s="104"/>
      <c r="E39" s="88" t="s">
        <v>376</v>
      </c>
      <c r="G39" s="88" t="s">
        <v>13</v>
      </c>
      <c r="H39" s="88" t="s">
        <v>14</v>
      </c>
      <c r="I39" s="88" t="s">
        <v>14</v>
      </c>
      <c r="J39" s="88" t="s">
        <v>243</v>
      </c>
      <c r="K39" s="87">
        <v>0.4</v>
      </c>
      <c r="L39" s="87">
        <v>0.4</v>
      </c>
      <c r="M39" s="87">
        <v>0.4</v>
      </c>
      <c r="N39" s="87">
        <v>0.4</v>
      </c>
      <c r="O39" s="87">
        <v>0.4</v>
      </c>
      <c r="P39" s="87">
        <v>-2</v>
      </c>
      <c r="Q39" s="87">
        <v>0</v>
      </c>
      <c r="R39" s="87">
        <v>0.1</v>
      </c>
      <c r="S39" s="87">
        <v>0</v>
      </c>
      <c r="T39" s="87">
        <v>0</v>
      </c>
      <c r="U39" s="87">
        <v>0</v>
      </c>
      <c r="V39" s="87">
        <v>0</v>
      </c>
      <c r="W39" s="87">
        <v>0</v>
      </c>
      <c r="X39" s="87">
        <v>0</v>
      </c>
      <c r="Y39" s="87">
        <v>0</v>
      </c>
      <c r="Z39" s="87">
        <v>0</v>
      </c>
      <c r="AA39" s="87">
        <v>0</v>
      </c>
      <c r="AB39" s="87">
        <v>0</v>
      </c>
      <c r="AC39" s="87">
        <v>0</v>
      </c>
      <c r="AD39" s="87">
        <v>0</v>
      </c>
      <c r="AE39" s="87">
        <v>0</v>
      </c>
      <c r="AF39" s="87">
        <v>0</v>
      </c>
      <c r="AG39" s="87">
        <v>0</v>
      </c>
      <c r="AH39" s="87">
        <v>0</v>
      </c>
      <c r="AI39" s="87">
        <v>0</v>
      </c>
      <c r="AJ39" s="87">
        <v>0</v>
      </c>
      <c r="AK39" s="87">
        <v>0</v>
      </c>
      <c r="AL39" s="87">
        <v>0</v>
      </c>
      <c r="AM39" s="87">
        <v>0</v>
      </c>
      <c r="AN39" s="87">
        <v>0</v>
      </c>
      <c r="AO39" s="87">
        <v>0.10556</v>
      </c>
      <c r="AP39" s="87">
        <f>IF($E39="BS",V39,SUM(K39:V39))</f>
        <v>0.1</v>
      </c>
      <c r="AQ39" s="87">
        <f>IF($E39="BS",AH39,SUM(W39:AH39))</f>
        <v>0</v>
      </c>
      <c r="AR39" s="87">
        <f>IF($E39="BS",AO39,SUM(AD39:AO39))</f>
        <v>0.10556</v>
      </c>
    </row>
    <row r="40" spans="1:44" ht="11.25" customHeight="1" x14ac:dyDescent="0.2">
      <c r="A40" s="88" t="s">
        <v>247</v>
      </c>
      <c r="B40" s="104"/>
      <c r="E40" s="88" t="s">
        <v>376</v>
      </c>
      <c r="G40" s="88" t="s">
        <v>18</v>
      </c>
      <c r="H40" s="88" t="s">
        <v>19</v>
      </c>
      <c r="I40" s="88" t="s">
        <v>19</v>
      </c>
      <c r="J40" s="88" t="s">
        <v>247</v>
      </c>
      <c r="K40" s="87">
        <v>0</v>
      </c>
      <c r="L40" s="87">
        <v>0</v>
      </c>
      <c r="M40" s="87">
        <v>0</v>
      </c>
      <c r="N40" s="87">
        <v>0</v>
      </c>
      <c r="O40" s="87">
        <v>5.4679999999999999E-2</v>
      </c>
      <c r="P40" s="87">
        <v>0.22570999999999997</v>
      </c>
      <c r="Q40" s="87">
        <v>0</v>
      </c>
      <c r="R40" s="87">
        <v>0</v>
      </c>
      <c r="S40" s="87">
        <v>0</v>
      </c>
      <c r="T40" s="87">
        <v>0</v>
      </c>
      <c r="U40" s="87">
        <v>0</v>
      </c>
      <c r="V40" s="87">
        <v>0</v>
      </c>
      <c r="W40" s="87">
        <v>0</v>
      </c>
      <c r="X40" s="87">
        <v>0</v>
      </c>
      <c r="Y40" s="87">
        <v>0</v>
      </c>
      <c r="Z40" s="87">
        <v>0</v>
      </c>
      <c r="AA40" s="87">
        <v>0</v>
      </c>
      <c r="AB40" s="87">
        <v>0</v>
      </c>
      <c r="AC40" s="87">
        <v>0</v>
      </c>
      <c r="AD40" s="87">
        <v>0</v>
      </c>
      <c r="AE40" s="87">
        <v>0</v>
      </c>
      <c r="AF40" s="87">
        <v>0</v>
      </c>
      <c r="AG40" s="87">
        <v>0</v>
      </c>
      <c r="AH40" s="87">
        <v>4.972E-2</v>
      </c>
      <c r="AI40" s="87">
        <v>0</v>
      </c>
      <c r="AJ40" s="87">
        <v>0</v>
      </c>
      <c r="AK40" s="87">
        <v>0</v>
      </c>
      <c r="AL40" s="87">
        <v>0</v>
      </c>
      <c r="AM40" s="87">
        <v>0</v>
      </c>
      <c r="AN40" s="87">
        <v>0</v>
      </c>
      <c r="AO40" s="87">
        <v>0</v>
      </c>
      <c r="AP40" s="87">
        <f>IF($E40="BS",V40,SUM(K40:V40))</f>
        <v>0.28038999999999997</v>
      </c>
      <c r="AQ40" s="87">
        <f>IF($E40="BS",AH40,SUM(W40:AH40))</f>
        <v>4.972E-2</v>
      </c>
      <c r="AR40" s="87">
        <f>IF($E40="BS",AO40,SUM(AD40:AO40))</f>
        <v>4.972E-2</v>
      </c>
    </row>
    <row r="41" spans="1:44" ht="11.25" customHeight="1" x14ac:dyDescent="0.2">
      <c r="A41" s="88" t="s">
        <v>251</v>
      </c>
      <c r="B41" s="104"/>
      <c r="E41" s="88" t="s">
        <v>376</v>
      </c>
      <c r="G41" s="88" t="s">
        <v>18</v>
      </c>
      <c r="H41" s="88" t="s">
        <v>20</v>
      </c>
      <c r="I41" s="88" t="s">
        <v>20</v>
      </c>
      <c r="J41" s="88" t="s">
        <v>251</v>
      </c>
      <c r="K41" s="87">
        <v>0</v>
      </c>
      <c r="L41" s="87">
        <v>0</v>
      </c>
      <c r="M41" s="87">
        <v>0</v>
      </c>
      <c r="N41" s="87">
        <v>0</v>
      </c>
      <c r="O41" s="87">
        <v>0</v>
      </c>
      <c r="P41" s="87">
        <v>0</v>
      </c>
      <c r="Q41" s="87">
        <v>0</v>
      </c>
      <c r="R41" s="87">
        <v>0</v>
      </c>
      <c r="S41" s="87">
        <v>0</v>
      </c>
      <c r="T41" s="87">
        <v>0</v>
      </c>
      <c r="U41" s="87">
        <v>0</v>
      </c>
      <c r="V41" s="87">
        <v>0</v>
      </c>
      <c r="W41" s="87">
        <v>0</v>
      </c>
      <c r="X41" s="87">
        <v>0</v>
      </c>
      <c r="Y41" s="87">
        <v>0</v>
      </c>
      <c r="Z41" s="87">
        <v>-1.782</v>
      </c>
      <c r="AA41" s="87">
        <v>0</v>
      </c>
      <c r="AB41" s="87">
        <v>0</v>
      </c>
      <c r="AC41" s="87">
        <v>0</v>
      </c>
      <c r="AD41" s="87">
        <v>0</v>
      </c>
      <c r="AE41" s="87">
        <v>0</v>
      </c>
      <c r="AF41" s="87">
        <v>0</v>
      </c>
      <c r="AG41" s="87">
        <v>0</v>
      </c>
      <c r="AH41" s="87">
        <v>0</v>
      </c>
      <c r="AI41" s="87">
        <v>0</v>
      </c>
      <c r="AJ41" s="87">
        <v>0</v>
      </c>
      <c r="AK41" s="87">
        <v>0</v>
      </c>
      <c r="AL41" s="87">
        <v>0</v>
      </c>
      <c r="AM41" s="87">
        <v>0</v>
      </c>
      <c r="AN41" s="87">
        <v>0</v>
      </c>
      <c r="AO41" s="87">
        <v>0</v>
      </c>
      <c r="AP41" s="87">
        <f>IF($E41="BS",V41,SUM(K41:V41))</f>
        <v>0</v>
      </c>
      <c r="AQ41" s="87">
        <f>IF($E41="BS",AH41,SUM(W41:AH41))</f>
        <v>-1.782</v>
      </c>
      <c r="AR41" s="87">
        <f>IF($E41="BS",AO41,SUM(AD41:AO41))</f>
        <v>0</v>
      </c>
    </row>
    <row r="42" spans="1:44" ht="11.25" customHeight="1" x14ac:dyDescent="0.2">
      <c r="A42" s="88" t="s">
        <v>265</v>
      </c>
      <c r="B42" s="104"/>
      <c r="E42" s="88" t="s">
        <v>376</v>
      </c>
      <c r="G42" s="88" t="s">
        <v>18</v>
      </c>
      <c r="H42" s="88" t="s">
        <v>20</v>
      </c>
      <c r="I42" s="88" t="s">
        <v>20</v>
      </c>
      <c r="J42" s="88" t="s">
        <v>265</v>
      </c>
      <c r="K42" s="87">
        <v>0</v>
      </c>
      <c r="L42" s="87">
        <v>0</v>
      </c>
      <c r="M42" s="87">
        <v>0</v>
      </c>
      <c r="N42" s="87">
        <v>1.3736400000000002</v>
      </c>
      <c r="O42" s="87">
        <v>1.0535599999999996</v>
      </c>
      <c r="P42" s="87">
        <v>1.1352899999999999</v>
      </c>
      <c r="Q42" s="87">
        <v>2.23184</v>
      </c>
      <c r="R42" s="87">
        <v>0.33214000000000032</v>
      </c>
      <c r="S42" s="87">
        <v>0</v>
      </c>
      <c r="T42" s="87">
        <v>0</v>
      </c>
      <c r="U42" s="87">
        <v>0.28732999999999992</v>
      </c>
      <c r="V42" s="87">
        <v>2.6419700000000002</v>
      </c>
      <c r="W42" s="87">
        <v>3.8300000000000001E-3</v>
      </c>
      <c r="X42" s="87">
        <v>0.6855699999999999</v>
      </c>
      <c r="Y42" s="87">
        <v>0</v>
      </c>
      <c r="Z42" s="87">
        <v>3.0370400000000002</v>
      </c>
      <c r="AA42" s="87">
        <v>0.62775999999999976</v>
      </c>
      <c r="AB42" s="87">
        <v>3.1180500000000002</v>
      </c>
      <c r="AC42" s="87">
        <v>0.13886999999999988</v>
      </c>
      <c r="AD42" s="87">
        <v>0.36588000000000009</v>
      </c>
      <c r="AE42" s="87">
        <v>1.2114099999999999</v>
      </c>
      <c r="AF42" s="87">
        <v>1.5525100000000003</v>
      </c>
      <c r="AG42" s="87">
        <v>6.2499999999999982</v>
      </c>
      <c r="AH42" s="87">
        <v>0</v>
      </c>
      <c r="AI42" s="87">
        <v>1.13148</v>
      </c>
      <c r="AJ42" s="87">
        <v>8.1341099999999997</v>
      </c>
      <c r="AK42" s="87">
        <v>0.90611000000000064</v>
      </c>
      <c r="AL42" s="87">
        <v>1.6740599999999994</v>
      </c>
      <c r="AM42" s="87">
        <v>0.50882999999999989</v>
      </c>
      <c r="AN42" s="87">
        <v>2.9932899999999991</v>
      </c>
      <c r="AO42" s="87">
        <v>2.7779699999999994</v>
      </c>
      <c r="AP42" s="87">
        <f>IF($E42="BS",V42,SUM(K42:V42))</f>
        <v>9.0557700000000008</v>
      </c>
      <c r="AQ42" s="87">
        <f>IF($E42="BS",AH42,SUM(W42:AH42))</f>
        <v>16.990919999999996</v>
      </c>
      <c r="AR42" s="87">
        <f>IF($E42="BS",AO42,SUM(AD42:AO42))</f>
        <v>27.505649999999999</v>
      </c>
    </row>
    <row r="43" spans="1:44" ht="11.25" customHeight="1" x14ac:dyDescent="0.2">
      <c r="A43" s="88" t="s">
        <v>311</v>
      </c>
      <c r="B43" s="104"/>
      <c r="E43" s="88" t="s">
        <v>376</v>
      </c>
      <c r="G43" s="88" t="s">
        <v>18</v>
      </c>
      <c r="H43" s="88" t="s">
        <v>24</v>
      </c>
      <c r="I43" s="88" t="s">
        <v>303</v>
      </c>
      <c r="J43" s="88" t="s">
        <v>311</v>
      </c>
      <c r="K43" s="87">
        <v>0</v>
      </c>
      <c r="L43" s="87">
        <v>0</v>
      </c>
      <c r="M43" s="87">
        <v>0</v>
      </c>
      <c r="N43" s="87">
        <v>0</v>
      </c>
      <c r="O43" s="87">
        <v>0</v>
      </c>
      <c r="P43" s="87">
        <v>0.19538</v>
      </c>
      <c r="Q43" s="87">
        <v>0</v>
      </c>
      <c r="R43" s="87">
        <v>0</v>
      </c>
      <c r="S43" s="87">
        <v>0</v>
      </c>
      <c r="T43" s="87">
        <v>0</v>
      </c>
      <c r="U43" s="87">
        <v>0</v>
      </c>
      <c r="V43" s="87">
        <v>91.939139999999995</v>
      </c>
      <c r="W43" s="87">
        <v>0</v>
      </c>
      <c r="X43" s="87">
        <v>0</v>
      </c>
      <c r="Y43" s="87">
        <v>0</v>
      </c>
      <c r="Z43" s="87">
        <v>0</v>
      </c>
      <c r="AA43" s="87">
        <v>0</v>
      </c>
      <c r="AB43" s="87">
        <v>0</v>
      </c>
      <c r="AC43" s="87">
        <v>0</v>
      </c>
      <c r="AD43" s="87">
        <v>0</v>
      </c>
      <c r="AE43" s="87">
        <v>0</v>
      </c>
      <c r="AF43" s="87">
        <v>0</v>
      </c>
      <c r="AG43" s="87">
        <v>0</v>
      </c>
      <c r="AH43" s="87">
        <v>87.325890000000001</v>
      </c>
      <c r="AI43" s="87">
        <v>0</v>
      </c>
      <c r="AJ43" s="87">
        <v>0</v>
      </c>
      <c r="AK43" s="87">
        <v>0</v>
      </c>
      <c r="AL43" s="87">
        <v>0</v>
      </c>
      <c r="AM43" s="87">
        <v>0</v>
      </c>
      <c r="AN43" s="87">
        <v>0</v>
      </c>
      <c r="AO43" s="87">
        <v>5.6132499999999999</v>
      </c>
      <c r="AP43" s="87">
        <f>IF($E43="BS",V43,SUM(K43:V43))</f>
        <v>92.134519999999995</v>
      </c>
      <c r="AQ43" s="87">
        <f>IF($E43="BS",AH43,SUM(W43:AH43))</f>
        <v>87.325890000000001</v>
      </c>
      <c r="AR43" s="87">
        <f>IF($E43="BS",AO43,SUM(AD43:AO43))</f>
        <v>92.939139999999995</v>
      </c>
    </row>
    <row r="44" spans="1:44" ht="11.25" customHeight="1" x14ac:dyDescent="0.2">
      <c r="A44" s="88" t="s">
        <v>256</v>
      </c>
      <c r="B44" s="104"/>
      <c r="E44" s="88" t="s">
        <v>376</v>
      </c>
      <c r="G44" s="88" t="s">
        <v>18</v>
      </c>
      <c r="H44" s="88" t="s">
        <v>20</v>
      </c>
      <c r="I44" s="88" t="s">
        <v>20</v>
      </c>
      <c r="J44" s="88" t="s">
        <v>256</v>
      </c>
      <c r="K44" s="87">
        <v>0</v>
      </c>
      <c r="L44" s="87">
        <v>2.5000000000000001E-2</v>
      </c>
      <c r="M44" s="87">
        <v>2.5000000000000001E-2</v>
      </c>
      <c r="N44" s="87">
        <v>0</v>
      </c>
      <c r="O44" s="87">
        <v>2.5000000000000001E-2</v>
      </c>
      <c r="P44" s="87">
        <v>0.24287999999999998</v>
      </c>
      <c r="Q44" s="87">
        <v>0.5</v>
      </c>
      <c r="R44" s="87">
        <v>0</v>
      </c>
      <c r="S44" s="87">
        <v>1.9915</v>
      </c>
      <c r="T44" s="87">
        <v>0</v>
      </c>
      <c r="U44" s="87">
        <v>0</v>
      </c>
      <c r="V44" s="87">
        <v>0.1</v>
      </c>
      <c r="W44" s="87">
        <v>8.3989999999999995E-2</v>
      </c>
      <c r="X44" s="87">
        <v>0</v>
      </c>
      <c r="Y44" s="87">
        <v>0</v>
      </c>
      <c r="Z44" s="87">
        <v>0</v>
      </c>
      <c r="AA44" s="87">
        <v>0</v>
      </c>
      <c r="AB44" s="87">
        <v>0</v>
      </c>
      <c r="AC44" s="87">
        <v>0</v>
      </c>
      <c r="AD44" s="87">
        <v>0</v>
      </c>
      <c r="AE44" s="87">
        <v>1.6595</v>
      </c>
      <c r="AF44" s="87">
        <v>0</v>
      </c>
      <c r="AG44" s="87">
        <v>0</v>
      </c>
      <c r="AH44" s="87">
        <v>0</v>
      </c>
      <c r="AI44" s="87">
        <v>0</v>
      </c>
      <c r="AJ44" s="87">
        <v>0</v>
      </c>
      <c r="AK44" s="87">
        <v>7.7620000000000008E-2</v>
      </c>
      <c r="AL44" s="87">
        <v>7.4999999999999997E-2</v>
      </c>
      <c r="AM44" s="87">
        <v>0</v>
      </c>
      <c r="AN44" s="87">
        <v>0</v>
      </c>
      <c r="AO44" s="87">
        <v>0</v>
      </c>
      <c r="AP44" s="87">
        <f>IF($E44="BS",V44,SUM(K44:V44))</f>
        <v>2.9093800000000001</v>
      </c>
      <c r="AQ44" s="87">
        <f>IF($E44="BS",AH44,SUM(W44:AH44))</f>
        <v>1.74349</v>
      </c>
      <c r="AR44" s="87">
        <f>IF($E44="BS",AO44,SUM(AD44:AO44))</f>
        <v>1.81212</v>
      </c>
    </row>
    <row r="45" spans="1:44" ht="11.25" customHeight="1" x14ac:dyDescent="0.2">
      <c r="A45" s="88" t="s">
        <v>260</v>
      </c>
      <c r="B45" s="104"/>
      <c r="E45" s="88" t="s">
        <v>376</v>
      </c>
      <c r="G45" s="88" t="s">
        <v>18</v>
      </c>
      <c r="H45" s="88" t="s">
        <v>20</v>
      </c>
      <c r="I45" s="88" t="s">
        <v>20</v>
      </c>
      <c r="J45" s="88" t="s">
        <v>260</v>
      </c>
      <c r="K45" s="87">
        <v>0</v>
      </c>
      <c r="L45" s="87">
        <v>0</v>
      </c>
      <c r="M45" s="87">
        <v>4</v>
      </c>
      <c r="N45" s="87">
        <v>0</v>
      </c>
      <c r="O45" s="87">
        <v>0</v>
      </c>
      <c r="P45" s="87">
        <v>0</v>
      </c>
      <c r="Q45" s="87">
        <v>4</v>
      </c>
      <c r="R45" s="87">
        <v>0</v>
      </c>
      <c r="S45" s="87">
        <v>0</v>
      </c>
      <c r="T45" s="87">
        <v>4</v>
      </c>
      <c r="U45" s="87">
        <v>0</v>
      </c>
      <c r="V45" s="87">
        <v>0</v>
      </c>
      <c r="W45" s="87">
        <v>8</v>
      </c>
      <c r="X45" s="87">
        <v>0</v>
      </c>
      <c r="Y45" s="87">
        <v>4</v>
      </c>
      <c r="Z45" s="87">
        <v>0</v>
      </c>
      <c r="AA45" s="87">
        <v>0</v>
      </c>
      <c r="AB45" s="87">
        <v>4</v>
      </c>
      <c r="AC45" s="87">
        <v>0</v>
      </c>
      <c r="AD45" s="87">
        <v>0</v>
      </c>
      <c r="AE45" s="87">
        <v>4</v>
      </c>
      <c r="AF45" s="87">
        <v>0</v>
      </c>
      <c r="AG45" s="87">
        <v>0</v>
      </c>
      <c r="AH45" s="87">
        <v>0</v>
      </c>
      <c r="AI45" s="87">
        <v>0</v>
      </c>
      <c r="AJ45" s="87">
        <v>0</v>
      </c>
      <c r="AK45" s="87">
        <v>0</v>
      </c>
      <c r="AL45" s="87">
        <v>0</v>
      </c>
      <c r="AM45" s="87">
        <v>0</v>
      </c>
      <c r="AN45" s="87">
        <v>0</v>
      </c>
      <c r="AO45" s="87">
        <v>0</v>
      </c>
      <c r="AP45" s="87">
        <f>IF($E45="BS",V45,SUM(K45:V45))</f>
        <v>12</v>
      </c>
      <c r="AQ45" s="87">
        <f>IF($E45="BS",AH45,SUM(W45:AH45))</f>
        <v>20</v>
      </c>
      <c r="AR45" s="87">
        <f>IF($E45="BS",AO45,SUM(AD45:AO45))</f>
        <v>4</v>
      </c>
    </row>
    <row r="46" spans="1:44" ht="11.25" customHeight="1" x14ac:dyDescent="0.2">
      <c r="A46" s="88" t="s">
        <v>253</v>
      </c>
      <c r="B46" s="104"/>
      <c r="E46" s="88" t="s">
        <v>376</v>
      </c>
      <c r="G46" s="88" t="s">
        <v>18</v>
      </c>
      <c r="H46" s="88" t="s">
        <v>20</v>
      </c>
      <c r="I46" s="88" t="s">
        <v>20</v>
      </c>
      <c r="J46" s="88" t="s">
        <v>253</v>
      </c>
      <c r="K46" s="87">
        <v>5.6000000000000001E-2</v>
      </c>
      <c r="L46" s="87">
        <v>5.9499999999999997E-2</v>
      </c>
      <c r="M46" s="87">
        <v>5.6000000000000001E-2</v>
      </c>
      <c r="N46" s="87">
        <v>5.2499999999999998E-2</v>
      </c>
      <c r="O46" s="87">
        <v>5.2499999999999998E-2</v>
      </c>
      <c r="P46" s="87">
        <v>5.2499999999999998E-2</v>
      </c>
      <c r="Q46" s="87">
        <v>5.2499999999999998E-2</v>
      </c>
      <c r="R46" s="87">
        <v>5.2499999999999998E-2</v>
      </c>
      <c r="S46" s="87">
        <v>4.5499999999999999E-2</v>
      </c>
      <c r="T46" s="87">
        <v>4.2000000000000003E-2</v>
      </c>
      <c r="U46" s="87">
        <v>4.2000000000000003E-2</v>
      </c>
      <c r="V46" s="87">
        <v>4.2000000000000003E-2</v>
      </c>
      <c r="W46" s="87">
        <v>4.5499999999999999E-2</v>
      </c>
      <c r="X46" s="87">
        <v>4.9000000000000002E-2</v>
      </c>
      <c r="Y46" s="87">
        <v>4.9000000000000002E-2</v>
      </c>
      <c r="Z46" s="87">
        <v>5.2499999999999998E-2</v>
      </c>
      <c r="AA46" s="87">
        <v>5.2499999999999998E-2</v>
      </c>
      <c r="AB46" s="87">
        <v>5.2499999999999998E-2</v>
      </c>
      <c r="AC46" s="87">
        <v>0</v>
      </c>
      <c r="AD46" s="87">
        <v>0</v>
      </c>
      <c r="AE46" s="87">
        <v>0</v>
      </c>
      <c r="AF46" s="87">
        <v>0</v>
      </c>
      <c r="AG46" s="87">
        <v>0</v>
      </c>
      <c r="AH46" s="87">
        <v>0</v>
      </c>
      <c r="AI46" s="87">
        <v>0</v>
      </c>
      <c r="AJ46" s="87">
        <v>0</v>
      </c>
      <c r="AK46" s="87">
        <v>0</v>
      </c>
      <c r="AL46" s="87">
        <v>0</v>
      </c>
      <c r="AM46" s="87">
        <v>0</v>
      </c>
      <c r="AN46" s="87">
        <v>0</v>
      </c>
      <c r="AO46" s="87">
        <v>0</v>
      </c>
      <c r="AP46" s="87">
        <f>IF($E46="BS",V46,SUM(K46:V46))</f>
        <v>0.60550000000000004</v>
      </c>
      <c r="AQ46" s="87">
        <f>IF($E46="BS",AH46,SUM(W46:AH46))</f>
        <v>0.30099999999999999</v>
      </c>
      <c r="AR46" s="87">
        <f>IF($E46="BS",AO46,SUM(AD46:AO46))</f>
        <v>0</v>
      </c>
    </row>
    <row r="47" spans="1:44" ht="11.25" customHeight="1" x14ac:dyDescent="0.2">
      <c r="A47" s="88" t="s">
        <v>415</v>
      </c>
      <c r="B47" s="104"/>
      <c r="E47" s="88" t="s">
        <v>376</v>
      </c>
      <c r="G47" s="88" t="s">
        <v>18</v>
      </c>
      <c r="H47" s="88" t="s">
        <v>22</v>
      </c>
      <c r="I47" s="88" t="s">
        <v>22</v>
      </c>
      <c r="J47" s="88" t="s">
        <v>270</v>
      </c>
      <c r="K47" s="87">
        <v>0</v>
      </c>
      <c r="L47" s="87">
        <v>0.61199999999999999</v>
      </c>
      <c r="M47" s="87">
        <v>0</v>
      </c>
      <c r="N47" s="87">
        <v>0</v>
      </c>
      <c r="O47" s="87">
        <v>0</v>
      </c>
      <c r="P47" s="87">
        <v>0</v>
      </c>
      <c r="Q47" s="87">
        <v>0</v>
      </c>
      <c r="R47" s="87">
        <v>0.80700000000000005</v>
      </c>
      <c r="S47" s="87">
        <v>0</v>
      </c>
      <c r="T47" s="87">
        <v>0</v>
      </c>
      <c r="U47" s="87">
        <v>0</v>
      </c>
      <c r="V47" s="87">
        <v>0</v>
      </c>
      <c r="W47" s="87">
        <v>0.80837000000000003</v>
      </c>
      <c r="X47" s="87">
        <v>0</v>
      </c>
      <c r="Y47" s="87">
        <v>0</v>
      </c>
      <c r="Z47" s="87">
        <v>0</v>
      </c>
      <c r="AA47" s="87">
        <v>0</v>
      </c>
      <c r="AB47" s="87">
        <v>0</v>
      </c>
      <c r="AC47" s="87">
        <v>0</v>
      </c>
      <c r="AD47" s="87">
        <v>0</v>
      </c>
      <c r="AE47" s="87">
        <v>0</v>
      </c>
      <c r="AF47" s="87">
        <v>0</v>
      </c>
      <c r="AG47" s="87">
        <v>0</v>
      </c>
      <c r="AH47" s="87">
        <v>0</v>
      </c>
      <c r="AI47" s="87">
        <v>0</v>
      </c>
      <c r="AJ47" s="87">
        <v>0</v>
      </c>
      <c r="AK47" s="87">
        <v>0</v>
      </c>
      <c r="AL47" s="87">
        <v>0</v>
      </c>
      <c r="AM47" s="87">
        <v>0</v>
      </c>
      <c r="AN47" s="87">
        <v>0</v>
      </c>
      <c r="AO47" s="87">
        <v>0.85294000000000003</v>
      </c>
      <c r="AP47" s="87">
        <f>IF($E47="BS",V47,SUM(K47:V47))</f>
        <v>1.419</v>
      </c>
      <c r="AQ47" s="87">
        <f>IF($E47="BS",AH47,SUM(W47:AH47))</f>
        <v>0.80837000000000003</v>
      </c>
      <c r="AR47" s="87">
        <f>IF($E47="BS",AO47,SUM(AD47:AO47))</f>
        <v>0.85294000000000003</v>
      </c>
    </row>
    <row r="48" spans="1:44" ht="11.25" customHeight="1" x14ac:dyDescent="0.2">
      <c r="A48" s="88" t="s">
        <v>414</v>
      </c>
      <c r="B48" s="104"/>
      <c r="E48" s="88" t="s">
        <v>376</v>
      </c>
      <c r="G48" s="88" t="s">
        <v>18</v>
      </c>
      <c r="H48" s="88" t="s">
        <v>22</v>
      </c>
      <c r="I48" s="88" t="s">
        <v>22</v>
      </c>
      <c r="J48" s="88" t="s">
        <v>273</v>
      </c>
      <c r="K48" s="87">
        <v>0</v>
      </c>
      <c r="L48" s="87">
        <v>0</v>
      </c>
      <c r="M48" s="87">
        <v>0</v>
      </c>
      <c r="N48" s="87">
        <v>0</v>
      </c>
      <c r="O48" s="87">
        <v>0</v>
      </c>
      <c r="P48" s="87">
        <v>0</v>
      </c>
      <c r="Q48" s="87">
        <v>0</v>
      </c>
      <c r="R48" s="87">
        <v>0</v>
      </c>
      <c r="S48" s="87">
        <v>0</v>
      </c>
      <c r="T48" s="87">
        <v>0</v>
      </c>
      <c r="U48" s="87">
        <v>0</v>
      </c>
      <c r="V48" s="87">
        <v>0</v>
      </c>
      <c r="W48" s="87">
        <v>0</v>
      </c>
      <c r="X48" s="87">
        <v>0</v>
      </c>
      <c r="Y48" s="87">
        <v>0</v>
      </c>
      <c r="Z48" s="87">
        <v>0</v>
      </c>
      <c r="AA48" s="87">
        <v>0</v>
      </c>
      <c r="AB48" s="87">
        <v>0</v>
      </c>
      <c r="AC48" s="87">
        <v>0</v>
      </c>
      <c r="AD48" s="87">
        <v>0</v>
      </c>
      <c r="AE48" s="87">
        <v>0</v>
      </c>
      <c r="AF48" s="87">
        <v>3.75</v>
      </c>
      <c r="AG48" s="87">
        <v>0</v>
      </c>
      <c r="AH48" s="87">
        <v>0</v>
      </c>
      <c r="AI48" s="87">
        <v>0</v>
      </c>
      <c r="AJ48" s="87">
        <v>0</v>
      </c>
      <c r="AK48" s="87">
        <v>0</v>
      </c>
      <c r="AL48" s="87">
        <v>0</v>
      </c>
      <c r="AM48" s="87">
        <v>0</v>
      </c>
      <c r="AN48" s="87">
        <v>0</v>
      </c>
      <c r="AO48" s="87">
        <v>0</v>
      </c>
      <c r="AP48" s="87">
        <f>IF($E48="BS",V48,SUM(K48:V48))</f>
        <v>0</v>
      </c>
      <c r="AQ48" s="87">
        <f>IF($E48="BS",AH48,SUM(W48:AH48))</f>
        <v>3.75</v>
      </c>
      <c r="AR48" s="87">
        <f>IF($E48="BS",AO48,SUM(AD48:AO48))</f>
        <v>3.75</v>
      </c>
    </row>
    <row r="49" spans="1:44" ht="11.25" customHeight="1" x14ac:dyDescent="0.2">
      <c r="A49" s="88" t="s">
        <v>413</v>
      </c>
      <c r="B49" s="104"/>
      <c r="E49" s="88" t="s">
        <v>376</v>
      </c>
      <c r="G49" s="88" t="s">
        <v>18</v>
      </c>
      <c r="H49" s="88" t="s">
        <v>22</v>
      </c>
      <c r="I49" s="88" t="s">
        <v>22</v>
      </c>
      <c r="J49" s="88" t="s">
        <v>275</v>
      </c>
      <c r="K49" s="87">
        <v>0</v>
      </c>
      <c r="L49" s="87">
        <v>0</v>
      </c>
      <c r="M49" s="87">
        <v>0</v>
      </c>
      <c r="N49" s="87">
        <v>3.9409999999999998</v>
      </c>
      <c r="O49" s="87">
        <v>0</v>
      </c>
      <c r="P49" s="87">
        <v>0</v>
      </c>
      <c r="Q49" s="87">
        <v>0</v>
      </c>
      <c r="R49" s="87">
        <v>0</v>
      </c>
      <c r="S49" s="87">
        <v>0</v>
      </c>
      <c r="T49" s="87">
        <v>0</v>
      </c>
      <c r="U49" s="87">
        <v>0</v>
      </c>
      <c r="V49" s="87">
        <v>0</v>
      </c>
      <c r="W49" s="87">
        <v>0</v>
      </c>
      <c r="X49" s="87">
        <v>0</v>
      </c>
      <c r="Y49" s="87">
        <v>0</v>
      </c>
      <c r="Z49" s="87">
        <v>3.9409999999999998</v>
      </c>
      <c r="AA49" s="87">
        <v>0</v>
      </c>
      <c r="AB49" s="87">
        <v>0</v>
      </c>
      <c r="AC49" s="87">
        <v>0</v>
      </c>
      <c r="AD49" s="87">
        <v>0</v>
      </c>
      <c r="AE49" s="87">
        <v>0</v>
      </c>
      <c r="AF49" s="87">
        <v>0</v>
      </c>
      <c r="AG49" s="87">
        <v>0</v>
      </c>
      <c r="AH49" s="87">
        <v>0</v>
      </c>
      <c r="AI49" s="87">
        <v>0</v>
      </c>
      <c r="AJ49" s="87">
        <v>0</v>
      </c>
      <c r="AK49" s="87">
        <v>0</v>
      </c>
      <c r="AL49" s="87">
        <v>3.9409999999999998</v>
      </c>
      <c r="AM49" s="87">
        <v>0</v>
      </c>
      <c r="AN49" s="87">
        <v>0</v>
      </c>
      <c r="AO49" s="87">
        <v>0</v>
      </c>
      <c r="AP49" s="87">
        <f>IF($E49="BS",V49,SUM(K49:V49))</f>
        <v>3.9409999999999998</v>
      </c>
      <c r="AQ49" s="87">
        <f>IF($E49="BS",AH49,SUM(W49:AH49))</f>
        <v>3.9409999999999998</v>
      </c>
      <c r="AR49" s="87">
        <f>IF($E49="BS",AO49,SUM(AD49:AO49))</f>
        <v>3.9409999999999998</v>
      </c>
    </row>
    <row r="50" spans="1:44" ht="11.25" customHeight="1" x14ac:dyDescent="0.2">
      <c r="A50" s="88" t="s">
        <v>412</v>
      </c>
      <c r="B50" s="104"/>
      <c r="E50" s="88" t="s">
        <v>376</v>
      </c>
      <c r="G50" s="88" t="s">
        <v>18</v>
      </c>
      <c r="H50" s="88" t="s">
        <v>22</v>
      </c>
      <c r="I50" s="88" t="s">
        <v>22</v>
      </c>
      <c r="J50" s="88" t="s">
        <v>280</v>
      </c>
      <c r="K50" s="87">
        <v>0</v>
      </c>
      <c r="L50" s="87">
        <v>0</v>
      </c>
      <c r="M50" s="87">
        <v>0</v>
      </c>
      <c r="N50" s="87">
        <v>0</v>
      </c>
      <c r="O50" s="87">
        <v>18.670150000000003</v>
      </c>
      <c r="P50" s="87">
        <v>14.064849999999998</v>
      </c>
      <c r="Q50" s="87">
        <v>0</v>
      </c>
      <c r="R50" s="87">
        <v>0</v>
      </c>
      <c r="S50" s="87">
        <v>0</v>
      </c>
      <c r="T50" s="87">
        <v>0</v>
      </c>
      <c r="U50" s="87">
        <v>0</v>
      </c>
      <c r="V50" s="87">
        <v>0</v>
      </c>
      <c r="W50" s="87">
        <v>0</v>
      </c>
      <c r="X50" s="87">
        <v>0</v>
      </c>
      <c r="Y50" s="87">
        <v>0</v>
      </c>
      <c r="Z50" s="87">
        <v>0</v>
      </c>
      <c r="AA50" s="87">
        <v>34.348849999999999</v>
      </c>
      <c r="AB50" s="87">
        <v>0</v>
      </c>
      <c r="AC50" s="87">
        <v>0</v>
      </c>
      <c r="AD50" s="87">
        <v>0</v>
      </c>
      <c r="AE50" s="87">
        <v>0</v>
      </c>
      <c r="AF50" s="87">
        <v>0</v>
      </c>
      <c r="AG50" s="87">
        <v>0</v>
      </c>
      <c r="AH50" s="87">
        <v>0</v>
      </c>
      <c r="AI50" s="87">
        <v>0</v>
      </c>
      <c r="AJ50" s="87">
        <v>0</v>
      </c>
      <c r="AK50" s="87">
        <v>0</v>
      </c>
      <c r="AL50" s="87">
        <v>0.95699999999999996</v>
      </c>
      <c r="AM50" s="87">
        <v>0</v>
      </c>
      <c r="AN50" s="87">
        <v>29.972249999999999</v>
      </c>
      <c r="AO50" s="87">
        <v>0</v>
      </c>
      <c r="AP50" s="87">
        <f>IF($E50="BS",V50,SUM(K50:V50))</f>
        <v>32.734999999999999</v>
      </c>
      <c r="AQ50" s="87">
        <f>IF($E50="BS",AH50,SUM(W50:AH50))</f>
        <v>34.348849999999999</v>
      </c>
      <c r="AR50" s="87">
        <f>IF($E50="BS",AO50,SUM(AD50:AO50))</f>
        <v>30.92925</v>
      </c>
    </row>
    <row r="51" spans="1:44" ht="11.25" customHeight="1" x14ac:dyDescent="0.2">
      <c r="A51" s="88" t="s">
        <v>411</v>
      </c>
      <c r="B51" s="104"/>
      <c r="E51" s="88" t="s">
        <v>376</v>
      </c>
      <c r="G51" s="88" t="s">
        <v>18</v>
      </c>
      <c r="H51" s="88" t="s">
        <v>22</v>
      </c>
      <c r="I51" s="88" t="s">
        <v>22</v>
      </c>
      <c r="J51" s="88" t="s">
        <v>274</v>
      </c>
      <c r="K51" s="87">
        <v>0</v>
      </c>
      <c r="L51" s="87">
        <v>0</v>
      </c>
      <c r="M51" s="87">
        <v>0.19950000000000001</v>
      </c>
      <c r="N51" s="87">
        <v>0</v>
      </c>
      <c r="O51" s="87">
        <v>0</v>
      </c>
      <c r="P51" s="87">
        <v>0.20050000000000001</v>
      </c>
      <c r="Q51" s="87">
        <v>0</v>
      </c>
      <c r="R51" s="87">
        <v>0</v>
      </c>
      <c r="S51" s="87">
        <v>0.20050000000000001</v>
      </c>
      <c r="T51" s="87">
        <v>0</v>
      </c>
      <c r="U51" s="87">
        <v>0</v>
      </c>
      <c r="V51" s="87">
        <v>0.20050000000000001</v>
      </c>
      <c r="W51" s="87">
        <v>0</v>
      </c>
      <c r="X51" s="87">
        <v>0</v>
      </c>
      <c r="Y51" s="87">
        <v>0.23175000000000001</v>
      </c>
      <c r="Z51" s="87">
        <v>0</v>
      </c>
      <c r="AA51" s="87">
        <v>0</v>
      </c>
      <c r="AB51" s="87">
        <v>0.22975000000000001</v>
      </c>
      <c r="AC51" s="87">
        <v>0</v>
      </c>
      <c r="AD51" s="87">
        <v>0</v>
      </c>
      <c r="AE51" s="87">
        <v>0.22975000000000001</v>
      </c>
      <c r="AF51" s="87">
        <v>0</v>
      </c>
      <c r="AG51" s="87">
        <v>0</v>
      </c>
      <c r="AH51" s="87">
        <v>0.22975000000000001</v>
      </c>
      <c r="AI51" s="87">
        <v>0</v>
      </c>
      <c r="AJ51" s="87">
        <v>0</v>
      </c>
      <c r="AK51" s="87">
        <v>0</v>
      </c>
      <c r="AL51" s="87">
        <v>0</v>
      </c>
      <c r="AM51" s="87">
        <v>0</v>
      </c>
      <c r="AN51" s="87">
        <v>0.75430999999999993</v>
      </c>
      <c r="AO51" s="87">
        <v>2.5391599999999999</v>
      </c>
      <c r="AP51" s="87">
        <f>IF($E51="BS",V51,SUM(K51:V51))</f>
        <v>0.80100000000000005</v>
      </c>
      <c r="AQ51" s="87">
        <f>IF($E51="BS",AH51,SUM(W51:AH51))</f>
        <v>0.92100000000000004</v>
      </c>
      <c r="AR51" s="87">
        <f>IF($E51="BS",AO51,SUM(AD51:AO51))</f>
        <v>3.7529699999999999</v>
      </c>
    </row>
    <row r="52" spans="1:44" ht="11.25" customHeight="1" x14ac:dyDescent="0.2">
      <c r="A52" s="88" t="s">
        <v>410</v>
      </c>
      <c r="B52" s="104"/>
      <c r="E52" s="88" t="s">
        <v>376</v>
      </c>
      <c r="G52" s="88" t="s">
        <v>18</v>
      </c>
      <c r="H52" s="88" t="s">
        <v>22</v>
      </c>
      <c r="I52" s="88" t="s">
        <v>22</v>
      </c>
      <c r="J52" s="88" t="s">
        <v>279</v>
      </c>
      <c r="K52" s="87">
        <v>0</v>
      </c>
      <c r="L52" s="87">
        <v>0</v>
      </c>
      <c r="M52" s="87">
        <v>0</v>
      </c>
      <c r="N52" s="87">
        <v>0</v>
      </c>
      <c r="O52" s="87">
        <v>14.047000000000001</v>
      </c>
      <c r="P52" s="87">
        <v>0</v>
      </c>
      <c r="Q52" s="87">
        <v>0</v>
      </c>
      <c r="R52" s="87">
        <v>0</v>
      </c>
      <c r="S52" s="87">
        <v>0</v>
      </c>
      <c r="T52" s="87">
        <v>0</v>
      </c>
      <c r="U52" s="87">
        <v>0</v>
      </c>
      <c r="V52" s="87">
        <v>0</v>
      </c>
      <c r="W52" s="87">
        <v>0</v>
      </c>
      <c r="X52" s="87">
        <v>0</v>
      </c>
      <c r="Y52" s="87">
        <v>0</v>
      </c>
      <c r="Z52" s="87">
        <v>14.097</v>
      </c>
      <c r="AA52" s="87">
        <v>0</v>
      </c>
      <c r="AB52" s="87">
        <v>0</v>
      </c>
      <c r="AC52" s="87">
        <v>0</v>
      </c>
      <c r="AD52" s="87">
        <v>0</v>
      </c>
      <c r="AE52" s="87">
        <v>0</v>
      </c>
      <c r="AF52" s="87">
        <v>0</v>
      </c>
      <c r="AG52" s="87">
        <v>0</v>
      </c>
      <c r="AH52" s="87">
        <v>0</v>
      </c>
      <c r="AI52" s="87">
        <v>0</v>
      </c>
      <c r="AJ52" s="87">
        <v>0</v>
      </c>
      <c r="AK52" s="87">
        <v>0</v>
      </c>
      <c r="AL52" s="87">
        <v>13.14</v>
      </c>
      <c r="AM52" s="87">
        <v>0</v>
      </c>
      <c r="AN52" s="87">
        <v>0</v>
      </c>
      <c r="AO52" s="87">
        <v>0</v>
      </c>
      <c r="AP52" s="87">
        <f>IF($E52="BS",V52,SUM(K52:V52))</f>
        <v>14.047000000000001</v>
      </c>
      <c r="AQ52" s="87">
        <f>IF($E52="BS",AH52,SUM(W52:AH52))</f>
        <v>14.097</v>
      </c>
      <c r="AR52" s="87">
        <f>IF($E52="BS",AO52,SUM(AD52:AO52))</f>
        <v>13.14</v>
      </c>
    </row>
    <row r="53" spans="1:44" ht="11.25" customHeight="1" x14ac:dyDescent="0.2">
      <c r="A53" s="88" t="s">
        <v>409</v>
      </c>
      <c r="B53" s="104"/>
      <c r="E53" s="88" t="s">
        <v>376</v>
      </c>
      <c r="G53" s="88" t="s">
        <v>18</v>
      </c>
      <c r="H53" s="88" t="s">
        <v>22</v>
      </c>
      <c r="I53" s="88" t="s">
        <v>22</v>
      </c>
      <c r="J53" s="88" t="s">
        <v>271</v>
      </c>
      <c r="K53" s="87">
        <v>0</v>
      </c>
      <c r="L53" s="87">
        <v>0</v>
      </c>
      <c r="M53" s="87">
        <v>0.67300000000000004</v>
      </c>
      <c r="N53" s="87">
        <v>0</v>
      </c>
      <c r="O53" s="87">
        <v>0</v>
      </c>
      <c r="P53" s="87">
        <v>0.66100000000000003</v>
      </c>
      <c r="Q53" s="87">
        <v>0</v>
      </c>
      <c r="R53" s="87">
        <v>0</v>
      </c>
      <c r="S53" s="87">
        <v>0.66100000000000003</v>
      </c>
      <c r="T53" s="87">
        <v>0</v>
      </c>
      <c r="U53" s="87">
        <v>0</v>
      </c>
      <c r="V53" s="87">
        <v>0.66100000000000003</v>
      </c>
      <c r="W53" s="87">
        <v>0</v>
      </c>
      <c r="X53" s="87">
        <v>0</v>
      </c>
      <c r="Y53" s="87">
        <v>0.66800000000000004</v>
      </c>
      <c r="Z53" s="87">
        <v>0</v>
      </c>
      <c r="AA53" s="87">
        <v>0</v>
      </c>
      <c r="AB53" s="87">
        <v>0.66100000000000003</v>
      </c>
      <c r="AC53" s="87">
        <v>0</v>
      </c>
      <c r="AD53" s="87">
        <v>0</v>
      </c>
      <c r="AE53" s="87">
        <v>0.66100000000000003</v>
      </c>
      <c r="AF53" s="87">
        <v>0</v>
      </c>
      <c r="AG53" s="87">
        <v>0</v>
      </c>
      <c r="AH53" s="87">
        <v>0.66100000000000003</v>
      </c>
      <c r="AI53" s="87">
        <v>0</v>
      </c>
      <c r="AJ53" s="87">
        <v>0</v>
      </c>
      <c r="AK53" s="87">
        <v>0</v>
      </c>
      <c r="AL53" s="87">
        <v>0</v>
      </c>
      <c r="AM53" s="87">
        <v>0</v>
      </c>
      <c r="AN53" s="87">
        <v>0</v>
      </c>
      <c r="AO53" s="87">
        <v>0</v>
      </c>
      <c r="AP53" s="87">
        <f>IF($E53="BS",V53,SUM(K53:V53))</f>
        <v>2.6560000000000001</v>
      </c>
      <c r="AQ53" s="87">
        <f>IF($E53="BS",AH53,SUM(W53:AH53))</f>
        <v>2.6510000000000002</v>
      </c>
      <c r="AR53" s="87">
        <f>IF($E53="BS",AO53,SUM(AD53:AO53))</f>
        <v>1.3220000000000001</v>
      </c>
    </row>
    <row r="54" spans="1:44" ht="11.25" customHeight="1" x14ac:dyDescent="0.2">
      <c r="A54" s="88" t="s">
        <v>408</v>
      </c>
      <c r="B54" s="104"/>
      <c r="E54" s="88" t="s">
        <v>376</v>
      </c>
      <c r="G54" s="88" t="s">
        <v>18</v>
      </c>
      <c r="H54" s="88" t="s">
        <v>22</v>
      </c>
      <c r="I54" s="88" t="s">
        <v>22</v>
      </c>
      <c r="J54" s="88" t="s">
        <v>276</v>
      </c>
      <c r="K54" s="87">
        <v>0.49148999999999998</v>
      </c>
      <c r="L54" s="87">
        <v>0.46276</v>
      </c>
      <c r="M54" s="87">
        <v>0.44354999999999994</v>
      </c>
      <c r="N54" s="87">
        <v>0.43719000000000008</v>
      </c>
      <c r="O54" s="87">
        <v>0.41795999999999983</v>
      </c>
      <c r="P54" s="87">
        <v>0.41857000000000016</v>
      </c>
      <c r="Q54" s="87">
        <v>0.42282999999999993</v>
      </c>
      <c r="R54" s="87">
        <v>0.42386000000000013</v>
      </c>
      <c r="S54" s="87">
        <v>0.42769000000000007</v>
      </c>
      <c r="T54" s="87">
        <v>0.42445999999999956</v>
      </c>
      <c r="U54" s="87">
        <v>0.43703999999999998</v>
      </c>
      <c r="V54" s="87">
        <v>1.4115600000000004</v>
      </c>
      <c r="W54" s="87">
        <v>0.42496</v>
      </c>
      <c r="X54" s="87">
        <v>0.42746000000000001</v>
      </c>
      <c r="Y54" s="87">
        <v>0.43262</v>
      </c>
      <c r="Z54" s="87">
        <v>0</v>
      </c>
      <c r="AA54" s="87">
        <v>0</v>
      </c>
      <c r="AB54" s="87">
        <v>0</v>
      </c>
      <c r="AC54" s="87">
        <v>0</v>
      </c>
      <c r="AD54" s="87">
        <v>0</v>
      </c>
      <c r="AE54" s="87">
        <v>0</v>
      </c>
      <c r="AF54" s="87">
        <v>0</v>
      </c>
      <c r="AG54" s="87">
        <v>0</v>
      </c>
      <c r="AH54" s="87">
        <v>4.5585000000000004</v>
      </c>
      <c r="AI54" s="87">
        <v>0</v>
      </c>
      <c r="AJ54" s="87">
        <v>0</v>
      </c>
      <c r="AK54" s="87">
        <v>0</v>
      </c>
      <c r="AL54" s="87">
        <v>0</v>
      </c>
      <c r="AM54" s="87">
        <v>0</v>
      </c>
      <c r="AN54" s="87">
        <v>0</v>
      </c>
      <c r="AO54" s="87">
        <v>0</v>
      </c>
      <c r="AP54" s="87">
        <f>IF($E54="BS",V54,SUM(K54:V54))</f>
        <v>6.21896</v>
      </c>
      <c r="AQ54" s="87">
        <f>IF($E54="BS",AH54,SUM(W54:AH54))</f>
        <v>5.8435400000000008</v>
      </c>
      <c r="AR54" s="87">
        <f>IF($E54="BS",AO54,SUM(AD54:AO54))</f>
        <v>4.5585000000000004</v>
      </c>
    </row>
    <row r="55" spans="1:44" ht="11.25" customHeight="1" x14ac:dyDescent="0.2">
      <c r="A55" s="88" t="s">
        <v>407</v>
      </c>
      <c r="B55" s="104"/>
      <c r="E55" s="88" t="s">
        <v>376</v>
      </c>
      <c r="G55" s="88" t="s">
        <v>18</v>
      </c>
      <c r="H55" s="88" t="s">
        <v>22</v>
      </c>
      <c r="I55" s="88" t="s">
        <v>22</v>
      </c>
      <c r="J55" s="88" t="s">
        <v>277</v>
      </c>
      <c r="K55" s="87">
        <v>0.48257</v>
      </c>
      <c r="L55" s="87">
        <v>0.48257</v>
      </c>
      <c r="M55" s="87">
        <v>0.48257000000000005</v>
      </c>
      <c r="N55" s="87">
        <v>0.48256999999999994</v>
      </c>
      <c r="O55" s="87">
        <v>0.48256999999999994</v>
      </c>
      <c r="P55" s="87">
        <v>0.48257000000000017</v>
      </c>
      <c r="Q55" s="87">
        <v>0.48256999999999972</v>
      </c>
      <c r="R55" s="87">
        <v>0.48257000000000017</v>
      </c>
      <c r="S55" s="87">
        <v>0.48257000000000017</v>
      </c>
      <c r="T55" s="87">
        <v>0.48256999999999972</v>
      </c>
      <c r="U55" s="87">
        <v>0.48257000000000061</v>
      </c>
      <c r="V55" s="87">
        <v>0.60638999999999943</v>
      </c>
      <c r="W55" s="87">
        <v>0.64663999999999999</v>
      </c>
      <c r="X55" s="87">
        <v>0.64663999999999999</v>
      </c>
      <c r="Y55" s="87">
        <v>0.6466400000000001</v>
      </c>
      <c r="Z55" s="87">
        <v>0.64663999999999988</v>
      </c>
      <c r="AA55" s="87">
        <v>0.64663999999999988</v>
      </c>
      <c r="AB55" s="87">
        <v>0.64664000000000033</v>
      </c>
      <c r="AC55" s="87">
        <v>0.64663999999999944</v>
      </c>
      <c r="AD55" s="87">
        <v>0.64664000000000033</v>
      </c>
      <c r="AE55" s="87">
        <v>0.64664000000000033</v>
      </c>
      <c r="AF55" s="87">
        <v>0.64663999999999944</v>
      </c>
      <c r="AG55" s="87">
        <v>0.64664000000000033</v>
      </c>
      <c r="AH55" s="87">
        <v>0.64664000000000033</v>
      </c>
      <c r="AI55" s="87">
        <v>0.64663999999999999</v>
      </c>
      <c r="AJ55" s="87">
        <v>0.64663999999999999</v>
      </c>
      <c r="AK55" s="87">
        <v>0.6466400000000001</v>
      </c>
      <c r="AL55" s="87">
        <v>0.64663999999999988</v>
      </c>
      <c r="AM55" s="87">
        <v>0.64663999999999988</v>
      </c>
      <c r="AN55" s="87">
        <v>0.64664000000000033</v>
      </c>
      <c r="AO55" s="87">
        <v>0.64663999999999944</v>
      </c>
      <c r="AP55" s="87">
        <f>IF($E55="BS",V55,SUM(K55:V55))</f>
        <v>5.9146599999999996</v>
      </c>
      <c r="AQ55" s="87">
        <f>IF($E55="BS",AH55,SUM(W55:AH55))</f>
        <v>7.7596800000000021</v>
      </c>
      <c r="AR55" s="87">
        <f>IF($E55="BS",AO55,SUM(AD55:AO55))</f>
        <v>7.7596800000000004</v>
      </c>
    </row>
    <row r="56" spans="1:44" ht="11.25" customHeight="1" x14ac:dyDescent="0.2">
      <c r="A56" s="88" t="s">
        <v>406</v>
      </c>
      <c r="B56" s="104"/>
      <c r="E56" s="88" t="s">
        <v>376</v>
      </c>
      <c r="G56" s="88" t="s">
        <v>18</v>
      </c>
      <c r="H56" s="88" t="s">
        <v>22</v>
      </c>
      <c r="I56" s="88" t="s">
        <v>22</v>
      </c>
      <c r="J56" s="88" t="s">
        <v>278</v>
      </c>
      <c r="K56" s="87">
        <v>0</v>
      </c>
      <c r="L56" s="87">
        <v>0</v>
      </c>
      <c r="M56" s="87">
        <v>0.98060000000000003</v>
      </c>
      <c r="N56" s="87">
        <v>2.1775000000000002</v>
      </c>
      <c r="O56" s="87">
        <v>0</v>
      </c>
      <c r="P56" s="87">
        <v>0.81697000000000031</v>
      </c>
      <c r="Q56" s="87">
        <v>0</v>
      </c>
      <c r="R56" s="87">
        <v>0.81696999999999975</v>
      </c>
      <c r="S56" s="87">
        <v>0.81697000000000031</v>
      </c>
      <c r="T56" s="87">
        <v>0.93713999999999942</v>
      </c>
      <c r="U56" s="87">
        <v>0.73282000000000058</v>
      </c>
      <c r="V56" s="87">
        <v>0.81696999999999931</v>
      </c>
      <c r="W56" s="87">
        <v>0.73282000000000003</v>
      </c>
      <c r="X56" s="87">
        <v>0.73282000000000003</v>
      </c>
      <c r="Y56" s="87">
        <v>0.64866999999999986</v>
      </c>
      <c r="Z56" s="87">
        <v>0.73282000000000014</v>
      </c>
      <c r="AA56" s="87">
        <v>0.73281999999999969</v>
      </c>
      <c r="AB56" s="87">
        <v>0.73282000000000058</v>
      </c>
      <c r="AC56" s="87">
        <v>0.73281999999999969</v>
      </c>
      <c r="AD56" s="87">
        <v>0.73281999999999969</v>
      </c>
      <c r="AE56" s="87">
        <v>0.73281999999999969</v>
      </c>
      <c r="AF56" s="87">
        <v>0.73282000000000058</v>
      </c>
      <c r="AG56" s="87">
        <v>0.73281999999999969</v>
      </c>
      <c r="AH56" s="87">
        <v>0.73282000000000058</v>
      </c>
      <c r="AI56" s="87">
        <v>0.73282000000000003</v>
      </c>
      <c r="AJ56" s="87">
        <v>0.73282000000000003</v>
      </c>
      <c r="AK56" s="87">
        <v>0.73281999999999992</v>
      </c>
      <c r="AL56" s="87">
        <v>0.73282000000000014</v>
      </c>
      <c r="AM56" s="87">
        <v>0.73281999999999969</v>
      </c>
      <c r="AN56" s="87">
        <v>0.73282000000000014</v>
      </c>
      <c r="AO56" s="87">
        <v>0.73281999999999969</v>
      </c>
      <c r="AP56" s="87">
        <f>IF($E56="BS",V56,SUM(K56:V56))</f>
        <v>8.0959399999999988</v>
      </c>
      <c r="AQ56" s="87">
        <f>IF($E56="BS",AH56,SUM(W56:AH56))</f>
        <v>8.7096899999999984</v>
      </c>
      <c r="AR56" s="87">
        <f>IF($E56="BS",AO56,SUM(AD56:AO56))</f>
        <v>8.7938400000000012</v>
      </c>
    </row>
    <row r="57" spans="1:44" ht="11.25" customHeight="1" x14ac:dyDescent="0.2">
      <c r="A57" s="88" t="s">
        <v>405</v>
      </c>
      <c r="B57" s="104"/>
      <c r="E57" s="88" t="s">
        <v>376</v>
      </c>
      <c r="G57" s="88" t="s">
        <v>18</v>
      </c>
      <c r="H57" s="88" t="s">
        <v>22</v>
      </c>
      <c r="I57" s="88" t="s">
        <v>22</v>
      </c>
      <c r="J57" s="88" t="s">
        <v>282</v>
      </c>
      <c r="K57" s="87">
        <v>24.235130000000002</v>
      </c>
      <c r="L57" s="87">
        <v>22.746649999999999</v>
      </c>
      <c r="M57" s="87">
        <v>24.193180000000009</v>
      </c>
      <c r="N57" s="87">
        <v>23.386019999999988</v>
      </c>
      <c r="O57" s="87">
        <v>18.89828</v>
      </c>
      <c r="P57" s="87">
        <v>18.907720000000015</v>
      </c>
      <c r="Q57" s="87">
        <v>16.857449999999982</v>
      </c>
      <c r="R57" s="87">
        <v>18.292059999999999</v>
      </c>
      <c r="S57" s="87">
        <v>18.201740000000019</v>
      </c>
      <c r="T57" s="87">
        <v>15.274419999999983</v>
      </c>
      <c r="U57" s="87">
        <v>18.553050000000017</v>
      </c>
      <c r="V57" s="87">
        <v>-108.49333000000001</v>
      </c>
      <c r="W57" s="87">
        <v>21.298020000000001</v>
      </c>
      <c r="X57" s="87">
        <v>21.298020000000001</v>
      </c>
      <c r="Y57" s="87">
        <v>21.298019999999998</v>
      </c>
      <c r="Z57" s="87">
        <v>0</v>
      </c>
      <c r="AA57" s="87">
        <v>0</v>
      </c>
      <c r="AB57" s="87">
        <v>0</v>
      </c>
      <c r="AC57" s="87">
        <v>0</v>
      </c>
      <c r="AD57" s="87">
        <v>0</v>
      </c>
      <c r="AE57" s="87">
        <v>0</v>
      </c>
      <c r="AF57" s="87">
        <v>0</v>
      </c>
      <c r="AG57" s="87">
        <v>0</v>
      </c>
      <c r="AH57" s="87">
        <v>111.42448999999999</v>
      </c>
      <c r="AI57" s="87">
        <v>0</v>
      </c>
      <c r="AJ57" s="87">
        <v>0</v>
      </c>
      <c r="AK57" s="87">
        <v>0</v>
      </c>
      <c r="AL57" s="87">
        <v>0</v>
      </c>
      <c r="AM57" s="87">
        <v>0</v>
      </c>
      <c r="AN57" s="87">
        <v>0</v>
      </c>
      <c r="AO57" s="87">
        <v>0</v>
      </c>
      <c r="AP57" s="87">
        <f>IF($E57="BS",V57,SUM(K57:V57))</f>
        <v>111.05237</v>
      </c>
      <c r="AQ57" s="87">
        <f>IF($E57="BS",AH57,SUM(W57:AH57))</f>
        <v>175.31854999999999</v>
      </c>
      <c r="AR57" s="87">
        <f>IF($E57="BS",AO57,SUM(AD57:AO57))</f>
        <v>111.42448999999999</v>
      </c>
    </row>
    <row r="58" spans="1:44" ht="11.25" customHeight="1" x14ac:dyDescent="0.2">
      <c r="A58" s="88" t="s">
        <v>404</v>
      </c>
      <c r="B58" s="104"/>
      <c r="E58" s="88" t="s">
        <v>376</v>
      </c>
      <c r="G58" s="88" t="s">
        <v>18</v>
      </c>
      <c r="H58" s="88" t="s">
        <v>22</v>
      </c>
      <c r="I58" s="88" t="s">
        <v>22</v>
      </c>
      <c r="J58" s="88" t="s">
        <v>272</v>
      </c>
      <c r="K58" s="87">
        <v>6.5204499999999994</v>
      </c>
      <c r="L58" s="87">
        <v>3.1028499999999997</v>
      </c>
      <c r="M58" s="87">
        <v>0.21448000000000139</v>
      </c>
      <c r="N58" s="87">
        <v>1.0084799999999996</v>
      </c>
      <c r="O58" s="87">
        <v>1.5198500000000004</v>
      </c>
      <c r="P58" s="87">
        <v>0.49522999999999956</v>
      </c>
      <c r="Q58" s="87">
        <v>0.76351000000000024</v>
      </c>
      <c r="R58" s="87">
        <v>0.27770999999999912</v>
      </c>
      <c r="S58" s="87">
        <v>1.0141100000000005</v>
      </c>
      <c r="T58" s="87">
        <v>1.4355799999999999</v>
      </c>
      <c r="U58" s="87">
        <v>1.9059399999999986</v>
      </c>
      <c r="V58" s="87">
        <v>2.1817299999999995</v>
      </c>
      <c r="W58" s="87">
        <v>2.02616</v>
      </c>
      <c r="X58" s="87">
        <v>1.5119999999999998</v>
      </c>
      <c r="Y58" s="87">
        <v>1.6448800000000001</v>
      </c>
      <c r="Z58" s="87">
        <v>2.1076199999999998</v>
      </c>
      <c r="AA58" s="87">
        <v>0</v>
      </c>
      <c r="AB58" s="87">
        <v>0</v>
      </c>
      <c r="AC58" s="87">
        <v>0</v>
      </c>
      <c r="AD58" s="87">
        <v>0</v>
      </c>
      <c r="AE58" s="87">
        <v>0</v>
      </c>
      <c r="AF58" s="87">
        <v>0</v>
      </c>
      <c r="AG58" s="87">
        <v>2.5</v>
      </c>
      <c r="AH58" s="87">
        <v>0</v>
      </c>
      <c r="AI58" s="87">
        <v>0</v>
      </c>
      <c r="AJ58" s="87">
        <v>0</v>
      </c>
      <c r="AK58" s="87">
        <v>0</v>
      </c>
      <c r="AL58" s="87">
        <v>0</v>
      </c>
      <c r="AM58" s="87">
        <v>0</v>
      </c>
      <c r="AN58" s="87">
        <v>0</v>
      </c>
      <c r="AO58" s="87">
        <v>0</v>
      </c>
      <c r="AP58" s="87">
        <f>IF($E58="BS",V58,SUM(K58:V58))</f>
        <v>20.439919999999994</v>
      </c>
      <c r="AQ58" s="87">
        <f>IF($E58="BS",AH58,SUM(W58:AH58))</f>
        <v>9.790659999999999</v>
      </c>
      <c r="AR58" s="87">
        <f>IF($E58="BS",AO58,SUM(AD58:AO58))</f>
        <v>2.5</v>
      </c>
    </row>
    <row r="59" spans="1:44" ht="11.25" customHeight="1" x14ac:dyDescent="0.2">
      <c r="A59" s="88" t="s">
        <v>403</v>
      </c>
      <c r="B59" s="104"/>
      <c r="E59" s="88" t="s">
        <v>376</v>
      </c>
      <c r="G59" s="88" t="s">
        <v>18</v>
      </c>
      <c r="H59" s="88" t="s">
        <v>22</v>
      </c>
      <c r="I59" s="88" t="s">
        <v>22</v>
      </c>
      <c r="J59" s="88" t="s">
        <v>281</v>
      </c>
      <c r="K59" s="87">
        <v>6.0585200000000006</v>
      </c>
      <c r="L59" s="87">
        <v>1.7000599999999995</v>
      </c>
      <c r="M59" s="87">
        <v>6.6640800000000002</v>
      </c>
      <c r="N59" s="87">
        <v>9.5877599999999976</v>
      </c>
      <c r="O59" s="87">
        <v>4.2944200000000015</v>
      </c>
      <c r="P59" s="87">
        <v>3.69916</v>
      </c>
      <c r="Q59" s="87">
        <v>4.0957900000000009</v>
      </c>
      <c r="R59" s="87">
        <v>4.4924199999999983</v>
      </c>
      <c r="S59" s="87">
        <v>7.6277700000000044</v>
      </c>
      <c r="T59" s="87">
        <v>4.4100799999999944</v>
      </c>
      <c r="U59" s="87">
        <v>7.2876200000000022</v>
      </c>
      <c r="V59" s="87">
        <v>4.3360299999999992</v>
      </c>
      <c r="W59" s="87">
        <v>3.9203000000000001</v>
      </c>
      <c r="X59" s="87">
        <v>3.9203000000000001</v>
      </c>
      <c r="Y59" s="87">
        <v>3.9202999999999992</v>
      </c>
      <c r="Z59" s="87">
        <v>0</v>
      </c>
      <c r="AA59" s="87">
        <v>0</v>
      </c>
      <c r="AB59" s="87">
        <v>0</v>
      </c>
      <c r="AC59" s="87">
        <v>0</v>
      </c>
      <c r="AD59" s="87">
        <v>0</v>
      </c>
      <c r="AE59" s="87">
        <v>0</v>
      </c>
      <c r="AF59" s="87">
        <v>0</v>
      </c>
      <c r="AG59" s="87">
        <v>0</v>
      </c>
      <c r="AH59" s="87">
        <v>43.623249999999999</v>
      </c>
      <c r="AI59" s="87">
        <v>0</v>
      </c>
      <c r="AJ59" s="87">
        <v>0</v>
      </c>
      <c r="AK59" s="87">
        <v>0</v>
      </c>
      <c r="AL59" s="87">
        <v>0</v>
      </c>
      <c r="AM59" s="87">
        <v>0</v>
      </c>
      <c r="AN59" s="87">
        <v>0</v>
      </c>
      <c r="AO59" s="87">
        <v>0</v>
      </c>
      <c r="AP59" s="87">
        <f>IF($E59="BS",V59,SUM(K59:V59))</f>
        <v>64.253709999999998</v>
      </c>
      <c r="AQ59" s="87">
        <f>IF($E59="BS",AH59,SUM(W59:AH59))</f>
        <v>55.384149999999998</v>
      </c>
      <c r="AR59" s="87">
        <f>IF($E59="BS",AO59,SUM(AD59:AO59))</f>
        <v>43.623249999999999</v>
      </c>
    </row>
    <row r="60" spans="1:44" ht="11.25" customHeight="1" x14ac:dyDescent="0.2">
      <c r="A60" s="88" t="s">
        <v>402</v>
      </c>
      <c r="B60" s="104"/>
      <c r="E60" s="88" t="s">
        <v>376</v>
      </c>
      <c r="G60" s="88" t="s">
        <v>18</v>
      </c>
      <c r="H60" s="88" t="s">
        <v>22</v>
      </c>
      <c r="I60" s="88" t="s">
        <v>22</v>
      </c>
      <c r="J60" s="88" t="s">
        <v>269</v>
      </c>
      <c r="K60" s="87">
        <v>0.24977000000000002</v>
      </c>
      <c r="L60" s="87">
        <v>0.24977000000000002</v>
      </c>
      <c r="M60" s="87">
        <v>0.26225999999999994</v>
      </c>
      <c r="N60" s="87">
        <v>0.26227</v>
      </c>
      <c r="O60" s="87">
        <v>0.23728999999999997</v>
      </c>
      <c r="P60" s="87">
        <v>0.2372900000000002</v>
      </c>
      <c r="Q60" s="87">
        <v>0.23728999999999997</v>
      </c>
      <c r="R60" s="87">
        <v>0.23728999999999997</v>
      </c>
      <c r="S60" s="87">
        <v>0.23728999999999997</v>
      </c>
      <c r="T60" s="87">
        <v>0.23728999999999997</v>
      </c>
      <c r="U60" s="87">
        <v>0.22480000000000019</v>
      </c>
      <c r="V60" s="87">
        <v>0.22479999999999972</v>
      </c>
      <c r="W60" s="87">
        <v>0.2248</v>
      </c>
      <c r="X60" s="87">
        <v>0.2248</v>
      </c>
      <c r="Y60" s="87">
        <v>0.22479999999999994</v>
      </c>
      <c r="Z60" s="87">
        <v>0</v>
      </c>
      <c r="AA60" s="87">
        <v>0</v>
      </c>
      <c r="AB60" s="87">
        <v>0</v>
      </c>
      <c r="AC60" s="87">
        <v>0</v>
      </c>
      <c r="AD60" s="87">
        <v>0</v>
      </c>
      <c r="AE60" s="87">
        <v>0</v>
      </c>
      <c r="AF60" s="87">
        <v>0</v>
      </c>
      <c r="AG60" s="87">
        <v>0</v>
      </c>
      <c r="AH60" s="87">
        <v>0</v>
      </c>
      <c r="AI60" s="87">
        <v>0</v>
      </c>
      <c r="AJ60" s="87">
        <v>0</v>
      </c>
      <c r="AK60" s="87">
        <v>0</v>
      </c>
      <c r="AL60" s="87">
        <v>0</v>
      </c>
      <c r="AM60" s="87">
        <v>0</v>
      </c>
      <c r="AN60" s="87">
        <v>0</v>
      </c>
      <c r="AO60" s="87">
        <v>0</v>
      </c>
      <c r="AP60" s="87">
        <f>IF($E60="BS",V60,SUM(K60:V60))</f>
        <v>2.8974099999999998</v>
      </c>
      <c r="AQ60" s="87">
        <f>IF($E60="BS",AH60,SUM(W60:AH60))</f>
        <v>0.67439999999999989</v>
      </c>
      <c r="AR60" s="87">
        <f>IF($E60="BS",AO60,SUM(AD60:AO60))</f>
        <v>0</v>
      </c>
    </row>
    <row r="61" spans="1:44" ht="11.25" customHeight="1" x14ac:dyDescent="0.2">
      <c r="A61" s="88" t="s">
        <v>322</v>
      </c>
      <c r="B61" s="104"/>
      <c r="E61" s="88" t="s">
        <v>376</v>
      </c>
      <c r="G61" s="88" t="s">
        <v>18</v>
      </c>
      <c r="H61" s="88" t="s">
        <v>24</v>
      </c>
      <c r="I61" s="88" t="s">
        <v>317</v>
      </c>
      <c r="J61" s="88" t="s">
        <v>322</v>
      </c>
      <c r="K61" s="87">
        <v>0</v>
      </c>
      <c r="L61" s="87">
        <v>0</v>
      </c>
      <c r="M61" s="87">
        <v>0</v>
      </c>
      <c r="N61" s="87">
        <v>0</v>
      </c>
      <c r="O61" s="87">
        <v>0</v>
      </c>
      <c r="P61" s="87">
        <v>0</v>
      </c>
      <c r="Q61" s="87">
        <v>0</v>
      </c>
      <c r="R61" s="87">
        <v>0</v>
      </c>
      <c r="S61" s="87">
        <v>0</v>
      </c>
      <c r="T61" s="87">
        <v>0</v>
      </c>
      <c r="U61" s="87">
        <v>0</v>
      </c>
      <c r="V61" s="87">
        <v>0</v>
      </c>
      <c r="W61" s="87">
        <v>0</v>
      </c>
      <c r="X61" s="87">
        <v>0</v>
      </c>
      <c r="Y61" s="87">
        <v>0</v>
      </c>
      <c r="Z61" s="87">
        <v>204.28433999999999</v>
      </c>
      <c r="AA61" s="87">
        <v>204.28433999999999</v>
      </c>
      <c r="AB61" s="87">
        <v>204.28434000000001</v>
      </c>
      <c r="AC61" s="87">
        <v>204.28433999999996</v>
      </c>
      <c r="AD61" s="87">
        <v>204.28433999999996</v>
      </c>
      <c r="AE61" s="87">
        <v>202.83598999999998</v>
      </c>
      <c r="AF61" s="87">
        <v>195.11768000000018</v>
      </c>
      <c r="AG61" s="87">
        <v>191.49027999999979</v>
      </c>
      <c r="AH61" s="87">
        <v>-1610.86565</v>
      </c>
      <c r="AI61" s="87">
        <v>190.19159999999999</v>
      </c>
      <c r="AJ61" s="87">
        <v>190.19159999999999</v>
      </c>
      <c r="AK61" s="87">
        <v>190.19160000000002</v>
      </c>
      <c r="AL61" s="87">
        <v>190.19159999999997</v>
      </c>
      <c r="AM61" s="87">
        <v>190.19159999999997</v>
      </c>
      <c r="AN61" s="87">
        <v>190.19160000000008</v>
      </c>
      <c r="AO61" s="87">
        <v>190.19159999999985</v>
      </c>
      <c r="AP61" s="87">
        <f>IF($E61="BS",V61,SUM(K61:V61))</f>
        <v>0</v>
      </c>
      <c r="AQ61" s="87">
        <f>IF($E61="BS",AH61,SUM(W61:AH61))</f>
        <v>0</v>
      </c>
      <c r="AR61" s="87">
        <f>IF($E61="BS",AO61,SUM(AD61:AO61))</f>
        <v>514.20383999999979</v>
      </c>
    </row>
    <row r="62" spans="1:44" ht="11.25" customHeight="1" x14ac:dyDescent="0.2">
      <c r="A62" s="88" t="s">
        <v>315</v>
      </c>
      <c r="B62" s="104"/>
      <c r="E62" s="88" t="s">
        <v>376</v>
      </c>
      <c r="G62" s="88" t="s">
        <v>18</v>
      </c>
      <c r="H62" s="88" t="s">
        <v>24</v>
      </c>
      <c r="I62" s="88" t="s">
        <v>312</v>
      </c>
      <c r="J62" s="88" t="s">
        <v>315</v>
      </c>
      <c r="K62" s="87">
        <v>0</v>
      </c>
      <c r="L62" s="87">
        <v>0</v>
      </c>
      <c r="M62" s="87">
        <v>0</v>
      </c>
      <c r="N62" s="87">
        <v>0</v>
      </c>
      <c r="O62" s="87">
        <v>0</v>
      </c>
      <c r="P62" s="87">
        <v>0</v>
      </c>
      <c r="Q62" s="87">
        <v>0</v>
      </c>
      <c r="R62" s="87">
        <v>0</v>
      </c>
      <c r="S62" s="87">
        <v>0</v>
      </c>
      <c r="T62" s="87">
        <v>0</v>
      </c>
      <c r="U62" s="87">
        <v>0</v>
      </c>
      <c r="V62" s="87">
        <v>0</v>
      </c>
      <c r="W62" s="87">
        <v>0</v>
      </c>
      <c r="X62" s="87">
        <v>0</v>
      </c>
      <c r="Y62" s="87">
        <v>0</v>
      </c>
      <c r="Z62" s="87">
        <v>20.066740000000003</v>
      </c>
      <c r="AA62" s="87">
        <v>14.472619999999999</v>
      </c>
      <c r="AB62" s="87">
        <v>10.93318</v>
      </c>
      <c r="AC62" s="87">
        <v>9.6703099999999971</v>
      </c>
      <c r="AD62" s="87">
        <v>7.8381600000000038</v>
      </c>
      <c r="AE62" s="87">
        <v>8.8815400000000011</v>
      </c>
      <c r="AF62" s="87">
        <v>24.907319999999991</v>
      </c>
      <c r="AG62" s="87">
        <v>21.986270000000005</v>
      </c>
      <c r="AH62" s="87">
        <v>-118.75614</v>
      </c>
      <c r="AI62" s="87">
        <v>16.796619999999997</v>
      </c>
      <c r="AJ62" s="87">
        <v>15.202170000000002</v>
      </c>
      <c r="AK62" s="87">
        <v>14.831729999999997</v>
      </c>
      <c r="AL62" s="87">
        <v>14.872550000000002</v>
      </c>
      <c r="AM62" s="87">
        <v>14.709659999999996</v>
      </c>
      <c r="AN62" s="87">
        <v>14.371889999999999</v>
      </c>
      <c r="AO62" s="87">
        <v>13.19912000000001</v>
      </c>
      <c r="AP62" s="87">
        <f>IF($E62="BS",V62,SUM(K62:V62))</f>
        <v>0</v>
      </c>
      <c r="AQ62" s="87">
        <f>IF($E62="BS",AH62,SUM(W62:AH62))</f>
        <v>0</v>
      </c>
      <c r="AR62" s="87">
        <f>IF($E62="BS",AO62,SUM(AD62:AO62))</f>
        <v>48.840890000000002</v>
      </c>
    </row>
    <row r="63" spans="1:44" ht="11.25" customHeight="1" x14ac:dyDescent="0.2">
      <c r="A63" s="88" t="s">
        <v>309</v>
      </c>
      <c r="B63" s="104"/>
      <c r="E63" s="88" t="s">
        <v>376</v>
      </c>
      <c r="G63" s="88" t="s">
        <v>18</v>
      </c>
      <c r="H63" s="88" t="s">
        <v>24</v>
      </c>
      <c r="I63" s="88" t="s">
        <v>303</v>
      </c>
      <c r="J63" s="88" t="s">
        <v>309</v>
      </c>
      <c r="K63" s="87">
        <v>0</v>
      </c>
      <c r="L63" s="87">
        <v>0</v>
      </c>
      <c r="M63" s="87">
        <v>0</v>
      </c>
      <c r="N63" s="87">
        <v>0</v>
      </c>
      <c r="O63" s="87">
        <v>0</v>
      </c>
      <c r="P63" s="87">
        <v>0</v>
      </c>
      <c r="Q63" s="87">
        <v>0</v>
      </c>
      <c r="R63" s="87">
        <v>0</v>
      </c>
      <c r="S63" s="87">
        <v>0</v>
      </c>
      <c r="T63" s="87">
        <v>0</v>
      </c>
      <c r="U63" s="87">
        <v>0</v>
      </c>
      <c r="V63" s="87">
        <v>0</v>
      </c>
      <c r="W63" s="87">
        <v>0</v>
      </c>
      <c r="X63" s="87">
        <v>0</v>
      </c>
      <c r="Y63" s="87">
        <v>22.98142</v>
      </c>
      <c r="Z63" s="87">
        <v>19.413190000000004</v>
      </c>
      <c r="AA63" s="87">
        <v>19.931429999999999</v>
      </c>
      <c r="AB63" s="87">
        <v>19.976430000000001</v>
      </c>
      <c r="AC63" s="87">
        <v>18.680270000000004</v>
      </c>
      <c r="AD63" s="87">
        <v>20.92912999999999</v>
      </c>
      <c r="AE63" s="87">
        <v>17.136179999999992</v>
      </c>
      <c r="AF63" s="87">
        <v>15.248340000000026</v>
      </c>
      <c r="AG63" s="87">
        <v>18.409489999999991</v>
      </c>
      <c r="AH63" s="87">
        <v>-172.70588000000001</v>
      </c>
      <c r="AI63" s="87">
        <v>15.10064</v>
      </c>
      <c r="AJ63" s="87">
        <v>15.12748</v>
      </c>
      <c r="AK63" s="87">
        <v>15.112560000000002</v>
      </c>
      <c r="AL63" s="87">
        <v>15.112559999999998</v>
      </c>
      <c r="AM63" s="87">
        <v>15.115560000000006</v>
      </c>
      <c r="AN63" s="87">
        <v>15.115559999999999</v>
      </c>
      <c r="AO63" s="87">
        <v>14.798559999999998</v>
      </c>
      <c r="AP63" s="87">
        <f>IF($E63="BS",V63,SUM(K63:V63))</f>
        <v>0</v>
      </c>
      <c r="AQ63" s="87">
        <f>IF($E63="BS",AH63,SUM(W63:AH63))</f>
        <v>0</v>
      </c>
      <c r="AR63" s="87">
        <f>IF($E63="BS",AO63,SUM(AD63:AO63))</f>
        <v>4.5001800000000038</v>
      </c>
    </row>
    <row r="64" spans="1:44" ht="11.25" customHeight="1" x14ac:dyDescent="0.2">
      <c r="A64" s="88" t="s">
        <v>307</v>
      </c>
      <c r="B64" s="104"/>
      <c r="E64" s="88" t="s">
        <v>376</v>
      </c>
      <c r="G64" s="88" t="s">
        <v>18</v>
      </c>
      <c r="H64" s="88" t="s">
        <v>24</v>
      </c>
      <c r="I64" s="88" t="s">
        <v>303</v>
      </c>
      <c r="J64" s="88" t="s">
        <v>307</v>
      </c>
      <c r="K64" s="87">
        <v>0</v>
      </c>
      <c r="L64" s="87">
        <v>0</v>
      </c>
      <c r="M64" s="87">
        <v>0</v>
      </c>
      <c r="N64" s="87">
        <v>0</v>
      </c>
      <c r="O64" s="87">
        <v>0</v>
      </c>
      <c r="P64" s="87">
        <v>0</v>
      </c>
      <c r="Q64" s="87">
        <v>0</v>
      </c>
      <c r="R64" s="87">
        <v>0</v>
      </c>
      <c r="S64" s="87">
        <v>0</v>
      </c>
      <c r="T64" s="87">
        <v>0</v>
      </c>
      <c r="U64" s="87">
        <v>0</v>
      </c>
      <c r="V64" s="87">
        <v>0</v>
      </c>
      <c r="W64" s="87">
        <v>0</v>
      </c>
      <c r="X64" s="87">
        <v>0</v>
      </c>
      <c r="Y64" s="87">
        <v>0</v>
      </c>
      <c r="Z64" s="87">
        <v>0.51788999999999996</v>
      </c>
      <c r="AA64" s="87">
        <v>0.51788999999999996</v>
      </c>
      <c r="AB64" s="87">
        <v>0.51573000000000002</v>
      </c>
      <c r="AC64" s="87">
        <v>0.51579000000000019</v>
      </c>
      <c r="AD64" s="87">
        <v>0.51875999999999978</v>
      </c>
      <c r="AE64" s="87">
        <v>0.50280000000000014</v>
      </c>
      <c r="AF64" s="87">
        <v>0.49125000000000002</v>
      </c>
      <c r="AG64" s="87">
        <v>0.50602999999999976</v>
      </c>
      <c r="AH64" s="87">
        <v>-4.0861399999999994</v>
      </c>
      <c r="AI64" s="87">
        <v>0.4909</v>
      </c>
      <c r="AJ64" s="87">
        <v>0.4909</v>
      </c>
      <c r="AK64" s="87">
        <v>0.48779999999999996</v>
      </c>
      <c r="AL64" s="87">
        <v>0.48780000000000018</v>
      </c>
      <c r="AM64" s="87">
        <v>0.48779999999999973</v>
      </c>
      <c r="AN64" s="87">
        <v>0.48590000000000011</v>
      </c>
      <c r="AO64" s="87">
        <v>0.48990000000000011</v>
      </c>
      <c r="AP64" s="87">
        <f>IF($E64="BS",V64,SUM(K64:V64))</f>
        <v>0</v>
      </c>
      <c r="AQ64" s="87">
        <f>IF($E64="BS",AH64,SUM(W64:AH64))</f>
        <v>0</v>
      </c>
      <c r="AR64" s="87">
        <f>IF($E64="BS",AO64,SUM(AD64:AO64))</f>
        <v>1.3537000000000003</v>
      </c>
    </row>
    <row r="65" spans="1:44" ht="11.25" customHeight="1" x14ac:dyDescent="0.2">
      <c r="A65" s="88" t="s">
        <v>304</v>
      </c>
      <c r="B65" s="104"/>
      <c r="E65" s="88" t="s">
        <v>376</v>
      </c>
      <c r="G65" s="88" t="s">
        <v>18</v>
      </c>
      <c r="H65" s="88" t="s">
        <v>24</v>
      </c>
      <c r="I65" s="88" t="s">
        <v>303</v>
      </c>
      <c r="J65" s="88" t="s">
        <v>304</v>
      </c>
      <c r="K65" s="87">
        <v>0</v>
      </c>
      <c r="L65" s="87">
        <v>0</v>
      </c>
      <c r="M65" s="87">
        <v>0</v>
      </c>
      <c r="N65" s="87">
        <v>0</v>
      </c>
      <c r="O65" s="87">
        <v>0</v>
      </c>
      <c r="P65" s="87">
        <v>0</v>
      </c>
      <c r="Q65" s="87">
        <v>0</v>
      </c>
      <c r="R65" s="87">
        <v>0</v>
      </c>
      <c r="S65" s="87">
        <v>0</v>
      </c>
      <c r="T65" s="87">
        <v>0</v>
      </c>
      <c r="U65" s="87">
        <v>0</v>
      </c>
      <c r="V65" s="87">
        <v>0</v>
      </c>
      <c r="W65" s="87">
        <v>0</v>
      </c>
      <c r="X65" s="87">
        <v>0</v>
      </c>
      <c r="Y65" s="87">
        <v>0</v>
      </c>
      <c r="Z65" s="87">
        <v>5.0000000000000001E-3</v>
      </c>
      <c r="AA65" s="87">
        <v>5.0000000000000001E-3</v>
      </c>
      <c r="AB65" s="87">
        <v>5.0000000000000001E-3</v>
      </c>
      <c r="AC65" s="87">
        <v>5.0000000000000001E-3</v>
      </c>
      <c r="AD65" s="87">
        <v>5.0000000000000001E-3</v>
      </c>
      <c r="AE65" s="87">
        <v>5.0000000000000001E-3</v>
      </c>
      <c r="AF65" s="87">
        <v>0.01</v>
      </c>
      <c r="AG65" s="87">
        <v>0.01</v>
      </c>
      <c r="AH65" s="87">
        <v>-0.05</v>
      </c>
      <c r="AI65" s="87">
        <v>0.01</v>
      </c>
      <c r="AJ65" s="87">
        <v>0.01</v>
      </c>
      <c r="AK65" s="87">
        <v>0.01</v>
      </c>
      <c r="AL65" s="87">
        <v>0.01</v>
      </c>
      <c r="AM65" s="87">
        <v>0.01</v>
      </c>
      <c r="AN65" s="87">
        <v>0.01</v>
      </c>
      <c r="AO65" s="87">
        <v>0.01</v>
      </c>
      <c r="AP65" s="87">
        <f>IF($E65="BS",V65,SUM(K65:V65))</f>
        <v>0</v>
      </c>
      <c r="AQ65" s="87">
        <f>IF($E65="BS",AH65,SUM(W65:AH65))</f>
        <v>0</v>
      </c>
      <c r="AR65" s="87">
        <f>IF($E65="BS",AO65,SUM(AD65:AO65))</f>
        <v>0.05</v>
      </c>
    </row>
    <row r="66" spans="1:44" ht="11.25" customHeight="1" x14ac:dyDescent="0.2">
      <c r="A66" s="88" t="s">
        <v>305</v>
      </c>
      <c r="B66" s="104"/>
      <c r="E66" s="88" t="s">
        <v>376</v>
      </c>
      <c r="G66" s="88" t="s">
        <v>18</v>
      </c>
      <c r="H66" s="88" t="s">
        <v>24</v>
      </c>
      <c r="I66" s="88" t="s">
        <v>303</v>
      </c>
      <c r="J66" s="88" t="s">
        <v>305</v>
      </c>
      <c r="K66" s="87">
        <v>0</v>
      </c>
      <c r="L66" s="87">
        <v>0</v>
      </c>
      <c r="M66" s="87">
        <v>0</v>
      </c>
      <c r="N66" s="87">
        <v>0</v>
      </c>
      <c r="O66" s="87">
        <v>0</v>
      </c>
      <c r="P66" s="87">
        <v>0</v>
      </c>
      <c r="Q66" s="87">
        <v>0</v>
      </c>
      <c r="R66" s="87">
        <v>0</v>
      </c>
      <c r="S66" s="87">
        <v>0</v>
      </c>
      <c r="T66" s="87">
        <v>0</v>
      </c>
      <c r="U66" s="87">
        <v>0</v>
      </c>
      <c r="V66" s="87">
        <v>0</v>
      </c>
      <c r="W66" s="87">
        <v>0</v>
      </c>
      <c r="X66" s="87">
        <v>0</v>
      </c>
      <c r="Y66" s="87">
        <v>0</v>
      </c>
      <c r="Z66" s="87">
        <v>0.02</v>
      </c>
      <c r="AA66" s="87">
        <v>0.02</v>
      </c>
      <c r="AB66" s="87">
        <v>0.02</v>
      </c>
      <c r="AC66" s="87">
        <v>0.02</v>
      </c>
      <c r="AD66" s="87">
        <v>0.03</v>
      </c>
      <c r="AE66" s="87">
        <v>3.5000000000000003E-2</v>
      </c>
      <c r="AF66" s="87">
        <v>0.03</v>
      </c>
      <c r="AG66" s="87">
        <v>0.03</v>
      </c>
      <c r="AH66" s="87">
        <v>-0.20499999999999999</v>
      </c>
      <c r="AI66" s="87">
        <v>2.5000000000000001E-2</v>
      </c>
      <c r="AJ66" s="87">
        <v>2.5000000000000001E-2</v>
      </c>
      <c r="AK66" s="87">
        <v>2.5000000000000001E-2</v>
      </c>
      <c r="AL66" s="87">
        <v>2.5000000000000001E-2</v>
      </c>
      <c r="AM66" s="87">
        <v>2.5000000000000001E-2</v>
      </c>
      <c r="AN66" s="87">
        <v>2.5000000000000001E-2</v>
      </c>
      <c r="AO66" s="87">
        <v>0.03</v>
      </c>
      <c r="AP66" s="87">
        <f>IF($E66="BS",V66,SUM(K66:V66))</f>
        <v>0</v>
      </c>
      <c r="AQ66" s="87">
        <f>IF($E66="BS",AH66,SUM(W66:AH66))</f>
        <v>0</v>
      </c>
      <c r="AR66" s="87">
        <f>IF($E66="BS",AO66,SUM(AD66:AO66))</f>
        <v>0.10000000000000002</v>
      </c>
    </row>
    <row r="67" spans="1:44" ht="11.25" customHeight="1" x14ac:dyDescent="0.2">
      <c r="A67" s="88" t="s">
        <v>306</v>
      </c>
      <c r="B67" s="104"/>
      <c r="E67" s="88" t="s">
        <v>376</v>
      </c>
      <c r="G67" s="88" t="s">
        <v>18</v>
      </c>
      <c r="H67" s="88" t="s">
        <v>24</v>
      </c>
      <c r="I67" s="88" t="s">
        <v>303</v>
      </c>
      <c r="J67" s="88" t="s">
        <v>306</v>
      </c>
      <c r="K67" s="87">
        <v>0</v>
      </c>
      <c r="L67" s="87">
        <v>0</v>
      </c>
      <c r="M67" s="87">
        <v>0</v>
      </c>
      <c r="N67" s="87">
        <v>0</v>
      </c>
      <c r="O67" s="87">
        <v>0</v>
      </c>
      <c r="P67" s="87">
        <v>0</v>
      </c>
      <c r="Q67" s="87">
        <v>0</v>
      </c>
      <c r="R67" s="87">
        <v>0</v>
      </c>
      <c r="S67" s="87">
        <v>0</v>
      </c>
      <c r="T67" s="87">
        <v>0</v>
      </c>
      <c r="U67" s="87">
        <v>0</v>
      </c>
      <c r="V67" s="87">
        <v>0</v>
      </c>
      <c r="W67" s="87">
        <v>0</v>
      </c>
      <c r="X67" s="87">
        <v>0</v>
      </c>
      <c r="Y67" s="87">
        <v>0</v>
      </c>
      <c r="Z67" s="87">
        <v>0.68650999999999995</v>
      </c>
      <c r="AA67" s="87">
        <v>0.16826999999999998</v>
      </c>
      <c r="AB67" s="87">
        <v>0.16826999999999998</v>
      </c>
      <c r="AC67" s="87">
        <v>0.85477999999999998</v>
      </c>
      <c r="AD67" s="87">
        <v>0.16826999999999998</v>
      </c>
      <c r="AE67" s="87">
        <v>0.66938000000000009</v>
      </c>
      <c r="AF67" s="87">
        <v>0.72215000000000007</v>
      </c>
      <c r="AG67" s="87">
        <v>0.46748000000000001</v>
      </c>
      <c r="AH67" s="87">
        <v>-3.9051100000000001</v>
      </c>
      <c r="AI67" s="87">
        <v>0.47892000000000001</v>
      </c>
      <c r="AJ67" s="87">
        <v>0.47892000000000001</v>
      </c>
      <c r="AK67" s="87">
        <v>0.47891999999999996</v>
      </c>
      <c r="AL67" s="87">
        <v>0.47892000000000007</v>
      </c>
      <c r="AM67" s="87">
        <v>0.47891999999999985</v>
      </c>
      <c r="AN67" s="87">
        <v>0.47892000000000007</v>
      </c>
      <c r="AO67" s="87">
        <v>0</v>
      </c>
      <c r="AP67" s="87">
        <f>IF($E67="BS",V67,SUM(K67:V67))</f>
        <v>0</v>
      </c>
      <c r="AQ67" s="87">
        <f>IF($E67="BS",AH67,SUM(W67:AH67))</f>
        <v>0</v>
      </c>
      <c r="AR67" s="87">
        <f>IF($E67="BS",AO67,SUM(AD67:AO67))</f>
        <v>0.99568999999999996</v>
      </c>
    </row>
    <row r="68" spans="1:44" ht="11.25" customHeight="1" x14ac:dyDescent="0.2">
      <c r="A68" s="88" t="s">
        <v>308</v>
      </c>
      <c r="B68" s="104"/>
      <c r="E68" s="88" t="s">
        <v>376</v>
      </c>
      <c r="G68" s="88" t="s">
        <v>18</v>
      </c>
      <c r="H68" s="88" t="s">
        <v>24</v>
      </c>
      <c r="I68" s="88" t="s">
        <v>303</v>
      </c>
      <c r="J68" s="88" t="s">
        <v>308</v>
      </c>
      <c r="K68" s="87">
        <v>0</v>
      </c>
      <c r="L68" s="87">
        <v>0</v>
      </c>
      <c r="M68" s="87">
        <v>0</v>
      </c>
      <c r="N68" s="87">
        <v>0</v>
      </c>
      <c r="O68" s="87">
        <v>0</v>
      </c>
      <c r="P68" s="87">
        <v>0</v>
      </c>
      <c r="Q68" s="87">
        <v>0</v>
      </c>
      <c r="R68" s="87">
        <v>0</v>
      </c>
      <c r="S68" s="87">
        <v>0</v>
      </c>
      <c r="T68" s="87">
        <v>0</v>
      </c>
      <c r="U68" s="87">
        <v>0</v>
      </c>
      <c r="V68" s="87">
        <v>0</v>
      </c>
      <c r="W68" s="87">
        <v>0</v>
      </c>
      <c r="X68" s="87">
        <v>0</v>
      </c>
      <c r="Y68" s="87">
        <v>0</v>
      </c>
      <c r="Z68" s="87">
        <v>0</v>
      </c>
      <c r="AA68" s="87">
        <v>0</v>
      </c>
      <c r="AB68" s="87">
        <v>0</v>
      </c>
      <c r="AC68" s="87">
        <v>0</v>
      </c>
      <c r="AD68" s="87">
        <v>0</v>
      </c>
      <c r="AE68" s="87">
        <v>0</v>
      </c>
      <c r="AF68" s="87">
        <v>0</v>
      </c>
      <c r="AG68" s="87">
        <v>0</v>
      </c>
      <c r="AH68" s="87">
        <v>0</v>
      </c>
      <c r="AI68" s="87">
        <v>1.7672399999999999</v>
      </c>
      <c r="AJ68" s="87">
        <v>0</v>
      </c>
      <c r="AK68" s="87">
        <v>0</v>
      </c>
      <c r="AL68" s="87">
        <v>0</v>
      </c>
      <c r="AM68" s="87">
        <v>0</v>
      </c>
      <c r="AN68" s="87">
        <v>0</v>
      </c>
      <c r="AO68" s="87">
        <v>0</v>
      </c>
      <c r="AP68" s="87">
        <f>IF($E68="BS",V68,SUM(K68:V68))</f>
        <v>0</v>
      </c>
      <c r="AQ68" s="87">
        <f>IF($E68="BS",AH68,SUM(W68:AH68))</f>
        <v>0</v>
      </c>
      <c r="AR68" s="87">
        <f>IF($E68="BS",AO68,SUM(AD68:AO68))</f>
        <v>1.7672399999999999</v>
      </c>
    </row>
    <row r="69" spans="1:44" ht="11.25" customHeight="1" x14ac:dyDescent="0.2">
      <c r="A69" s="88" t="s">
        <v>310</v>
      </c>
      <c r="B69" s="104"/>
      <c r="E69" s="88" t="s">
        <v>376</v>
      </c>
      <c r="G69" s="88" t="s">
        <v>18</v>
      </c>
      <c r="H69" s="88" t="s">
        <v>24</v>
      </c>
      <c r="I69" s="88" t="s">
        <v>303</v>
      </c>
      <c r="J69" s="88" t="s">
        <v>310</v>
      </c>
      <c r="K69" s="87">
        <v>0</v>
      </c>
      <c r="L69" s="87">
        <v>0</v>
      </c>
      <c r="M69" s="87">
        <v>0</v>
      </c>
      <c r="N69" s="87">
        <v>0</v>
      </c>
      <c r="O69" s="87">
        <v>0</v>
      </c>
      <c r="P69" s="87">
        <v>0</v>
      </c>
      <c r="Q69" s="87">
        <v>0</v>
      </c>
      <c r="R69" s="87">
        <v>0</v>
      </c>
      <c r="S69" s="87">
        <v>0</v>
      </c>
      <c r="T69" s="87">
        <v>0</v>
      </c>
      <c r="U69" s="87">
        <v>0</v>
      </c>
      <c r="V69" s="87">
        <v>0</v>
      </c>
      <c r="W69" s="87">
        <v>0</v>
      </c>
      <c r="X69" s="87">
        <v>0</v>
      </c>
      <c r="Y69" s="87">
        <v>0</v>
      </c>
      <c r="Z69" s="87">
        <v>3.9203000000000001</v>
      </c>
      <c r="AA69" s="87">
        <v>3.9203000000000001</v>
      </c>
      <c r="AB69" s="87">
        <v>3.1364599999999991</v>
      </c>
      <c r="AC69" s="87">
        <v>3.1364600000000009</v>
      </c>
      <c r="AD69" s="87">
        <v>4.241439999999999</v>
      </c>
      <c r="AE69" s="87">
        <v>4.2414400000000025</v>
      </c>
      <c r="AF69" s="87">
        <v>3.5690599999999977</v>
      </c>
      <c r="AG69" s="87">
        <v>10.094669999999999</v>
      </c>
      <c r="AH69" s="87">
        <v>-36.260129999999997</v>
      </c>
      <c r="AI69" s="87">
        <v>5.5928800000000001</v>
      </c>
      <c r="AJ69" s="87">
        <v>7.3631200000000003</v>
      </c>
      <c r="AK69" s="87">
        <v>7.3631199999999986</v>
      </c>
      <c r="AL69" s="87">
        <v>7.363120000000003</v>
      </c>
      <c r="AM69" s="87">
        <v>7.3601199999999993</v>
      </c>
      <c r="AN69" s="87">
        <v>6.6523600000000007</v>
      </c>
      <c r="AO69" s="87">
        <v>9.9086999999999978</v>
      </c>
      <c r="AP69" s="87">
        <f>IF($E69="BS",V69,SUM(K69:V69))</f>
        <v>0</v>
      </c>
      <c r="AQ69" s="87">
        <f>IF($E69="BS",AH69,SUM(W69:AH69))</f>
        <v>0</v>
      </c>
      <c r="AR69" s="87">
        <f>IF($E69="BS",AO69,SUM(AD69:AO69))</f>
        <v>37.489899999999999</v>
      </c>
    </row>
    <row r="70" spans="1:44" ht="11.25" customHeight="1" x14ac:dyDescent="0.2">
      <c r="A70" s="88" t="s">
        <v>314</v>
      </c>
      <c r="B70" s="104"/>
      <c r="E70" s="88" t="s">
        <v>376</v>
      </c>
      <c r="G70" s="88" t="s">
        <v>18</v>
      </c>
      <c r="H70" s="88" t="s">
        <v>24</v>
      </c>
      <c r="I70" s="88" t="s">
        <v>312</v>
      </c>
      <c r="J70" s="88" t="s">
        <v>314</v>
      </c>
      <c r="K70" s="87">
        <v>0</v>
      </c>
      <c r="L70" s="87">
        <v>0</v>
      </c>
      <c r="M70" s="87">
        <v>0</v>
      </c>
      <c r="N70" s="87">
        <v>0</v>
      </c>
      <c r="O70" s="87">
        <v>0</v>
      </c>
      <c r="P70" s="87">
        <v>0</v>
      </c>
      <c r="Q70" s="87">
        <v>0</v>
      </c>
      <c r="R70" s="87">
        <v>0</v>
      </c>
      <c r="S70" s="87">
        <v>0</v>
      </c>
      <c r="T70" s="87">
        <v>0</v>
      </c>
      <c r="U70" s="87">
        <v>0</v>
      </c>
      <c r="V70" s="87">
        <v>0</v>
      </c>
      <c r="W70" s="87">
        <v>0</v>
      </c>
      <c r="X70" s="87">
        <v>0</v>
      </c>
      <c r="Y70" s="87">
        <v>1.881</v>
      </c>
      <c r="Z70" s="87">
        <v>1.782</v>
      </c>
      <c r="AA70" s="87">
        <v>1.9379999999999999</v>
      </c>
      <c r="AB70" s="87">
        <v>1.881</v>
      </c>
      <c r="AC70" s="87">
        <v>1.881</v>
      </c>
      <c r="AD70" s="87">
        <v>2.0804999999999998</v>
      </c>
      <c r="AE70" s="87">
        <v>1.881</v>
      </c>
      <c r="AF70" s="87">
        <v>1.782</v>
      </c>
      <c r="AG70" s="87">
        <v>1.782</v>
      </c>
      <c r="AH70" s="87">
        <v>1.6830000000000001</v>
      </c>
      <c r="AI70" s="87">
        <v>1.6830000000000001</v>
      </c>
      <c r="AJ70" s="87">
        <v>1.6830000000000001</v>
      </c>
      <c r="AK70" s="87">
        <v>1.6830000000000001</v>
      </c>
      <c r="AL70" s="87">
        <v>1.6830000000000001</v>
      </c>
      <c r="AM70" s="87">
        <v>1.6830000000000001</v>
      </c>
      <c r="AN70" s="87">
        <v>1.6830000000000001</v>
      </c>
      <c r="AO70" s="87">
        <v>1.6830000000000001</v>
      </c>
      <c r="AP70" s="87">
        <f>IF($E70="BS",V70,SUM(K70:V70))</f>
        <v>0</v>
      </c>
      <c r="AQ70" s="87">
        <f>IF($E70="BS",AH70,SUM(W70:AH70))</f>
        <v>18.5715</v>
      </c>
      <c r="AR70" s="87">
        <f>IF($E70="BS",AO70,SUM(AD70:AO70))</f>
        <v>20.9895</v>
      </c>
    </row>
    <row r="71" spans="1:44" ht="11.25" customHeight="1" x14ac:dyDescent="0.2">
      <c r="A71" s="88" t="s">
        <v>267</v>
      </c>
      <c r="B71" s="104"/>
      <c r="E71" s="88" t="s">
        <v>376</v>
      </c>
      <c r="G71" s="88" t="s">
        <v>18</v>
      </c>
      <c r="H71" s="88" t="s">
        <v>21</v>
      </c>
      <c r="I71" s="88" t="s">
        <v>21</v>
      </c>
      <c r="J71" s="88" t="s">
        <v>267</v>
      </c>
      <c r="K71" s="87">
        <v>1.155</v>
      </c>
      <c r="L71" s="87">
        <v>0.78749999999999998</v>
      </c>
      <c r="M71" s="87">
        <v>0</v>
      </c>
      <c r="N71" s="87">
        <v>0</v>
      </c>
      <c r="O71" s="87">
        <v>0</v>
      </c>
      <c r="P71" s="87">
        <v>0.52500000000000002</v>
      </c>
      <c r="Q71" s="87">
        <v>0</v>
      </c>
      <c r="R71" s="87">
        <v>0</v>
      </c>
      <c r="S71" s="87">
        <v>0</v>
      </c>
      <c r="T71" s="87">
        <v>0</v>
      </c>
      <c r="U71" s="87">
        <v>0</v>
      </c>
      <c r="V71" s="87">
        <v>0</v>
      </c>
      <c r="W71" s="87">
        <v>0</v>
      </c>
      <c r="X71" s="87">
        <v>0</v>
      </c>
      <c r="Y71" s="87">
        <v>0.27500000000000002</v>
      </c>
      <c r="Z71" s="87">
        <v>0.60499999999999998</v>
      </c>
      <c r="AA71" s="87">
        <v>0</v>
      </c>
      <c r="AB71" s="87">
        <v>0</v>
      </c>
      <c r="AC71" s="87">
        <v>0</v>
      </c>
      <c r="AD71" s="87">
        <v>0</v>
      </c>
      <c r="AE71" s="87">
        <v>2.4849999999999999</v>
      </c>
      <c r="AF71" s="87">
        <v>0</v>
      </c>
      <c r="AG71" s="87">
        <v>18.148499999999999</v>
      </c>
      <c r="AH71" s="87">
        <v>2.5485000000000002</v>
      </c>
      <c r="AI71" s="87">
        <v>0.2475</v>
      </c>
      <c r="AJ71" s="87">
        <v>3.1349999999999998</v>
      </c>
      <c r="AK71" s="87">
        <v>0</v>
      </c>
      <c r="AL71" s="87">
        <v>5</v>
      </c>
      <c r="AM71" s="87">
        <v>0</v>
      </c>
      <c r="AN71" s="87">
        <v>0.97499999999999998</v>
      </c>
      <c r="AO71" s="87">
        <v>21.9465</v>
      </c>
      <c r="AP71" s="87">
        <f>IF($E71="BS",V71,SUM(K71:V71))</f>
        <v>2.4674999999999998</v>
      </c>
      <c r="AQ71" s="87">
        <f>IF($E71="BS",AH71,SUM(W71:AH71))</f>
        <v>24.061999999999998</v>
      </c>
      <c r="AR71" s="87">
        <f>IF($E71="BS",AO71,SUM(AD71:AO71))</f>
        <v>54.485999999999997</v>
      </c>
    </row>
    <row r="72" spans="1:44" ht="11.25" customHeight="1" x14ac:dyDescent="0.2">
      <c r="A72" s="88" t="s">
        <v>266</v>
      </c>
      <c r="B72" s="104"/>
      <c r="E72" s="88" t="s">
        <v>376</v>
      </c>
      <c r="G72" s="88" t="s">
        <v>18</v>
      </c>
      <c r="H72" s="88" t="s">
        <v>20</v>
      </c>
      <c r="I72" s="88" t="s">
        <v>20</v>
      </c>
      <c r="J72" s="88" t="s">
        <v>266</v>
      </c>
      <c r="K72" s="87">
        <v>0.99735000000000007</v>
      </c>
      <c r="L72" s="87">
        <v>0.89559</v>
      </c>
      <c r="M72" s="87">
        <v>3.0189400000000002</v>
      </c>
      <c r="N72" s="87">
        <v>6.1424199999999995</v>
      </c>
      <c r="O72" s="87">
        <v>5.5222000000000007</v>
      </c>
      <c r="P72" s="87">
        <v>11.839689999999999</v>
      </c>
      <c r="Q72" s="87">
        <v>9.2600000000002181E-2</v>
      </c>
      <c r="R72" s="87">
        <v>1.319989999999998</v>
      </c>
      <c r="S72" s="87">
        <v>4.6200200000000038</v>
      </c>
      <c r="T72" s="87">
        <v>3.8409999999996218E-2</v>
      </c>
      <c r="U72" s="87">
        <v>2.8187700000000042</v>
      </c>
      <c r="V72" s="87">
        <v>2.8200499999999957</v>
      </c>
      <c r="W72" s="87">
        <v>1.5917999999999999</v>
      </c>
      <c r="X72" s="87">
        <v>3.2488299999999999</v>
      </c>
      <c r="Y72" s="87">
        <v>1.6254899999999999</v>
      </c>
      <c r="Z72" s="87">
        <v>1.3763000000000001</v>
      </c>
      <c r="AA72" s="87">
        <v>5.9902499999999996</v>
      </c>
      <c r="AB72" s="87">
        <v>2.1818799999999992</v>
      </c>
      <c r="AC72" s="87">
        <v>4.4315200000000008</v>
      </c>
      <c r="AD72" s="87">
        <v>0</v>
      </c>
      <c r="AE72" s="87">
        <v>1.6599500000000007</v>
      </c>
      <c r="AF72" s="87">
        <v>3.61225</v>
      </c>
      <c r="AG72" s="87">
        <v>6.7029999999998841E-2</v>
      </c>
      <c r="AH72" s="87">
        <v>2.7713800000000011</v>
      </c>
      <c r="AI72" s="87">
        <v>4.4450000000000003</v>
      </c>
      <c r="AJ72" s="87">
        <v>1.82375</v>
      </c>
      <c r="AK72" s="87">
        <v>1.3425</v>
      </c>
      <c r="AL72" s="87">
        <v>6.9962999999999989</v>
      </c>
      <c r="AM72" s="87">
        <v>3.8473100000000011</v>
      </c>
      <c r="AN72" s="87">
        <v>4.6226300000000009</v>
      </c>
      <c r="AO72" s="87">
        <v>4.6704499999999971</v>
      </c>
      <c r="AP72" s="87">
        <f>IF($E72="BS",V72,SUM(K72:V72))</f>
        <v>40.12603</v>
      </c>
      <c r="AQ72" s="87">
        <f>IF($E72="BS",AH72,SUM(W72:AH72))</f>
        <v>28.55668</v>
      </c>
      <c r="AR72" s="87">
        <f>IF($E72="BS",AO72,SUM(AD72:AO72))</f>
        <v>35.858550000000001</v>
      </c>
    </row>
    <row r="73" spans="1:44" ht="11.25" customHeight="1" x14ac:dyDescent="0.2">
      <c r="A73" s="88" t="s">
        <v>248</v>
      </c>
      <c r="B73" s="104"/>
      <c r="E73" s="88" t="s">
        <v>376</v>
      </c>
      <c r="G73" s="88" t="s">
        <v>18</v>
      </c>
      <c r="H73" s="88" t="s">
        <v>19</v>
      </c>
      <c r="I73" s="88" t="s">
        <v>19</v>
      </c>
      <c r="J73" s="88" t="s">
        <v>248</v>
      </c>
      <c r="K73" s="87">
        <v>0.3014</v>
      </c>
      <c r="L73" s="87">
        <v>0</v>
      </c>
      <c r="M73" s="87">
        <v>6.2000000000000458E-3</v>
      </c>
      <c r="N73" s="87">
        <v>0</v>
      </c>
      <c r="O73" s="87">
        <v>0</v>
      </c>
      <c r="P73" s="87">
        <v>0</v>
      </c>
      <c r="Q73" s="87">
        <v>0</v>
      </c>
      <c r="R73" s="87">
        <v>0</v>
      </c>
      <c r="S73" s="87">
        <v>0</v>
      </c>
      <c r="T73" s="87">
        <v>0.12</v>
      </c>
      <c r="U73" s="87">
        <v>0.23669999999999994</v>
      </c>
      <c r="V73" s="87">
        <v>0</v>
      </c>
      <c r="W73" s="87">
        <v>0.33276</v>
      </c>
      <c r="X73" s="87">
        <v>0.27124000000000004</v>
      </c>
      <c r="Y73" s="87">
        <v>3.230000000000018E-3</v>
      </c>
      <c r="Z73" s="87">
        <v>0</v>
      </c>
      <c r="AA73" s="87">
        <v>9.6449999999999939E-2</v>
      </c>
      <c r="AB73" s="87">
        <v>0</v>
      </c>
      <c r="AC73" s="87">
        <v>0</v>
      </c>
      <c r="AD73" s="87">
        <v>0</v>
      </c>
      <c r="AE73" s="87">
        <v>0</v>
      </c>
      <c r="AF73" s="87">
        <v>0</v>
      </c>
      <c r="AG73" s="87">
        <v>0.2</v>
      </c>
      <c r="AH73" s="87">
        <v>0</v>
      </c>
      <c r="AI73" s="87">
        <v>0</v>
      </c>
      <c r="AJ73" s="87">
        <v>0.15</v>
      </c>
      <c r="AK73" s="87">
        <v>4.2949999999999988E-2</v>
      </c>
      <c r="AL73" s="87">
        <v>0.33855000000000002</v>
      </c>
      <c r="AM73" s="87">
        <v>0</v>
      </c>
      <c r="AN73" s="87">
        <v>0</v>
      </c>
      <c r="AO73" s="87">
        <v>0</v>
      </c>
      <c r="AP73" s="87">
        <f>IF($E73="BS",V73,SUM(K73:V73))</f>
        <v>0.6643</v>
      </c>
      <c r="AQ73" s="87">
        <f>IF($E73="BS",AH73,SUM(W73:AH73))</f>
        <v>0.90368000000000004</v>
      </c>
      <c r="AR73" s="87">
        <f>IF($E73="BS",AO73,SUM(AD73:AO73))</f>
        <v>0.73150000000000004</v>
      </c>
    </row>
    <row r="74" spans="1:44" ht="11.25" customHeight="1" x14ac:dyDescent="0.2">
      <c r="A74" s="88" t="s">
        <v>257</v>
      </c>
      <c r="B74" s="104"/>
      <c r="E74" s="88" t="s">
        <v>376</v>
      </c>
      <c r="G74" s="88" t="s">
        <v>18</v>
      </c>
      <c r="H74" s="88" t="s">
        <v>20</v>
      </c>
      <c r="I74" s="88" t="s">
        <v>20</v>
      </c>
      <c r="J74" s="88" t="s">
        <v>257</v>
      </c>
      <c r="K74" s="87">
        <v>8</v>
      </c>
      <c r="L74" s="87">
        <v>0</v>
      </c>
      <c r="M74" s="87">
        <v>0</v>
      </c>
      <c r="N74" s="87">
        <v>0</v>
      </c>
      <c r="O74" s="87">
        <v>0</v>
      </c>
      <c r="P74" s="87">
        <v>0</v>
      </c>
      <c r="Q74" s="87">
        <v>0</v>
      </c>
      <c r="R74" s="87">
        <v>0.75</v>
      </c>
      <c r="S74" s="87">
        <v>0</v>
      </c>
      <c r="T74" s="87">
        <v>0.21299999999999999</v>
      </c>
      <c r="U74" s="87">
        <v>0.69499999999999995</v>
      </c>
      <c r="V74" s="87">
        <v>0</v>
      </c>
      <c r="W74" s="87">
        <v>0</v>
      </c>
      <c r="X74" s="87">
        <v>0</v>
      </c>
      <c r="Y74" s="87">
        <v>0</v>
      </c>
      <c r="Z74" s="87">
        <v>0</v>
      </c>
      <c r="AA74" s="87">
        <v>0</v>
      </c>
      <c r="AB74" s="87">
        <v>0</v>
      </c>
      <c r="AC74" s="87">
        <v>0</v>
      </c>
      <c r="AD74" s="87">
        <v>0.75</v>
      </c>
      <c r="AE74" s="87">
        <v>0</v>
      </c>
      <c r="AF74" s="87">
        <v>0</v>
      </c>
      <c r="AG74" s="87">
        <v>0.69499999999999995</v>
      </c>
      <c r="AH74" s="87">
        <v>0</v>
      </c>
      <c r="AI74" s="87">
        <v>0</v>
      </c>
      <c r="AJ74" s="87">
        <v>0</v>
      </c>
      <c r="AK74" s="87">
        <v>8.5000000000000006E-2</v>
      </c>
      <c r="AL74" s="87">
        <v>0</v>
      </c>
      <c r="AM74" s="87">
        <v>0</v>
      </c>
      <c r="AN74" s="87">
        <v>0</v>
      </c>
      <c r="AO74" s="87">
        <v>0.75</v>
      </c>
      <c r="AP74" s="87">
        <f>IF($E74="BS",V74,SUM(K74:V74))</f>
        <v>9.6579999999999995</v>
      </c>
      <c r="AQ74" s="87">
        <f>IF($E74="BS",AH74,SUM(W74:AH74))</f>
        <v>1.4449999999999998</v>
      </c>
      <c r="AR74" s="87">
        <f>IF($E74="BS",AO74,SUM(AD74:AO74))</f>
        <v>2.2799999999999998</v>
      </c>
    </row>
    <row r="75" spans="1:44" ht="11.25" customHeight="1" x14ac:dyDescent="0.2">
      <c r="A75" s="88" t="s">
        <v>252</v>
      </c>
      <c r="B75" s="104"/>
      <c r="E75" s="88" t="s">
        <v>376</v>
      </c>
      <c r="G75" s="88" t="s">
        <v>18</v>
      </c>
      <c r="H75" s="88" t="s">
        <v>20</v>
      </c>
      <c r="I75" s="88" t="s">
        <v>20</v>
      </c>
      <c r="J75" s="88" t="s">
        <v>252</v>
      </c>
      <c r="K75" s="87">
        <v>0</v>
      </c>
      <c r="L75" s="87">
        <v>0</v>
      </c>
      <c r="M75" s="87">
        <v>0</v>
      </c>
      <c r="N75" s="87">
        <v>0</v>
      </c>
      <c r="O75" s="87">
        <v>0</v>
      </c>
      <c r="P75" s="87">
        <v>0</v>
      </c>
      <c r="Q75" s="87">
        <v>7.5499999999999998E-2</v>
      </c>
      <c r="R75" s="87">
        <v>0</v>
      </c>
      <c r="S75" s="87">
        <v>0</v>
      </c>
      <c r="T75" s="87">
        <v>0</v>
      </c>
      <c r="U75" s="87">
        <v>0</v>
      </c>
      <c r="V75" s="87">
        <v>0</v>
      </c>
      <c r="W75" s="87">
        <v>0</v>
      </c>
      <c r="X75" s="87">
        <v>0</v>
      </c>
      <c r="Y75" s="87">
        <v>7.4999999999999997E-2</v>
      </c>
      <c r="Z75" s="87">
        <v>-0.317</v>
      </c>
      <c r="AA75" s="87">
        <v>0</v>
      </c>
      <c r="AB75" s="87">
        <v>0</v>
      </c>
      <c r="AC75" s="87">
        <v>7.5499999999999998E-2</v>
      </c>
      <c r="AD75" s="87">
        <v>0</v>
      </c>
      <c r="AE75" s="87">
        <v>0</v>
      </c>
      <c r="AF75" s="87">
        <v>0</v>
      </c>
      <c r="AG75" s="87">
        <v>0</v>
      </c>
      <c r="AH75" s="87">
        <v>0</v>
      </c>
      <c r="AI75" s="87">
        <v>0</v>
      </c>
      <c r="AJ75" s="87">
        <v>0</v>
      </c>
      <c r="AK75" s="87">
        <v>0</v>
      </c>
      <c r="AL75" s="87">
        <v>0</v>
      </c>
      <c r="AM75" s="87">
        <v>0</v>
      </c>
      <c r="AN75" s="87">
        <v>0</v>
      </c>
      <c r="AO75" s="87">
        <v>0</v>
      </c>
      <c r="AP75" s="87">
        <f>IF($E75="BS",V75,SUM(K75:V75))</f>
        <v>7.5499999999999998E-2</v>
      </c>
      <c r="AQ75" s="87">
        <f>IF($E75="BS",AH75,SUM(W75:AH75))</f>
        <v>-0.16649999999999998</v>
      </c>
      <c r="AR75" s="87">
        <f>IF($E75="BS",AO75,SUM(AD75:AO75))</f>
        <v>0</v>
      </c>
    </row>
    <row r="76" spans="1:44" ht="11.25" customHeight="1" x14ac:dyDescent="0.2">
      <c r="A76" s="88" t="s">
        <v>263</v>
      </c>
      <c r="B76" s="104"/>
      <c r="E76" s="88" t="s">
        <v>376</v>
      </c>
      <c r="G76" s="88" t="s">
        <v>18</v>
      </c>
      <c r="H76" s="88" t="s">
        <v>20</v>
      </c>
      <c r="I76" s="88" t="s">
        <v>20</v>
      </c>
      <c r="J76" s="88" t="s">
        <v>263</v>
      </c>
      <c r="K76" s="87">
        <v>2.9682199999999996</v>
      </c>
      <c r="L76" s="87">
        <v>0</v>
      </c>
      <c r="M76" s="87">
        <v>1.5960000000000037E-2</v>
      </c>
      <c r="N76" s="87">
        <v>8.5580000000000378E-2</v>
      </c>
      <c r="O76" s="87">
        <v>8.9999999999999993E-3</v>
      </c>
      <c r="P76" s="87">
        <v>0.26996999999999982</v>
      </c>
      <c r="Q76" s="87">
        <v>0.31909000000000015</v>
      </c>
      <c r="R76" s="87">
        <v>0.1079699999999998</v>
      </c>
      <c r="S76" s="87">
        <v>5.3490000000000239E-2</v>
      </c>
      <c r="T76" s="87">
        <v>0</v>
      </c>
      <c r="U76" s="87">
        <v>0</v>
      </c>
      <c r="V76" s="87">
        <v>4.7004499999999991</v>
      </c>
      <c r="W76" s="87">
        <v>0.18427000000000002</v>
      </c>
      <c r="X76" s="87">
        <v>8.9899999999999806E-3</v>
      </c>
      <c r="Y76" s="87">
        <v>0.10736000000000001</v>
      </c>
      <c r="Z76" s="87">
        <v>0</v>
      </c>
      <c r="AA76" s="87">
        <v>0.19202999999999998</v>
      </c>
      <c r="AB76" s="87">
        <v>0</v>
      </c>
      <c r="AC76" s="87">
        <v>0.30274000000000001</v>
      </c>
      <c r="AD76" s="87">
        <v>0.27128000000000008</v>
      </c>
      <c r="AE76" s="87">
        <v>0.1178599999999999</v>
      </c>
      <c r="AF76" s="87">
        <v>0.21105999999999994</v>
      </c>
      <c r="AG76" s="87">
        <v>0.29631000000000018</v>
      </c>
      <c r="AH76" s="87">
        <v>7.7607299999999997</v>
      </c>
      <c r="AI76" s="87">
        <v>0.11554</v>
      </c>
      <c r="AJ76" s="87">
        <v>0.49999999999999994</v>
      </c>
      <c r="AK76" s="87">
        <v>6.7599999999999908E-3</v>
      </c>
      <c r="AL76" s="87">
        <v>0.11891000000000009</v>
      </c>
      <c r="AM76" s="87">
        <v>0.15795999999999993</v>
      </c>
      <c r="AN76" s="87">
        <v>0.24848000000000015</v>
      </c>
      <c r="AO76" s="87">
        <v>0</v>
      </c>
      <c r="AP76" s="87">
        <f>IF($E76="BS",V76,SUM(K76:V76))</f>
        <v>8.5297299999999989</v>
      </c>
      <c r="AQ76" s="87">
        <f>IF($E76="BS",AH76,SUM(W76:AH76))</f>
        <v>9.4526299999999992</v>
      </c>
      <c r="AR76" s="87">
        <f>IF($E76="BS",AO76,SUM(AD76:AO76))</f>
        <v>9.8048899999999986</v>
      </c>
    </row>
    <row r="77" spans="1:44" ht="11.25" customHeight="1" x14ac:dyDescent="0.2">
      <c r="A77" s="88" t="s">
        <v>313</v>
      </c>
      <c r="B77" s="104"/>
      <c r="E77" s="88" t="s">
        <v>376</v>
      </c>
      <c r="G77" s="88" t="s">
        <v>18</v>
      </c>
      <c r="H77" s="88" t="s">
        <v>24</v>
      </c>
      <c r="I77" s="88" t="s">
        <v>312</v>
      </c>
      <c r="J77" s="88" t="s">
        <v>313</v>
      </c>
      <c r="K77" s="87">
        <v>1.83348</v>
      </c>
      <c r="L77" s="87">
        <v>1.83348</v>
      </c>
      <c r="M77" s="87">
        <v>1.8334799999999996</v>
      </c>
      <c r="N77" s="87">
        <v>1.8334800000000004</v>
      </c>
      <c r="O77" s="87">
        <v>1.7084699999999993</v>
      </c>
      <c r="P77" s="87">
        <v>1.6668000000000012</v>
      </c>
      <c r="Q77" s="87">
        <v>1.7084699999999993</v>
      </c>
      <c r="R77" s="87">
        <v>1.6667999999999992</v>
      </c>
      <c r="S77" s="87">
        <v>1.6668000000000012</v>
      </c>
      <c r="T77" s="87">
        <v>1.6668000000000012</v>
      </c>
      <c r="U77" s="87">
        <v>1.6667999999999992</v>
      </c>
      <c r="V77" s="87">
        <v>1.5834599999999992</v>
      </c>
      <c r="W77" s="87">
        <v>1.5834600000000001</v>
      </c>
      <c r="X77" s="87">
        <v>1.5834600000000001</v>
      </c>
      <c r="Y77" s="87">
        <v>1.5834600000000001</v>
      </c>
      <c r="Z77" s="87">
        <v>0</v>
      </c>
      <c r="AA77" s="87">
        <v>0</v>
      </c>
      <c r="AB77" s="87">
        <v>0</v>
      </c>
      <c r="AC77" s="87">
        <v>0</v>
      </c>
      <c r="AD77" s="87">
        <v>0</v>
      </c>
      <c r="AE77" s="87">
        <v>0</v>
      </c>
      <c r="AF77" s="87">
        <v>0</v>
      </c>
      <c r="AG77" s="87">
        <v>0</v>
      </c>
      <c r="AH77" s="87">
        <v>0</v>
      </c>
      <c r="AI77" s="87">
        <v>0</v>
      </c>
      <c r="AJ77" s="87">
        <v>0</v>
      </c>
      <c r="AK77" s="87">
        <v>0</v>
      </c>
      <c r="AL77" s="87">
        <v>0</v>
      </c>
      <c r="AM77" s="87">
        <v>0</v>
      </c>
      <c r="AN77" s="87">
        <v>0</v>
      </c>
      <c r="AO77" s="87">
        <v>0</v>
      </c>
      <c r="AP77" s="87">
        <f>IF($E77="BS",V77,SUM(K77:V77))</f>
        <v>20.668319999999998</v>
      </c>
      <c r="AQ77" s="87">
        <f>IF($E77="BS",AH77,SUM(W77:AH77))</f>
        <v>4.7503799999999998</v>
      </c>
      <c r="AR77" s="87">
        <f>IF($E77="BS",AO77,SUM(AD77:AO77))</f>
        <v>0</v>
      </c>
    </row>
    <row r="78" spans="1:44" ht="11.25" customHeight="1" x14ac:dyDescent="0.2">
      <c r="A78" s="88" t="s">
        <v>316</v>
      </c>
      <c r="B78" s="104"/>
      <c r="E78" s="88" t="s">
        <v>376</v>
      </c>
      <c r="G78" s="88" t="s">
        <v>18</v>
      </c>
      <c r="H78" s="88" t="s">
        <v>24</v>
      </c>
      <c r="I78" s="88" t="s">
        <v>312</v>
      </c>
      <c r="J78" s="88" t="s">
        <v>316</v>
      </c>
      <c r="K78" s="87">
        <v>16.50798</v>
      </c>
      <c r="L78" s="87">
        <v>16.003330000000002</v>
      </c>
      <c r="M78" s="87">
        <v>13.507189999999998</v>
      </c>
      <c r="N78" s="87">
        <v>13.205940000000002</v>
      </c>
      <c r="O78" s="87">
        <v>12.059009999999995</v>
      </c>
      <c r="P78" s="87">
        <v>11.321880000000005</v>
      </c>
      <c r="Q78" s="87">
        <v>11.41278</v>
      </c>
      <c r="R78" s="87">
        <v>10.909699999999997</v>
      </c>
      <c r="S78" s="87">
        <v>9.9414300000000075</v>
      </c>
      <c r="T78" s="87">
        <v>24.098839999999981</v>
      </c>
      <c r="U78" s="87">
        <v>21.154510000000009</v>
      </c>
      <c r="V78" s="87">
        <v>45.765959999999993</v>
      </c>
      <c r="W78" s="87">
        <v>16.626609999999999</v>
      </c>
      <c r="X78" s="87">
        <v>16.335050000000003</v>
      </c>
      <c r="Y78" s="87">
        <v>13.760849999999998</v>
      </c>
      <c r="Z78" s="87">
        <v>0</v>
      </c>
      <c r="AA78" s="87">
        <v>0</v>
      </c>
      <c r="AB78" s="87">
        <v>0</v>
      </c>
      <c r="AC78" s="87">
        <v>0.17794999999999708</v>
      </c>
      <c r="AD78" s="87">
        <v>0</v>
      </c>
      <c r="AE78" s="87">
        <v>0</v>
      </c>
      <c r="AF78" s="87">
        <v>0</v>
      </c>
      <c r="AG78" s="87">
        <v>0</v>
      </c>
      <c r="AH78" s="87">
        <v>153.35380000000001</v>
      </c>
      <c r="AI78" s="87">
        <v>0</v>
      </c>
      <c r="AJ78" s="87">
        <v>0</v>
      </c>
      <c r="AK78" s="87">
        <v>0</v>
      </c>
      <c r="AL78" s="87">
        <v>0</v>
      </c>
      <c r="AM78" s="87">
        <v>0</v>
      </c>
      <c r="AN78" s="87">
        <v>0</v>
      </c>
      <c r="AO78" s="87">
        <v>0</v>
      </c>
      <c r="AP78" s="87">
        <f>IF($E78="BS",V78,SUM(K78:V78))</f>
        <v>205.88855000000001</v>
      </c>
      <c r="AQ78" s="87">
        <f>IF($E78="BS",AH78,SUM(W78:AH78))</f>
        <v>200.25425999999999</v>
      </c>
      <c r="AR78" s="87">
        <f>IF($E78="BS",AO78,SUM(AD78:AO78))</f>
        <v>153.35380000000001</v>
      </c>
    </row>
    <row r="79" spans="1:44" ht="11.25" customHeight="1" x14ac:dyDescent="0.2">
      <c r="A79" s="88" t="s">
        <v>254</v>
      </c>
      <c r="B79" s="104"/>
      <c r="E79" s="88" t="s">
        <v>376</v>
      </c>
      <c r="G79" s="88" t="s">
        <v>18</v>
      </c>
      <c r="H79" s="88" t="s">
        <v>20</v>
      </c>
      <c r="I79" s="88" t="s">
        <v>20</v>
      </c>
      <c r="J79" s="88" t="s">
        <v>254</v>
      </c>
      <c r="K79" s="87">
        <v>0</v>
      </c>
      <c r="L79" s="87">
        <v>0</v>
      </c>
      <c r="M79" s="87">
        <v>0</v>
      </c>
      <c r="N79" s="87">
        <v>0</v>
      </c>
      <c r="O79" s="87">
        <v>4.65E-2</v>
      </c>
      <c r="P79" s="87">
        <v>0</v>
      </c>
      <c r="Q79" s="87">
        <v>0</v>
      </c>
      <c r="R79" s="87">
        <v>0</v>
      </c>
      <c r="S79" s="87">
        <v>0</v>
      </c>
      <c r="T79" s="87">
        <v>0</v>
      </c>
      <c r="U79" s="87">
        <v>0</v>
      </c>
      <c r="V79" s="87">
        <v>0</v>
      </c>
      <c r="W79" s="87">
        <v>0</v>
      </c>
      <c r="X79" s="87">
        <v>0</v>
      </c>
      <c r="Y79" s="87">
        <v>0</v>
      </c>
      <c r="Z79" s="87">
        <v>4.589E-2</v>
      </c>
      <c r="AA79" s="87">
        <v>0</v>
      </c>
      <c r="AB79" s="87">
        <v>0</v>
      </c>
      <c r="AC79" s="87">
        <v>0</v>
      </c>
      <c r="AD79" s="87">
        <v>0</v>
      </c>
      <c r="AE79" s="87">
        <v>0</v>
      </c>
      <c r="AF79" s="87">
        <v>0</v>
      </c>
      <c r="AG79" s="87">
        <v>0</v>
      </c>
      <c r="AH79" s="87">
        <v>0</v>
      </c>
      <c r="AI79" s="87">
        <v>0</v>
      </c>
      <c r="AJ79" s="87">
        <v>0</v>
      </c>
      <c r="AK79" s="87">
        <v>0</v>
      </c>
      <c r="AL79" s="87">
        <v>0</v>
      </c>
      <c r="AM79" s="87">
        <v>2.0930000000000001E-2</v>
      </c>
      <c r="AN79" s="87">
        <v>0</v>
      </c>
      <c r="AO79" s="87">
        <v>0</v>
      </c>
      <c r="AP79" s="87">
        <f>IF($E79="BS",V79,SUM(K79:V79))</f>
        <v>4.65E-2</v>
      </c>
      <c r="AQ79" s="87">
        <f>IF($E79="BS",AH79,SUM(W79:AH79))</f>
        <v>4.589E-2</v>
      </c>
      <c r="AR79" s="87">
        <f>IF($E79="BS",AO79,SUM(AD79:AO79))</f>
        <v>2.0930000000000001E-2</v>
      </c>
    </row>
    <row r="80" spans="1:44" ht="11.25" customHeight="1" x14ac:dyDescent="0.2">
      <c r="A80" s="88" t="s">
        <v>261</v>
      </c>
      <c r="B80" s="104"/>
      <c r="E80" s="88" t="s">
        <v>376</v>
      </c>
      <c r="G80" s="88" t="s">
        <v>18</v>
      </c>
      <c r="H80" s="88" t="s">
        <v>20</v>
      </c>
      <c r="I80" s="88" t="s">
        <v>20</v>
      </c>
      <c r="J80" s="88" t="s">
        <v>261</v>
      </c>
      <c r="K80" s="87">
        <v>0</v>
      </c>
      <c r="L80" s="87">
        <v>0</v>
      </c>
      <c r="M80" s="87">
        <v>0.03</v>
      </c>
      <c r="N80" s="87">
        <v>0.11711000000000002</v>
      </c>
      <c r="O80" s="87">
        <v>0</v>
      </c>
      <c r="P80" s="87">
        <v>0</v>
      </c>
      <c r="Q80" s="87">
        <v>7.0229999999999987E-2</v>
      </c>
      <c r="R80" s="87">
        <v>0</v>
      </c>
      <c r="S80" s="87">
        <v>0</v>
      </c>
      <c r="T80" s="87">
        <v>5.5070000000000022E-2</v>
      </c>
      <c r="U80" s="87">
        <v>3.5359999999999954E-2</v>
      </c>
      <c r="V80" s="87">
        <v>3.5360000000000016E-2</v>
      </c>
      <c r="W80" s="87">
        <v>2.0559999999999998E-2</v>
      </c>
      <c r="X80" s="87">
        <v>0</v>
      </c>
      <c r="Y80" s="87">
        <v>0</v>
      </c>
      <c r="Z80" s="87">
        <v>1.0160000000000001E-2</v>
      </c>
      <c r="AA80" s="87">
        <v>6.6200000000000044E-3</v>
      </c>
      <c r="AB80" s="87">
        <v>0</v>
      </c>
      <c r="AC80" s="87">
        <v>1.4019999999999996E-2</v>
      </c>
      <c r="AD80" s="87">
        <v>0</v>
      </c>
      <c r="AE80" s="87">
        <v>7.2309999999999999E-2</v>
      </c>
      <c r="AF80" s="87">
        <v>0</v>
      </c>
      <c r="AG80" s="87">
        <v>3.4749999999999989E-2</v>
      </c>
      <c r="AH80" s="87">
        <v>2.1890000000000014E-2</v>
      </c>
      <c r="AI80" s="87">
        <v>1.8510000000000002E-2</v>
      </c>
      <c r="AJ80" s="87">
        <v>5.5649999999999991E-2</v>
      </c>
      <c r="AK80" s="87">
        <v>7.3170000000000013E-2</v>
      </c>
      <c r="AL80" s="87">
        <v>0</v>
      </c>
      <c r="AM80" s="87">
        <v>2.2060900000000001</v>
      </c>
      <c r="AN80" s="87">
        <v>1.09948</v>
      </c>
      <c r="AO80" s="87">
        <v>1.2454699999999999</v>
      </c>
      <c r="AP80" s="87">
        <f>IF($E80="BS",V80,SUM(K80:V80))</f>
        <v>0.34312999999999999</v>
      </c>
      <c r="AQ80" s="87">
        <f>IF($E80="BS",AH80,SUM(W80:AH80))</f>
        <v>0.18031000000000003</v>
      </c>
      <c r="AR80" s="87">
        <f>IF($E80="BS",AO80,SUM(AD80:AO80))</f>
        <v>4.8273200000000003</v>
      </c>
    </row>
    <row r="81" spans="1:44" ht="11.25" customHeight="1" x14ac:dyDescent="0.2">
      <c r="A81" s="88" t="s">
        <v>259</v>
      </c>
      <c r="B81" s="104"/>
      <c r="E81" s="88" t="s">
        <v>376</v>
      </c>
      <c r="G81" s="88" t="s">
        <v>18</v>
      </c>
      <c r="H81" s="88" t="s">
        <v>20</v>
      </c>
      <c r="I81" s="88" t="s">
        <v>20</v>
      </c>
      <c r="J81" s="88" t="s">
        <v>259</v>
      </c>
      <c r="K81" s="87">
        <v>0.31760000000000005</v>
      </c>
      <c r="L81" s="87">
        <v>0.27900000000000003</v>
      </c>
      <c r="M81" s="87">
        <v>0.27900000000000003</v>
      </c>
      <c r="N81" s="87">
        <v>0.27899999999999986</v>
      </c>
      <c r="O81" s="87">
        <v>0.27900000000000003</v>
      </c>
      <c r="P81" s="87">
        <v>0.28499999999999998</v>
      </c>
      <c r="Q81" s="87">
        <v>0.34825</v>
      </c>
      <c r="R81" s="87">
        <v>0.28199999999999997</v>
      </c>
      <c r="S81" s="87">
        <v>0.28199999999999997</v>
      </c>
      <c r="T81" s="87">
        <v>0.30615000000000009</v>
      </c>
      <c r="U81" s="87">
        <v>0.28199999999999997</v>
      </c>
      <c r="V81" s="87">
        <v>0.28199999999999997</v>
      </c>
      <c r="W81" s="87">
        <v>0.28199999999999997</v>
      </c>
      <c r="X81" s="87">
        <v>0.32251999999999997</v>
      </c>
      <c r="Y81" s="87">
        <v>0.28199999999999997</v>
      </c>
      <c r="Z81" s="87">
        <v>0.31768000000000007</v>
      </c>
      <c r="AA81" s="87">
        <v>0.28199999999999997</v>
      </c>
      <c r="AB81" s="87">
        <v>0.28799999999999998</v>
      </c>
      <c r="AC81" s="87">
        <v>0.28499999999999975</v>
      </c>
      <c r="AD81" s="87">
        <v>0.33340000000000009</v>
      </c>
      <c r="AE81" s="87">
        <v>0.28499999999999998</v>
      </c>
      <c r="AF81" s="87">
        <v>0.28499999999999998</v>
      </c>
      <c r="AG81" s="87">
        <v>0.28499999999999998</v>
      </c>
      <c r="AH81" s="87">
        <v>0.33255999999999997</v>
      </c>
      <c r="AI81" s="87">
        <v>0.28499999999999998</v>
      </c>
      <c r="AJ81" s="87">
        <v>0.28499999999999998</v>
      </c>
      <c r="AK81" s="87">
        <v>0.28499999999999998</v>
      </c>
      <c r="AL81" s="87">
        <v>0.28499999999999998</v>
      </c>
      <c r="AM81" s="87">
        <v>0.32229999999999998</v>
      </c>
      <c r="AN81" s="87">
        <v>0.28529999999999994</v>
      </c>
      <c r="AO81" s="87">
        <v>0.307</v>
      </c>
      <c r="AP81" s="87">
        <f>IF($E81="BS",V81,SUM(K81:V81))</f>
        <v>3.5009999999999999</v>
      </c>
      <c r="AQ81" s="87">
        <f>IF($E81="BS",AH81,SUM(W81:AH81))</f>
        <v>3.5801600000000007</v>
      </c>
      <c r="AR81" s="87">
        <f>IF($E81="BS",AO81,SUM(AD81:AO81))</f>
        <v>3.5755599999999998</v>
      </c>
    </row>
    <row r="82" spans="1:44" ht="11.25" customHeight="1" x14ac:dyDescent="0.2">
      <c r="A82" s="88" t="s">
        <v>323</v>
      </c>
      <c r="B82" s="104"/>
      <c r="E82" s="88" t="s">
        <v>376</v>
      </c>
      <c r="G82" s="88" t="s">
        <v>18</v>
      </c>
      <c r="H82" s="88" t="s">
        <v>24</v>
      </c>
      <c r="I82" s="88" t="s">
        <v>317</v>
      </c>
      <c r="J82" s="88" t="s">
        <v>323</v>
      </c>
      <c r="K82" s="87">
        <v>0</v>
      </c>
      <c r="L82" s="87">
        <v>0</v>
      </c>
      <c r="M82" s="87">
        <v>0</v>
      </c>
      <c r="N82" s="87">
        <v>0</v>
      </c>
      <c r="O82" s="87">
        <v>0</v>
      </c>
      <c r="P82" s="87">
        <v>0</v>
      </c>
      <c r="Q82" s="87">
        <v>0</v>
      </c>
      <c r="R82" s="87">
        <v>0</v>
      </c>
      <c r="S82" s="87">
        <v>0</v>
      </c>
      <c r="T82" s="87">
        <v>0</v>
      </c>
      <c r="U82" s="87">
        <v>0</v>
      </c>
      <c r="V82" s="87">
        <v>57.514180000000003</v>
      </c>
      <c r="W82" s="87">
        <v>0</v>
      </c>
      <c r="X82" s="87">
        <v>0</v>
      </c>
      <c r="Y82" s="87">
        <v>0</v>
      </c>
      <c r="Z82" s="87">
        <v>0</v>
      </c>
      <c r="AA82" s="87">
        <v>0</v>
      </c>
      <c r="AB82" s="87">
        <v>0</v>
      </c>
      <c r="AC82" s="87">
        <v>0</v>
      </c>
      <c r="AD82" s="87">
        <v>0</v>
      </c>
      <c r="AE82" s="87">
        <v>0</v>
      </c>
      <c r="AF82" s="87">
        <v>0</v>
      </c>
      <c r="AG82" s="87">
        <v>0</v>
      </c>
      <c r="AH82" s="87">
        <v>1669.14291</v>
      </c>
      <c r="AI82" s="87">
        <v>0</v>
      </c>
      <c r="AJ82" s="87">
        <v>0</v>
      </c>
      <c r="AK82" s="87">
        <v>0</v>
      </c>
      <c r="AL82" s="87">
        <v>0</v>
      </c>
      <c r="AM82" s="87">
        <v>0</v>
      </c>
      <c r="AN82" s="87">
        <v>0</v>
      </c>
      <c r="AO82" s="87">
        <v>0</v>
      </c>
      <c r="AP82" s="87">
        <f>IF($E82="BS",V82,SUM(K82:V82))</f>
        <v>57.514180000000003</v>
      </c>
      <c r="AQ82" s="87">
        <f>IF($E82="BS",AH82,SUM(W82:AH82))</f>
        <v>1669.14291</v>
      </c>
      <c r="AR82" s="87">
        <f>IF($E82="BS",AO82,SUM(AD82:AO82))</f>
        <v>1669.14291</v>
      </c>
    </row>
    <row r="83" spans="1:44" ht="11.25" customHeight="1" x14ac:dyDescent="0.2">
      <c r="A83" s="88" t="s">
        <v>401</v>
      </c>
      <c r="B83" s="104"/>
      <c r="E83" s="88" t="s">
        <v>376</v>
      </c>
      <c r="G83" s="88" t="s">
        <v>18</v>
      </c>
      <c r="H83" s="88" t="s">
        <v>24</v>
      </c>
      <c r="I83" s="88" t="s">
        <v>317</v>
      </c>
      <c r="J83" s="88" t="s">
        <v>320</v>
      </c>
      <c r="K83" s="87">
        <v>0</v>
      </c>
      <c r="L83" s="87">
        <v>0</v>
      </c>
      <c r="M83" s="87">
        <v>0</v>
      </c>
      <c r="N83" s="87">
        <v>0</v>
      </c>
      <c r="O83" s="87">
        <v>0</v>
      </c>
      <c r="P83" s="87">
        <v>0</v>
      </c>
      <c r="Q83" s="87">
        <v>0</v>
      </c>
      <c r="R83" s="87">
        <v>0</v>
      </c>
      <c r="S83" s="87">
        <v>0</v>
      </c>
      <c r="T83" s="87">
        <v>0</v>
      </c>
      <c r="U83" s="87">
        <v>0</v>
      </c>
      <c r="V83" s="87">
        <v>0</v>
      </c>
      <c r="W83" s="87">
        <v>0</v>
      </c>
      <c r="X83" s="87">
        <v>0</v>
      </c>
      <c r="Y83" s="87">
        <v>0</v>
      </c>
      <c r="Z83" s="87">
        <v>0</v>
      </c>
      <c r="AA83" s="87">
        <v>0</v>
      </c>
      <c r="AB83" s="87">
        <v>0</v>
      </c>
      <c r="AC83" s="87">
        <v>0</v>
      </c>
      <c r="AD83" s="87">
        <v>0</v>
      </c>
      <c r="AE83" s="87">
        <v>0</v>
      </c>
      <c r="AF83" s="87">
        <v>0</v>
      </c>
      <c r="AG83" s="87">
        <v>0</v>
      </c>
      <c r="AH83" s="87">
        <v>0</v>
      </c>
      <c r="AI83" s="87">
        <v>0</v>
      </c>
      <c r="AJ83" s="87">
        <v>102.5</v>
      </c>
      <c r="AK83" s="87">
        <v>0</v>
      </c>
      <c r="AL83" s="87">
        <v>0</v>
      </c>
      <c r="AM83" s="87">
        <v>0</v>
      </c>
      <c r="AN83" s="87">
        <v>0</v>
      </c>
      <c r="AO83" s="87">
        <v>0</v>
      </c>
      <c r="AP83" s="87">
        <f>IF($E83="BS",V83,SUM(K83:V83))</f>
        <v>0</v>
      </c>
      <c r="AQ83" s="87">
        <f>IF($E83="BS",AH83,SUM(W83:AH83))</f>
        <v>0</v>
      </c>
      <c r="AR83" s="87">
        <f>IF($E83="BS",AO83,SUM(AD83:AO83))</f>
        <v>102.5</v>
      </c>
    </row>
    <row r="84" spans="1:44" ht="11.25" customHeight="1" x14ac:dyDescent="0.2">
      <c r="A84" s="88" t="s">
        <v>400</v>
      </c>
      <c r="B84" s="104"/>
      <c r="E84" s="88" t="s">
        <v>376</v>
      </c>
      <c r="G84" s="88" t="s">
        <v>18</v>
      </c>
      <c r="H84" s="88" t="s">
        <v>24</v>
      </c>
      <c r="I84" s="88" t="s">
        <v>317</v>
      </c>
      <c r="J84" s="88" t="s">
        <v>318</v>
      </c>
      <c r="K84" s="87">
        <v>48.5</v>
      </c>
      <c r="L84" s="87">
        <v>48.5</v>
      </c>
      <c r="M84" s="87">
        <v>48.5</v>
      </c>
      <c r="N84" s="87">
        <v>48.5</v>
      </c>
      <c r="O84" s="87">
        <v>48.5</v>
      </c>
      <c r="P84" s="87">
        <v>48.5</v>
      </c>
      <c r="Q84" s="87">
        <v>48.5</v>
      </c>
      <c r="R84" s="87">
        <v>48.5</v>
      </c>
      <c r="S84" s="87">
        <v>48.5</v>
      </c>
      <c r="T84" s="87">
        <v>48.5</v>
      </c>
      <c r="U84" s="87">
        <v>48.5</v>
      </c>
      <c r="V84" s="87">
        <v>-103.5</v>
      </c>
      <c r="W84" s="87">
        <v>51.25</v>
      </c>
      <c r="X84" s="87">
        <v>51.25</v>
      </c>
      <c r="Y84" s="87">
        <v>51.25</v>
      </c>
      <c r="Z84" s="87">
        <v>51.25</v>
      </c>
      <c r="AA84" s="87">
        <v>51.25</v>
      </c>
      <c r="AB84" s="87">
        <v>51.25</v>
      </c>
      <c r="AC84" s="87">
        <v>51.25</v>
      </c>
      <c r="AD84" s="87">
        <v>51.25</v>
      </c>
      <c r="AE84" s="87">
        <v>51.25</v>
      </c>
      <c r="AF84" s="87">
        <v>-461.25</v>
      </c>
      <c r="AG84" s="87">
        <v>0</v>
      </c>
      <c r="AH84" s="87">
        <v>0</v>
      </c>
      <c r="AI84" s="87">
        <v>0</v>
      </c>
      <c r="AJ84" s="87">
        <v>0</v>
      </c>
      <c r="AK84" s="87">
        <v>51.25</v>
      </c>
      <c r="AL84" s="87">
        <v>51.25</v>
      </c>
      <c r="AM84" s="87">
        <v>51.25</v>
      </c>
      <c r="AN84" s="87">
        <v>51.25</v>
      </c>
      <c r="AO84" s="87">
        <v>51.25</v>
      </c>
      <c r="AP84" s="87">
        <f>IF($E84="BS",V84,SUM(K84:V84))</f>
        <v>430</v>
      </c>
      <c r="AQ84" s="87">
        <f>IF($E84="BS",AH84,SUM(W84:AH84))</f>
        <v>0</v>
      </c>
      <c r="AR84" s="87">
        <f>IF($E84="BS",AO84,SUM(AD84:AO84))</f>
        <v>-102.5</v>
      </c>
    </row>
    <row r="85" spans="1:44" ht="11.25" customHeight="1" x14ac:dyDescent="0.2">
      <c r="A85" s="88" t="s">
        <v>399</v>
      </c>
      <c r="B85" s="104"/>
      <c r="E85" s="88" t="s">
        <v>376</v>
      </c>
      <c r="G85" s="88" t="s">
        <v>18</v>
      </c>
      <c r="H85" s="88" t="s">
        <v>24</v>
      </c>
      <c r="I85" s="88" t="s">
        <v>317</v>
      </c>
      <c r="J85" s="88" t="s">
        <v>321</v>
      </c>
      <c r="K85" s="87">
        <v>33.33334</v>
      </c>
      <c r="L85" s="87">
        <v>33.33334</v>
      </c>
      <c r="M85" s="87">
        <v>20.83334000000001</v>
      </c>
      <c r="N85" s="87">
        <v>20.41667</v>
      </c>
      <c r="O85" s="87">
        <v>20</v>
      </c>
      <c r="P85" s="87">
        <v>20</v>
      </c>
      <c r="Q85" s="87">
        <v>20</v>
      </c>
      <c r="R85" s="87">
        <v>20</v>
      </c>
      <c r="S85" s="87">
        <v>20</v>
      </c>
      <c r="T85" s="87">
        <v>20</v>
      </c>
      <c r="U85" s="87">
        <v>20</v>
      </c>
      <c r="V85" s="87">
        <v>100.15435999999998</v>
      </c>
      <c r="W85" s="87">
        <v>20</v>
      </c>
      <c r="X85" s="87">
        <v>20</v>
      </c>
      <c r="Y85" s="87">
        <v>20</v>
      </c>
      <c r="Z85" s="87">
        <v>0</v>
      </c>
      <c r="AA85" s="87">
        <v>0</v>
      </c>
      <c r="AB85" s="87">
        <v>0</v>
      </c>
      <c r="AC85" s="87">
        <v>0</v>
      </c>
      <c r="AD85" s="87">
        <v>0</v>
      </c>
      <c r="AE85" s="87">
        <v>0</v>
      </c>
      <c r="AF85" s="87">
        <v>0</v>
      </c>
      <c r="AG85" s="87">
        <v>0</v>
      </c>
      <c r="AH85" s="87">
        <v>187.83981</v>
      </c>
      <c r="AI85" s="87">
        <v>0</v>
      </c>
      <c r="AJ85" s="87">
        <v>0</v>
      </c>
      <c r="AK85" s="87">
        <v>0</v>
      </c>
      <c r="AL85" s="87">
        <v>0</v>
      </c>
      <c r="AM85" s="87">
        <v>0</v>
      </c>
      <c r="AN85" s="87">
        <v>0</v>
      </c>
      <c r="AO85" s="87">
        <v>0</v>
      </c>
      <c r="AP85" s="87">
        <f>IF($E85="BS",V85,SUM(K85:V85))</f>
        <v>348.07105000000001</v>
      </c>
      <c r="AQ85" s="87">
        <f>IF($E85="BS",AH85,SUM(W85:AH85))</f>
        <v>247.83981</v>
      </c>
      <c r="AR85" s="87">
        <f>IF($E85="BS",AO85,SUM(AD85:AO85))</f>
        <v>187.83981</v>
      </c>
    </row>
    <row r="86" spans="1:44" ht="11.25" customHeight="1" x14ac:dyDescent="0.2">
      <c r="A86" s="88" t="s">
        <v>398</v>
      </c>
      <c r="B86" s="104"/>
      <c r="E86" s="88" t="s">
        <v>376</v>
      </c>
      <c r="G86" s="88" t="s">
        <v>18</v>
      </c>
      <c r="H86" s="88" t="s">
        <v>24</v>
      </c>
      <c r="I86" s="88" t="s">
        <v>317</v>
      </c>
      <c r="J86" s="88" t="s">
        <v>319</v>
      </c>
      <c r="K86" s="87">
        <v>198.51566</v>
      </c>
      <c r="L86" s="87">
        <v>198.81328999999999</v>
      </c>
      <c r="M86" s="87">
        <v>199.64065999999997</v>
      </c>
      <c r="N86" s="87">
        <v>192.73296999999997</v>
      </c>
      <c r="O86" s="87">
        <v>186.70474999999999</v>
      </c>
      <c r="P86" s="87">
        <v>184.9739800000001</v>
      </c>
      <c r="Q86" s="87">
        <v>186.67976000000002</v>
      </c>
      <c r="R86" s="87">
        <v>185.65937999999989</v>
      </c>
      <c r="S86" s="87">
        <v>184.97349</v>
      </c>
      <c r="T86" s="87">
        <v>187.11131000000006</v>
      </c>
      <c r="U86" s="87">
        <v>183.99910000000008</v>
      </c>
      <c r="V86" s="87">
        <v>182.03529000000003</v>
      </c>
      <c r="W86" s="87">
        <v>182.45102</v>
      </c>
      <c r="X86" s="87">
        <v>182.45102</v>
      </c>
      <c r="Y86" s="87">
        <v>182.45102000000009</v>
      </c>
      <c r="Z86" s="87">
        <v>0</v>
      </c>
      <c r="AA86" s="87">
        <v>0</v>
      </c>
      <c r="AB86" s="87">
        <v>0</v>
      </c>
      <c r="AC86" s="87">
        <v>0</v>
      </c>
      <c r="AD86" s="87">
        <v>0</v>
      </c>
      <c r="AE86" s="87">
        <v>0</v>
      </c>
      <c r="AF86" s="87">
        <v>0</v>
      </c>
      <c r="AG86" s="87">
        <v>0</v>
      </c>
      <c r="AH86" s="87">
        <v>0</v>
      </c>
      <c r="AI86" s="87">
        <v>0</v>
      </c>
      <c r="AJ86" s="87">
        <v>0</v>
      </c>
      <c r="AK86" s="87">
        <v>0</v>
      </c>
      <c r="AL86" s="87">
        <v>0</v>
      </c>
      <c r="AM86" s="87">
        <v>0</v>
      </c>
      <c r="AN86" s="87">
        <v>0</v>
      </c>
      <c r="AO86" s="87">
        <v>0</v>
      </c>
      <c r="AP86" s="87">
        <f>IF($E86="BS",V86,SUM(K86:V86))</f>
        <v>2271.8396400000001</v>
      </c>
      <c r="AQ86" s="87">
        <f>IF($E86="BS",AH86,SUM(W86:AH86))</f>
        <v>547.35306000000014</v>
      </c>
      <c r="AR86" s="87">
        <f>IF($E86="BS",AO86,SUM(AD86:AO86))</f>
        <v>0</v>
      </c>
    </row>
    <row r="87" spans="1:44" ht="11.25" customHeight="1" x14ac:dyDescent="0.2">
      <c r="A87" s="88" t="s">
        <v>397</v>
      </c>
      <c r="B87" s="104"/>
      <c r="E87" s="88" t="s">
        <v>376</v>
      </c>
      <c r="G87" s="88" t="s">
        <v>18</v>
      </c>
      <c r="H87" s="88" t="s">
        <v>23</v>
      </c>
      <c r="I87" s="88" t="s">
        <v>23</v>
      </c>
      <c r="J87" s="88" t="s">
        <v>291</v>
      </c>
      <c r="K87" s="87">
        <v>2.4500000000000002</v>
      </c>
      <c r="L87" s="87">
        <v>0</v>
      </c>
      <c r="M87" s="87">
        <v>0</v>
      </c>
      <c r="N87" s="87">
        <v>0</v>
      </c>
      <c r="O87" s="87">
        <v>2.5</v>
      </c>
      <c r="P87" s="87">
        <v>0</v>
      </c>
      <c r="Q87" s="87">
        <v>3.9</v>
      </c>
      <c r="R87" s="87">
        <v>2.0474999999999999</v>
      </c>
      <c r="S87" s="87">
        <v>3.5</v>
      </c>
      <c r="T87" s="87">
        <v>6.1</v>
      </c>
      <c r="U87" s="87">
        <v>7</v>
      </c>
      <c r="V87" s="87">
        <v>0</v>
      </c>
      <c r="W87" s="87">
        <v>4.55</v>
      </c>
      <c r="X87" s="87">
        <v>5.95</v>
      </c>
      <c r="Y87" s="87">
        <v>5.9</v>
      </c>
      <c r="Z87" s="87">
        <v>3</v>
      </c>
      <c r="AA87" s="87">
        <v>0</v>
      </c>
      <c r="AB87" s="87">
        <v>3.5</v>
      </c>
      <c r="AC87" s="87">
        <v>0</v>
      </c>
      <c r="AD87" s="87">
        <v>0</v>
      </c>
      <c r="AE87" s="87">
        <v>5.7050000000000001</v>
      </c>
      <c r="AF87" s="87">
        <v>4.55</v>
      </c>
      <c r="AG87" s="87">
        <v>4.875</v>
      </c>
      <c r="AH87" s="87">
        <v>0</v>
      </c>
      <c r="AI87" s="87">
        <v>0</v>
      </c>
      <c r="AJ87" s="87">
        <v>0</v>
      </c>
      <c r="AK87" s="87">
        <v>6.25</v>
      </c>
      <c r="AL87" s="87">
        <v>0</v>
      </c>
      <c r="AM87" s="87">
        <v>0</v>
      </c>
      <c r="AN87" s="87">
        <v>0.28499999999999998</v>
      </c>
      <c r="AO87" s="87">
        <v>0.38</v>
      </c>
      <c r="AP87" s="87">
        <f>IF($E87="BS",V87,SUM(K87:V87))</f>
        <v>27.497499999999999</v>
      </c>
      <c r="AQ87" s="87">
        <f>IF($E87="BS",AH87,SUM(W87:AH87))</f>
        <v>38.029999999999994</v>
      </c>
      <c r="AR87" s="87">
        <f>IF($E87="BS",AO87,SUM(AD87:AO87))</f>
        <v>22.044999999999998</v>
      </c>
    </row>
    <row r="88" spans="1:44" ht="11.25" customHeight="1" x14ac:dyDescent="0.2">
      <c r="A88" s="88" t="s">
        <v>396</v>
      </c>
      <c r="B88" s="104"/>
      <c r="E88" s="88" t="s">
        <v>376</v>
      </c>
      <c r="G88" s="88" t="s">
        <v>18</v>
      </c>
      <c r="H88" s="88" t="s">
        <v>23</v>
      </c>
      <c r="I88" s="88" t="s">
        <v>23</v>
      </c>
      <c r="J88" s="88" t="s">
        <v>286</v>
      </c>
      <c r="K88" s="87">
        <v>0</v>
      </c>
      <c r="L88" s="87">
        <v>1.4025000000000001</v>
      </c>
      <c r="M88" s="87">
        <v>0</v>
      </c>
      <c r="N88" s="87">
        <v>0.61875000000000002</v>
      </c>
      <c r="O88" s="87">
        <v>5.2275</v>
      </c>
      <c r="P88" s="87">
        <v>0.57750000000000001</v>
      </c>
      <c r="Q88" s="87">
        <v>0.61875000000000002</v>
      </c>
      <c r="R88" s="87">
        <v>1.2787500000000001</v>
      </c>
      <c r="S88" s="87">
        <v>0.57750000000000001</v>
      </c>
      <c r="T88" s="87">
        <v>1.6912499999999999</v>
      </c>
      <c r="U88" s="87">
        <v>1.3652500000000001</v>
      </c>
      <c r="V88" s="87">
        <v>0.70125000000000004</v>
      </c>
      <c r="W88" s="87">
        <v>0.16500000000000001</v>
      </c>
      <c r="X88" s="87">
        <v>0.495</v>
      </c>
      <c r="Y88" s="87">
        <v>0.66</v>
      </c>
      <c r="Z88" s="87">
        <v>1.11375</v>
      </c>
      <c r="AA88" s="87">
        <v>5.1112500000000001</v>
      </c>
      <c r="AB88" s="87">
        <v>-3.585</v>
      </c>
      <c r="AC88" s="87">
        <v>0.94874999999999998</v>
      </c>
      <c r="AD88" s="87">
        <v>0</v>
      </c>
      <c r="AE88" s="87">
        <v>0.66</v>
      </c>
      <c r="AF88" s="87">
        <v>0.16500000000000001</v>
      </c>
      <c r="AG88" s="87">
        <v>0.33</v>
      </c>
      <c r="AH88" s="87">
        <v>0.16500000000000001</v>
      </c>
      <c r="AI88" s="87">
        <v>2.0625</v>
      </c>
      <c r="AJ88" s="87">
        <v>0.16500000000000001</v>
      </c>
      <c r="AK88" s="87">
        <v>0.70125000000000004</v>
      </c>
      <c r="AL88" s="87">
        <v>0.495</v>
      </c>
      <c r="AM88" s="87">
        <v>0.70125000000000004</v>
      </c>
      <c r="AN88" s="87">
        <v>0</v>
      </c>
      <c r="AO88" s="87">
        <v>4.2450000000000001</v>
      </c>
      <c r="AP88" s="87">
        <f>IF($E88="BS",V88,SUM(K88:V88))</f>
        <v>14.059000000000001</v>
      </c>
      <c r="AQ88" s="87">
        <f>IF($E88="BS",AH88,SUM(W88:AH88))</f>
        <v>6.2287499999999998</v>
      </c>
      <c r="AR88" s="87">
        <f>IF($E88="BS",AO88,SUM(AD88:AO88))</f>
        <v>9.6900000000000013</v>
      </c>
    </row>
    <row r="89" spans="1:44" ht="11.25" customHeight="1" x14ac:dyDescent="0.2">
      <c r="A89" s="88" t="s">
        <v>395</v>
      </c>
      <c r="B89" s="104"/>
      <c r="E89" s="88" t="s">
        <v>376</v>
      </c>
      <c r="G89" s="88" t="s">
        <v>18</v>
      </c>
      <c r="H89" s="88" t="s">
        <v>23</v>
      </c>
      <c r="I89" s="88" t="s">
        <v>23</v>
      </c>
      <c r="J89" s="88" t="s">
        <v>288</v>
      </c>
      <c r="K89" s="87">
        <v>0</v>
      </c>
      <c r="L89" s="87">
        <v>0</v>
      </c>
      <c r="M89" s="87">
        <v>0</v>
      </c>
      <c r="N89" s="87">
        <v>0</v>
      </c>
      <c r="O89" s="87">
        <v>0</v>
      </c>
      <c r="P89" s="87">
        <v>0</v>
      </c>
      <c r="Q89" s="87">
        <v>0</v>
      </c>
      <c r="R89" s="87">
        <v>0</v>
      </c>
      <c r="S89" s="87">
        <v>0</v>
      </c>
      <c r="T89" s="87">
        <v>16.5</v>
      </c>
      <c r="U89" s="87">
        <v>0</v>
      </c>
      <c r="V89" s="87">
        <v>0</v>
      </c>
      <c r="W89" s="87">
        <v>6.5</v>
      </c>
      <c r="X89" s="87">
        <v>0</v>
      </c>
      <c r="Y89" s="87">
        <v>0</v>
      </c>
      <c r="Z89" s="87">
        <v>0</v>
      </c>
      <c r="AA89" s="87">
        <v>0</v>
      </c>
      <c r="AB89" s="87">
        <v>0</v>
      </c>
      <c r="AC89" s="87">
        <v>0</v>
      </c>
      <c r="AD89" s="87">
        <v>0</v>
      </c>
      <c r="AE89" s="87">
        <v>17.324999999999999</v>
      </c>
      <c r="AF89" s="87">
        <v>0</v>
      </c>
      <c r="AG89" s="87">
        <v>0</v>
      </c>
      <c r="AH89" s="87">
        <v>0</v>
      </c>
      <c r="AI89" s="87">
        <v>0</v>
      </c>
      <c r="AJ89" s="87">
        <v>0</v>
      </c>
      <c r="AK89" s="87">
        <v>0</v>
      </c>
      <c r="AL89" s="87">
        <v>0</v>
      </c>
      <c r="AM89" s="87">
        <v>0</v>
      </c>
      <c r="AN89" s="87">
        <v>0</v>
      </c>
      <c r="AO89" s="87">
        <v>0</v>
      </c>
      <c r="AP89" s="87">
        <f>IF($E89="BS",V89,SUM(K89:V89))</f>
        <v>16.5</v>
      </c>
      <c r="AQ89" s="87">
        <f>IF($E89="BS",AH89,SUM(W89:AH89))</f>
        <v>23.824999999999999</v>
      </c>
      <c r="AR89" s="87">
        <f>IF($E89="BS",AO89,SUM(AD89:AO89))</f>
        <v>17.324999999999999</v>
      </c>
    </row>
    <row r="90" spans="1:44" ht="11.25" customHeight="1" x14ac:dyDescent="0.2">
      <c r="A90" s="88" t="s">
        <v>394</v>
      </c>
      <c r="B90" s="104"/>
      <c r="E90" s="88" t="s">
        <v>376</v>
      </c>
      <c r="G90" s="88" t="s">
        <v>18</v>
      </c>
      <c r="H90" s="88" t="s">
        <v>23</v>
      </c>
      <c r="I90" s="88" t="s">
        <v>23</v>
      </c>
      <c r="J90" s="88" t="s">
        <v>298</v>
      </c>
      <c r="K90" s="87">
        <v>5.8713199999999999</v>
      </c>
      <c r="L90" s="87">
        <v>8.9455599999999986</v>
      </c>
      <c r="M90" s="87">
        <v>5.213020000000002</v>
      </c>
      <c r="N90" s="87">
        <v>5.1876800000000003</v>
      </c>
      <c r="O90" s="87">
        <v>5.3244299999999969</v>
      </c>
      <c r="P90" s="87">
        <v>9.7238800000000012</v>
      </c>
      <c r="Q90" s="87">
        <v>8.3244899999999973</v>
      </c>
      <c r="R90" s="87">
        <v>5.3256500000000013</v>
      </c>
      <c r="S90" s="87">
        <v>5.3252499999999996</v>
      </c>
      <c r="T90" s="87">
        <v>23.267619999999994</v>
      </c>
      <c r="U90" s="87">
        <v>75.512420000000006</v>
      </c>
      <c r="V90" s="87">
        <v>5.3563299999999874</v>
      </c>
      <c r="W90" s="87">
        <v>7.0417200000000006</v>
      </c>
      <c r="X90" s="87">
        <v>7.0623299999999993</v>
      </c>
      <c r="Y90" s="87">
        <v>6.9188600000000005</v>
      </c>
      <c r="Z90" s="87">
        <v>7.4842000000000004</v>
      </c>
      <c r="AA90" s="87">
        <v>6.6311100000000005</v>
      </c>
      <c r="AB90" s="87">
        <v>7.0305100000000023</v>
      </c>
      <c r="AC90" s="87">
        <v>7.7555499999999959</v>
      </c>
      <c r="AD90" s="87">
        <v>6.6315100000000022</v>
      </c>
      <c r="AE90" s="87">
        <v>6.6315</v>
      </c>
      <c r="AF90" s="87">
        <v>12.562109999999993</v>
      </c>
      <c r="AG90" s="87">
        <v>16.938410000000005</v>
      </c>
      <c r="AH90" s="87">
        <v>9.2336000000000062</v>
      </c>
      <c r="AI90" s="87">
        <v>7.2104499999999998</v>
      </c>
      <c r="AJ90" s="87">
        <v>7.0891999999999999</v>
      </c>
      <c r="AK90" s="87">
        <v>24.589199999999998</v>
      </c>
      <c r="AL90" s="87">
        <v>8.0892000000000035</v>
      </c>
      <c r="AM90" s="87">
        <v>8.0891999999999964</v>
      </c>
      <c r="AN90" s="87">
        <v>8.4941999999999975</v>
      </c>
      <c r="AO90" s="87">
        <v>8.8851999999999975</v>
      </c>
      <c r="AP90" s="87">
        <f>IF($E90="BS",V90,SUM(K90:V90))</f>
        <v>163.37764999999999</v>
      </c>
      <c r="AQ90" s="87">
        <f>IF($E90="BS",AH90,SUM(W90:AH90))</f>
        <v>101.92141000000001</v>
      </c>
      <c r="AR90" s="87">
        <f>IF($E90="BS",AO90,SUM(AD90:AO90))</f>
        <v>124.44378</v>
      </c>
    </row>
    <row r="91" spans="1:44" ht="11.25" customHeight="1" x14ac:dyDescent="0.2">
      <c r="A91" s="88" t="s">
        <v>393</v>
      </c>
      <c r="B91" s="104"/>
      <c r="E91" s="88" t="s">
        <v>376</v>
      </c>
      <c r="G91" s="88" t="s">
        <v>18</v>
      </c>
      <c r="H91" s="88" t="s">
        <v>23</v>
      </c>
      <c r="I91" s="88" t="s">
        <v>23</v>
      </c>
      <c r="J91" s="88" t="s">
        <v>283</v>
      </c>
      <c r="K91" s="87">
        <v>0</v>
      </c>
      <c r="L91" s="87">
        <v>0</v>
      </c>
      <c r="M91" s="87">
        <v>0</v>
      </c>
      <c r="N91" s="87">
        <v>0</v>
      </c>
      <c r="O91" s="87">
        <v>0</v>
      </c>
      <c r="P91" s="87">
        <v>0</v>
      </c>
      <c r="Q91" s="87">
        <v>0</v>
      </c>
      <c r="R91" s="87">
        <v>0</v>
      </c>
      <c r="S91" s="87">
        <v>0</v>
      </c>
      <c r="T91" s="87">
        <v>0</v>
      </c>
      <c r="U91" s="87">
        <v>0</v>
      </c>
      <c r="V91" s="87">
        <v>0</v>
      </c>
      <c r="W91" s="87">
        <v>0</v>
      </c>
      <c r="X91" s="87">
        <v>0</v>
      </c>
      <c r="Y91" s="87">
        <v>0</v>
      </c>
      <c r="Z91" s="87">
        <v>0</v>
      </c>
      <c r="AA91" s="87">
        <v>0</v>
      </c>
      <c r="AB91" s="87">
        <v>0</v>
      </c>
      <c r="AC91" s="87">
        <v>0</v>
      </c>
      <c r="AD91" s="87">
        <v>0</v>
      </c>
      <c r="AE91" s="87">
        <v>0</v>
      </c>
      <c r="AF91" s="87">
        <v>6.4660099999999998</v>
      </c>
      <c r="AG91" s="87">
        <v>0</v>
      </c>
      <c r="AH91" s="87">
        <v>-6.4660099999999998</v>
      </c>
      <c r="AI91" s="87">
        <v>0</v>
      </c>
      <c r="AJ91" s="87">
        <v>0</v>
      </c>
      <c r="AK91" s="87">
        <v>0</v>
      </c>
      <c r="AL91" s="87">
        <v>0</v>
      </c>
      <c r="AM91" s="87">
        <v>0</v>
      </c>
      <c r="AN91" s="87">
        <v>0</v>
      </c>
      <c r="AO91" s="87">
        <v>0</v>
      </c>
      <c r="AP91" s="87">
        <f>IF($E91="BS",V91,SUM(K91:V91))</f>
        <v>0</v>
      </c>
      <c r="AQ91" s="87">
        <f>IF($E91="BS",AH91,SUM(W91:AH91))</f>
        <v>0</v>
      </c>
      <c r="AR91" s="87">
        <f>IF($E91="BS",AO91,SUM(AD91:AO91))</f>
        <v>0</v>
      </c>
    </row>
    <row r="92" spans="1:44" ht="11.25" customHeight="1" x14ac:dyDescent="0.2">
      <c r="A92" s="88" t="s">
        <v>392</v>
      </c>
      <c r="B92" s="104"/>
      <c r="E92" s="88" t="s">
        <v>376</v>
      </c>
      <c r="G92" s="88" t="s">
        <v>18</v>
      </c>
      <c r="H92" s="88" t="s">
        <v>23</v>
      </c>
      <c r="I92" s="88" t="s">
        <v>23</v>
      </c>
      <c r="J92" s="88" t="s">
        <v>294</v>
      </c>
      <c r="K92" s="87">
        <v>1.7101</v>
      </c>
      <c r="L92" s="87">
        <v>2.04636</v>
      </c>
      <c r="M92" s="87">
        <v>1.8585900000000002</v>
      </c>
      <c r="N92" s="87">
        <v>2.9149499999999997</v>
      </c>
      <c r="O92" s="87">
        <v>6.3921100000000006</v>
      </c>
      <c r="P92" s="87">
        <v>0.90779999999999927</v>
      </c>
      <c r="Q92" s="87">
        <v>1.8747400000000016</v>
      </c>
      <c r="R92" s="87">
        <v>0.83209000000000011</v>
      </c>
      <c r="S92" s="87">
        <v>14.130329999999999</v>
      </c>
      <c r="T92" s="87">
        <v>1.4267300000000032</v>
      </c>
      <c r="U92" s="87">
        <v>1.4158099999999976</v>
      </c>
      <c r="V92" s="87">
        <v>0.89269000000000231</v>
      </c>
      <c r="W92" s="87">
        <v>3.5966799999999997</v>
      </c>
      <c r="X92" s="87">
        <v>2.6936700000000005</v>
      </c>
      <c r="Y92" s="87">
        <v>0.80380999999999947</v>
      </c>
      <c r="Z92" s="87">
        <v>2.4447000000000005</v>
      </c>
      <c r="AA92" s="87">
        <v>1.1107600000000002</v>
      </c>
      <c r="AB92" s="87">
        <v>25.214110000000002</v>
      </c>
      <c r="AC92" s="87">
        <v>1.7842499999999999</v>
      </c>
      <c r="AD92" s="87">
        <v>0.8118099999999977</v>
      </c>
      <c r="AE92" s="87">
        <v>11.40875</v>
      </c>
      <c r="AF92" s="87">
        <v>-2.6941200000000025</v>
      </c>
      <c r="AG92" s="87">
        <v>1.1659400000000024</v>
      </c>
      <c r="AH92" s="87">
        <v>1.1856699999999982</v>
      </c>
      <c r="AI92" s="87">
        <v>1.2295399999999999</v>
      </c>
      <c r="AJ92" s="87">
        <v>4.1979199999999999</v>
      </c>
      <c r="AK92" s="87">
        <v>1.1941899999999996</v>
      </c>
      <c r="AL92" s="87">
        <v>3.0818099999999995</v>
      </c>
      <c r="AM92" s="87">
        <v>21.430790000000002</v>
      </c>
      <c r="AN92" s="87">
        <v>2.5407500000000001</v>
      </c>
      <c r="AO92" s="87">
        <v>3.0334100000000035</v>
      </c>
      <c r="AP92" s="87">
        <f>IF($E92="BS",V92,SUM(K92:V92))</f>
        <v>36.402300000000011</v>
      </c>
      <c r="AQ92" s="87">
        <f>IF($E92="BS",AH92,SUM(W92:AH92))</f>
        <v>49.526029999999992</v>
      </c>
      <c r="AR92" s="87">
        <f>IF($E92="BS",AO92,SUM(AD92:AO92))</f>
        <v>48.586460000000002</v>
      </c>
    </row>
    <row r="93" spans="1:44" ht="11.25" customHeight="1" x14ac:dyDescent="0.2">
      <c r="A93" s="88" t="s">
        <v>391</v>
      </c>
      <c r="B93" s="104"/>
      <c r="E93" s="88" t="s">
        <v>376</v>
      </c>
      <c r="G93" s="88" t="s">
        <v>18</v>
      </c>
      <c r="H93" s="88" t="s">
        <v>23</v>
      </c>
      <c r="I93" s="88" t="s">
        <v>23</v>
      </c>
      <c r="J93" s="88" t="s">
        <v>300</v>
      </c>
      <c r="K93" s="87">
        <v>21.65</v>
      </c>
      <c r="L93" s="87">
        <v>42.54515</v>
      </c>
      <c r="M93" s="87">
        <v>47.564779999999992</v>
      </c>
      <c r="N93" s="87">
        <v>30.204999999999998</v>
      </c>
      <c r="O93" s="87">
        <v>31.050550000000019</v>
      </c>
      <c r="P93" s="87">
        <v>21.376699999999982</v>
      </c>
      <c r="Q93" s="87">
        <v>56.2</v>
      </c>
      <c r="R93" s="87">
        <v>28.847479999999983</v>
      </c>
      <c r="S93" s="87">
        <v>38.825000000000003</v>
      </c>
      <c r="T93" s="87">
        <v>21.97</v>
      </c>
      <c r="U93" s="87">
        <v>41.19</v>
      </c>
      <c r="V93" s="87">
        <v>67.209999999999994</v>
      </c>
      <c r="W93" s="87">
        <v>40.021709999999999</v>
      </c>
      <c r="X93" s="87">
        <v>25.575000000000006</v>
      </c>
      <c r="Y93" s="87">
        <v>35.469000000000001</v>
      </c>
      <c r="Z93" s="87">
        <v>50.280749999999983</v>
      </c>
      <c r="AA93" s="87">
        <v>50.794499999999999</v>
      </c>
      <c r="AB93" s="87">
        <v>38.765020000000021</v>
      </c>
      <c r="AC93" s="87">
        <v>48.920629999999974</v>
      </c>
      <c r="AD93" s="87">
        <v>60.012250000000002</v>
      </c>
      <c r="AE93" s="87">
        <v>16.399989999999992</v>
      </c>
      <c r="AF93" s="87">
        <v>14.663740000000049</v>
      </c>
      <c r="AG93" s="87">
        <v>27.397709999999964</v>
      </c>
      <c r="AH93" s="87">
        <v>23.577970000000029</v>
      </c>
      <c r="AI93" s="87">
        <v>57.35</v>
      </c>
      <c r="AJ93" s="87">
        <v>14.318910000000004</v>
      </c>
      <c r="AK93" s="87">
        <v>32.396619999999999</v>
      </c>
      <c r="AL93" s="87">
        <v>31.1</v>
      </c>
      <c r="AM93" s="87">
        <v>53.11</v>
      </c>
      <c r="AN93" s="87">
        <v>72.95</v>
      </c>
      <c r="AO93" s="87">
        <v>21.867750000000029</v>
      </c>
      <c r="AP93" s="87">
        <f>IF($E93="BS",V93,SUM(K93:V93))</f>
        <v>448.63465999999994</v>
      </c>
      <c r="AQ93" s="87">
        <f>IF($E93="BS",AH93,SUM(W93:AH93))</f>
        <v>431.87827000000004</v>
      </c>
      <c r="AR93" s="87">
        <f>IF($E93="BS",AO93,SUM(AD93:AO93))</f>
        <v>425.14494000000013</v>
      </c>
    </row>
    <row r="94" spans="1:44" ht="11.25" customHeight="1" x14ac:dyDescent="0.2">
      <c r="A94" s="88" t="s">
        <v>390</v>
      </c>
      <c r="B94" s="104"/>
      <c r="E94" s="88" t="s">
        <v>376</v>
      </c>
      <c r="G94" s="88" t="s">
        <v>18</v>
      </c>
      <c r="H94" s="88" t="s">
        <v>23</v>
      </c>
      <c r="I94" s="88" t="s">
        <v>23</v>
      </c>
      <c r="J94" s="88" t="s">
        <v>285</v>
      </c>
      <c r="K94" s="87">
        <v>0</v>
      </c>
      <c r="L94" s="87">
        <v>0</v>
      </c>
      <c r="M94" s="87">
        <v>0</v>
      </c>
      <c r="N94" s="87">
        <v>0</v>
      </c>
      <c r="O94" s="87">
        <v>0</v>
      </c>
      <c r="P94" s="87">
        <v>0</v>
      </c>
      <c r="Q94" s="87">
        <v>0</v>
      </c>
      <c r="R94" s="87">
        <v>0</v>
      </c>
      <c r="S94" s="87">
        <v>0</v>
      </c>
      <c r="T94" s="87">
        <v>0</v>
      </c>
      <c r="U94" s="87">
        <v>0</v>
      </c>
      <c r="V94" s="87">
        <v>0</v>
      </c>
      <c r="W94" s="87">
        <v>14.131500000000001</v>
      </c>
      <c r="X94" s="87">
        <v>0</v>
      </c>
      <c r="Y94" s="87">
        <v>0</v>
      </c>
      <c r="Z94" s="87">
        <v>12.480150000000002</v>
      </c>
      <c r="AA94" s="87">
        <v>0</v>
      </c>
      <c r="AB94" s="87">
        <v>0</v>
      </c>
      <c r="AC94" s="87">
        <v>20.25</v>
      </c>
      <c r="AD94" s="87">
        <v>0.12</v>
      </c>
      <c r="AE94" s="87">
        <v>0</v>
      </c>
      <c r="AF94" s="87">
        <v>5</v>
      </c>
      <c r="AG94" s="87">
        <v>0</v>
      </c>
      <c r="AH94" s="87">
        <v>0</v>
      </c>
      <c r="AI94" s="87">
        <v>0</v>
      </c>
      <c r="AJ94" s="87">
        <v>1.9192499999999999</v>
      </c>
      <c r="AK94" s="87">
        <v>0</v>
      </c>
      <c r="AL94" s="87">
        <v>0</v>
      </c>
      <c r="AM94" s="87">
        <v>0.53205999999999998</v>
      </c>
      <c r="AN94" s="87">
        <v>0</v>
      </c>
      <c r="AO94" s="87">
        <v>0</v>
      </c>
      <c r="AP94" s="87">
        <f>IF($E94="BS",V94,SUM(K94:V94))</f>
        <v>0</v>
      </c>
      <c r="AQ94" s="87">
        <f>IF($E94="BS",AH94,SUM(W94:AH94))</f>
        <v>51.981650000000002</v>
      </c>
      <c r="AR94" s="87">
        <f>IF($E94="BS",AO94,SUM(AD94:AO94))</f>
        <v>7.5713100000000004</v>
      </c>
    </row>
    <row r="95" spans="1:44" ht="11.25" customHeight="1" x14ac:dyDescent="0.2">
      <c r="A95" s="88" t="s">
        <v>389</v>
      </c>
      <c r="B95" s="104"/>
      <c r="E95" s="88" t="s">
        <v>376</v>
      </c>
      <c r="G95" s="88" t="s">
        <v>18</v>
      </c>
      <c r="H95" s="88" t="s">
        <v>23</v>
      </c>
      <c r="I95" s="88" t="s">
        <v>23</v>
      </c>
      <c r="J95" s="88" t="s">
        <v>292</v>
      </c>
      <c r="K95" s="87">
        <v>0</v>
      </c>
      <c r="L95" s="87">
        <v>0</v>
      </c>
      <c r="M95" s="87">
        <v>0</v>
      </c>
      <c r="N95" s="87">
        <v>2.6</v>
      </c>
      <c r="O95" s="87">
        <v>0</v>
      </c>
      <c r="P95" s="87">
        <v>6.3</v>
      </c>
      <c r="Q95" s="87">
        <v>0</v>
      </c>
      <c r="R95" s="87">
        <v>0</v>
      </c>
      <c r="S95" s="87">
        <v>0</v>
      </c>
      <c r="T95" s="87">
        <v>0</v>
      </c>
      <c r="U95" s="87">
        <v>0</v>
      </c>
      <c r="V95" s="87">
        <v>0</v>
      </c>
      <c r="W95" s="87">
        <v>0</v>
      </c>
      <c r="X95" s="87">
        <v>0</v>
      </c>
      <c r="Y95" s="87">
        <v>0</v>
      </c>
      <c r="Z95" s="87">
        <v>0</v>
      </c>
      <c r="AA95" s="87">
        <v>4.4000000000000004</v>
      </c>
      <c r="AB95" s="87">
        <v>0</v>
      </c>
      <c r="AC95" s="87">
        <v>2.2000000000000002</v>
      </c>
      <c r="AD95" s="87">
        <v>0</v>
      </c>
      <c r="AE95" s="87">
        <v>0</v>
      </c>
      <c r="AF95" s="87">
        <v>9.3694799999999994</v>
      </c>
      <c r="AG95" s="87">
        <v>0</v>
      </c>
      <c r="AH95" s="87">
        <v>1.75</v>
      </c>
      <c r="AI95" s="87">
        <v>0</v>
      </c>
      <c r="AJ95" s="87">
        <v>0</v>
      </c>
      <c r="AK95" s="87">
        <v>7.15</v>
      </c>
      <c r="AL95" s="87">
        <v>2.6496800000000005</v>
      </c>
      <c r="AM95" s="87">
        <v>6.15</v>
      </c>
      <c r="AN95" s="87">
        <v>0</v>
      </c>
      <c r="AO95" s="87">
        <v>0</v>
      </c>
      <c r="AP95" s="87">
        <f>IF($E95="BS",V95,SUM(K95:V95))</f>
        <v>8.9</v>
      </c>
      <c r="AQ95" s="87">
        <f>IF($E95="BS",AH95,SUM(W95:AH95))</f>
        <v>17.719480000000001</v>
      </c>
      <c r="AR95" s="87">
        <f>IF($E95="BS",AO95,SUM(AD95:AO95))</f>
        <v>27.069160000000004</v>
      </c>
    </row>
    <row r="96" spans="1:44" ht="11.25" customHeight="1" x14ac:dyDescent="0.2">
      <c r="A96" s="88" t="s">
        <v>388</v>
      </c>
      <c r="B96" s="104"/>
      <c r="E96" s="88" t="s">
        <v>376</v>
      </c>
      <c r="G96" s="88" t="s">
        <v>18</v>
      </c>
      <c r="H96" s="88" t="s">
        <v>23</v>
      </c>
      <c r="I96" s="88" t="s">
        <v>23</v>
      </c>
      <c r="J96" s="88" t="s">
        <v>293</v>
      </c>
      <c r="K96" s="87">
        <v>0</v>
      </c>
      <c r="L96" s="87">
        <v>0</v>
      </c>
      <c r="M96" s="87">
        <v>0</v>
      </c>
      <c r="N96" s="87">
        <v>0</v>
      </c>
      <c r="O96" s="87">
        <v>6.6319999999999997</v>
      </c>
      <c r="P96" s="87">
        <v>0</v>
      </c>
      <c r="Q96" s="87">
        <v>0</v>
      </c>
      <c r="R96" s="87">
        <v>0</v>
      </c>
      <c r="S96" s="87">
        <v>0</v>
      </c>
      <c r="T96" s="87">
        <v>0</v>
      </c>
      <c r="U96" s="87">
        <v>0.5</v>
      </c>
      <c r="V96" s="87">
        <v>1.1543400000000001</v>
      </c>
      <c r="W96" s="87">
        <v>0</v>
      </c>
      <c r="X96" s="87">
        <v>0</v>
      </c>
      <c r="Y96" s="87">
        <v>1.1000000000000001</v>
      </c>
      <c r="Z96" s="87">
        <v>1.9017500000000001</v>
      </c>
      <c r="AA96" s="87">
        <v>6.6563299999999996</v>
      </c>
      <c r="AB96" s="87">
        <v>0</v>
      </c>
      <c r="AC96" s="87">
        <v>2.601</v>
      </c>
      <c r="AD96" s="87">
        <v>0</v>
      </c>
      <c r="AE96" s="87">
        <v>0</v>
      </c>
      <c r="AF96" s="87">
        <v>0</v>
      </c>
      <c r="AG96" s="87">
        <v>0</v>
      </c>
      <c r="AH96" s="87">
        <v>-0.125</v>
      </c>
      <c r="AI96" s="87">
        <v>3.6549999999999998</v>
      </c>
      <c r="AJ96" s="87">
        <v>3.29792</v>
      </c>
      <c r="AK96" s="87">
        <v>1.5774999999999999</v>
      </c>
      <c r="AL96" s="87">
        <v>3.6183600000000005</v>
      </c>
      <c r="AM96" s="87">
        <v>0</v>
      </c>
      <c r="AN96" s="87">
        <v>23.896039999999999</v>
      </c>
      <c r="AO96" s="87">
        <v>0</v>
      </c>
      <c r="AP96" s="87">
        <f>IF($E96="BS",V96,SUM(K96:V96))</f>
        <v>8.2863399999999992</v>
      </c>
      <c r="AQ96" s="87">
        <f>IF($E96="BS",AH96,SUM(W96:AH96))</f>
        <v>12.134080000000001</v>
      </c>
      <c r="AR96" s="87">
        <f>IF($E96="BS",AO96,SUM(AD96:AO96))</f>
        <v>35.919820000000001</v>
      </c>
    </row>
    <row r="97" spans="1:44" ht="11.25" customHeight="1" x14ac:dyDescent="0.2">
      <c r="A97" s="88" t="s">
        <v>387</v>
      </c>
      <c r="B97" s="104"/>
      <c r="E97" s="88" t="s">
        <v>376</v>
      </c>
      <c r="G97" s="88" t="s">
        <v>18</v>
      </c>
      <c r="H97" s="88" t="s">
        <v>23</v>
      </c>
      <c r="I97" s="88" t="s">
        <v>23</v>
      </c>
      <c r="J97" s="88" t="s">
        <v>287</v>
      </c>
      <c r="K97" s="87">
        <v>22.58324</v>
      </c>
      <c r="L97" s="87">
        <v>22.871259999999999</v>
      </c>
      <c r="M97" s="87">
        <v>32.30489</v>
      </c>
      <c r="N97" s="87">
        <v>0.35</v>
      </c>
      <c r="O97" s="87">
        <v>39.000180000000007</v>
      </c>
      <c r="P97" s="87">
        <v>1.3706699999999983</v>
      </c>
      <c r="Q97" s="87">
        <v>1.3274899999999907</v>
      </c>
      <c r="R97" s="87">
        <v>0</v>
      </c>
      <c r="S97" s="87">
        <v>0.36</v>
      </c>
      <c r="T97" s="87">
        <v>0.21</v>
      </c>
      <c r="U97" s="87">
        <v>0</v>
      </c>
      <c r="V97" s="87">
        <v>0.3</v>
      </c>
      <c r="W97" s="87">
        <v>0</v>
      </c>
      <c r="X97" s="87">
        <v>0</v>
      </c>
      <c r="Y97" s="87">
        <v>0</v>
      </c>
      <c r="Z97" s="87">
        <v>1.89</v>
      </c>
      <c r="AA97" s="87">
        <v>0</v>
      </c>
      <c r="AB97" s="87">
        <v>0</v>
      </c>
      <c r="AC97" s="87">
        <v>0.6</v>
      </c>
      <c r="AD97" s="87">
        <v>7.5210000000000041E-2</v>
      </c>
      <c r="AE97" s="87">
        <v>6.9213399999999989</v>
      </c>
      <c r="AF97" s="87">
        <v>0</v>
      </c>
      <c r="AG97" s="87">
        <v>0</v>
      </c>
      <c r="AH97" s="87">
        <v>0.75</v>
      </c>
      <c r="AI97" s="87">
        <v>0.16240000000000002</v>
      </c>
      <c r="AJ97" s="87">
        <v>0.45124999999999998</v>
      </c>
      <c r="AK97" s="87">
        <v>0.47500000000000009</v>
      </c>
      <c r="AL97" s="87">
        <v>1.1636900000000001</v>
      </c>
      <c r="AM97" s="87">
        <v>0.36</v>
      </c>
      <c r="AN97" s="87">
        <v>0</v>
      </c>
      <c r="AO97" s="87">
        <v>0</v>
      </c>
      <c r="AP97" s="87">
        <f>IF($E97="BS",V97,SUM(K97:V97))</f>
        <v>120.67772999999998</v>
      </c>
      <c r="AQ97" s="87">
        <f>IF($E97="BS",AH97,SUM(W97:AH97))</f>
        <v>10.236549999999999</v>
      </c>
      <c r="AR97" s="87">
        <f>IF($E97="BS",AO97,SUM(AD97:AO97))</f>
        <v>10.358889999999999</v>
      </c>
    </row>
    <row r="98" spans="1:44" ht="11.25" customHeight="1" x14ac:dyDescent="0.2">
      <c r="A98" s="88" t="s">
        <v>386</v>
      </c>
      <c r="B98" s="104"/>
      <c r="E98" s="88" t="s">
        <v>376</v>
      </c>
      <c r="G98" s="88" t="s">
        <v>18</v>
      </c>
      <c r="H98" s="88" t="s">
        <v>23</v>
      </c>
      <c r="I98" s="88" t="s">
        <v>23</v>
      </c>
      <c r="J98" s="88" t="s">
        <v>299</v>
      </c>
      <c r="K98" s="87">
        <v>18.323</v>
      </c>
      <c r="L98" s="87">
        <v>7.819</v>
      </c>
      <c r="M98" s="87">
        <v>7.1239999999999997</v>
      </c>
      <c r="N98" s="87">
        <v>2.234</v>
      </c>
      <c r="O98" s="87">
        <v>13.465999999999999</v>
      </c>
      <c r="P98" s="87">
        <v>19.632999999999999</v>
      </c>
      <c r="Q98" s="87">
        <v>6.5549999999999997</v>
      </c>
      <c r="R98" s="87">
        <v>15.492000000000001</v>
      </c>
      <c r="S98" s="87">
        <v>8.8569999999999993</v>
      </c>
      <c r="T98" s="87">
        <v>5.663979999999996</v>
      </c>
      <c r="U98" s="87">
        <v>11.28</v>
      </c>
      <c r="V98" s="87">
        <v>17.613190000000017</v>
      </c>
      <c r="W98" s="87">
        <v>13.135590000000001</v>
      </c>
      <c r="X98" s="87">
        <v>6.7880000000000003</v>
      </c>
      <c r="Y98" s="87">
        <v>5.8669900000000013</v>
      </c>
      <c r="Z98" s="87">
        <v>16.138000000000002</v>
      </c>
      <c r="AA98" s="87">
        <v>21.352</v>
      </c>
      <c r="AB98" s="87">
        <v>6.6319999999999997</v>
      </c>
      <c r="AC98" s="87">
        <v>20.298940000000002</v>
      </c>
      <c r="AD98" s="87">
        <v>23.945649999999993</v>
      </c>
      <c r="AE98" s="87">
        <v>6.5119999999999996</v>
      </c>
      <c r="AF98" s="87">
        <v>7.7279999999999998</v>
      </c>
      <c r="AG98" s="87">
        <v>8.7352800000000137</v>
      </c>
      <c r="AH98" s="87">
        <v>10.495069999999977</v>
      </c>
      <c r="AI98" s="87">
        <v>11.786340000000001</v>
      </c>
      <c r="AJ98" s="87">
        <v>14.51066</v>
      </c>
      <c r="AK98" s="87">
        <v>28.675230000000003</v>
      </c>
      <c r="AL98" s="87">
        <v>2.19</v>
      </c>
      <c r="AM98" s="87">
        <v>7.7569199999999983</v>
      </c>
      <c r="AN98" s="87">
        <v>6.3589999999999929</v>
      </c>
      <c r="AO98" s="87">
        <v>10.452080000000002</v>
      </c>
      <c r="AP98" s="87">
        <f>IF($E98="BS",V98,SUM(K98:V98))</f>
        <v>134.06017000000003</v>
      </c>
      <c r="AQ98" s="87">
        <f>IF($E98="BS",AH98,SUM(W98:AH98))</f>
        <v>147.62752</v>
      </c>
      <c r="AR98" s="87">
        <f>IF($E98="BS",AO98,SUM(AD98:AO98))</f>
        <v>139.14622999999997</v>
      </c>
    </row>
    <row r="99" spans="1:44" ht="11.25" customHeight="1" x14ac:dyDescent="0.2">
      <c r="A99" s="88" t="s">
        <v>385</v>
      </c>
      <c r="B99" s="104"/>
      <c r="E99" s="88" t="s">
        <v>376</v>
      </c>
      <c r="G99" s="88" t="s">
        <v>18</v>
      </c>
      <c r="H99" s="88" t="s">
        <v>23</v>
      </c>
      <c r="I99" s="88" t="s">
        <v>23</v>
      </c>
      <c r="J99" s="88" t="s">
        <v>302</v>
      </c>
      <c r="K99" s="87">
        <v>34.185000000000002</v>
      </c>
      <c r="L99" s="87">
        <v>42.600999999999999</v>
      </c>
      <c r="M99" s="87">
        <v>19.39</v>
      </c>
      <c r="N99" s="87">
        <v>24.254429999999992</v>
      </c>
      <c r="O99" s="87">
        <v>42.405000000000001</v>
      </c>
      <c r="P99" s="87">
        <v>34.173000000000002</v>
      </c>
      <c r="Q99" s="87">
        <v>49.366200000000013</v>
      </c>
      <c r="R99" s="87">
        <v>127.21340999999997</v>
      </c>
      <c r="S99" s="87">
        <v>41.419050000000048</v>
      </c>
      <c r="T99" s="87">
        <v>50.183199999999957</v>
      </c>
      <c r="U99" s="87">
        <v>57.970460000000024</v>
      </c>
      <c r="V99" s="87">
        <v>54.219400000000022</v>
      </c>
      <c r="W99" s="87">
        <v>27.887</v>
      </c>
      <c r="X99" s="87">
        <v>22.911999999999999</v>
      </c>
      <c r="Y99" s="87">
        <v>42.32</v>
      </c>
      <c r="Z99" s="87">
        <v>34.277880000000003</v>
      </c>
      <c r="AA99" s="87">
        <v>47.258780000000002</v>
      </c>
      <c r="AB99" s="87">
        <v>34.441000000000003</v>
      </c>
      <c r="AC99" s="87">
        <v>57.393300000000018</v>
      </c>
      <c r="AD99" s="87">
        <v>49.662529999999968</v>
      </c>
      <c r="AE99" s="87">
        <v>58.386580000000016</v>
      </c>
      <c r="AF99" s="87">
        <v>62.072520000000019</v>
      </c>
      <c r="AG99" s="87">
        <v>15.228299999999988</v>
      </c>
      <c r="AH99" s="87">
        <v>47.566749999999999</v>
      </c>
      <c r="AI99" s="87">
        <v>50.168300000000002</v>
      </c>
      <c r="AJ99" s="87">
        <v>94.009999999999991</v>
      </c>
      <c r="AK99" s="87">
        <v>43.817250000000001</v>
      </c>
      <c r="AL99" s="87">
        <v>17.355</v>
      </c>
      <c r="AM99" s="87">
        <v>71.904309999999995</v>
      </c>
      <c r="AN99" s="87">
        <v>29.737450000000013</v>
      </c>
      <c r="AO99" s="87">
        <v>57.709799999999987</v>
      </c>
      <c r="AP99" s="87">
        <f>IF($E99="BS",V99,SUM(K99:V99))</f>
        <v>577.38015000000007</v>
      </c>
      <c r="AQ99" s="87">
        <f>IF($E99="BS",AH99,SUM(W99:AH99))</f>
        <v>499.40664000000004</v>
      </c>
      <c r="AR99" s="87">
        <f>IF($E99="BS",AO99,SUM(AD99:AO99))</f>
        <v>597.61878999999999</v>
      </c>
    </row>
    <row r="100" spans="1:44" ht="11.25" customHeight="1" x14ac:dyDescent="0.2">
      <c r="A100" s="88" t="s">
        <v>384</v>
      </c>
      <c r="B100" s="104"/>
      <c r="E100" s="88" t="s">
        <v>376</v>
      </c>
      <c r="G100" s="88" t="s">
        <v>18</v>
      </c>
      <c r="H100" s="88" t="s">
        <v>23</v>
      </c>
      <c r="I100" s="88" t="s">
        <v>23</v>
      </c>
      <c r="J100" s="88" t="s">
        <v>295</v>
      </c>
      <c r="K100" s="87">
        <v>11.52298</v>
      </c>
      <c r="L100" s="87">
        <v>4.6512800000000007</v>
      </c>
      <c r="M100" s="87">
        <v>8.9269999999999978</v>
      </c>
      <c r="N100" s="87">
        <v>1.1313800000000009</v>
      </c>
      <c r="O100" s="87">
        <v>8.4974499999999971</v>
      </c>
      <c r="P100" s="87">
        <v>16.102190000000004</v>
      </c>
      <c r="Q100" s="87">
        <v>5.1395800000000014</v>
      </c>
      <c r="R100" s="87">
        <v>11.313130000000005</v>
      </c>
      <c r="S100" s="87">
        <v>9.603049999999989</v>
      </c>
      <c r="T100" s="87">
        <v>7.6894900000000055</v>
      </c>
      <c r="U100" s="87">
        <v>8.7281199999999952</v>
      </c>
      <c r="V100" s="87">
        <v>15.815170000000013</v>
      </c>
      <c r="W100" s="87">
        <v>11.16189</v>
      </c>
      <c r="X100" s="87">
        <v>4.4097499999999998</v>
      </c>
      <c r="Y100" s="87">
        <v>7.8734900000000012</v>
      </c>
      <c r="Z100" s="87">
        <v>3.942539999999997</v>
      </c>
      <c r="AA100" s="87">
        <v>10.167380000000005</v>
      </c>
      <c r="AB100" s="87">
        <v>10.02764</v>
      </c>
      <c r="AC100" s="87">
        <v>7.330269999999997</v>
      </c>
      <c r="AD100" s="87">
        <v>6.5431900000000027</v>
      </c>
      <c r="AE100" s="87">
        <v>9.6053599999999939</v>
      </c>
      <c r="AF100" s="87">
        <v>4.9277400000000053</v>
      </c>
      <c r="AG100" s="87">
        <v>3.4478600000000004</v>
      </c>
      <c r="AH100" s="87">
        <v>10.22786</v>
      </c>
      <c r="AI100" s="87">
        <v>1.66943</v>
      </c>
      <c r="AJ100" s="87">
        <v>4.7273699999999996</v>
      </c>
      <c r="AK100" s="87">
        <v>18.261440000000004</v>
      </c>
      <c r="AL100" s="87">
        <v>2.3788699999999992</v>
      </c>
      <c r="AM100" s="87">
        <v>2.4814799999999995</v>
      </c>
      <c r="AN100" s="87">
        <v>2.3140299999999989</v>
      </c>
      <c r="AO100" s="87">
        <v>3.219890000000003</v>
      </c>
      <c r="AP100" s="87">
        <f>IF($E100="BS",V100,SUM(K100:V100))</f>
        <v>109.12081999999999</v>
      </c>
      <c r="AQ100" s="87">
        <f>IF($E100="BS",AH100,SUM(W100:AH100))</f>
        <v>89.664970000000011</v>
      </c>
      <c r="AR100" s="87">
        <f>IF($E100="BS",AO100,SUM(AD100:AO100))</f>
        <v>69.804520000000011</v>
      </c>
    </row>
    <row r="101" spans="1:44" ht="11.25" customHeight="1" x14ac:dyDescent="0.2">
      <c r="A101" s="88" t="s">
        <v>383</v>
      </c>
      <c r="B101" s="104"/>
      <c r="E101" s="88" t="s">
        <v>376</v>
      </c>
      <c r="G101" s="88" t="s">
        <v>18</v>
      </c>
      <c r="H101" s="88" t="s">
        <v>23</v>
      </c>
      <c r="I101" s="88" t="s">
        <v>23</v>
      </c>
      <c r="J101" s="88" t="s">
        <v>284</v>
      </c>
      <c r="K101" s="87">
        <v>0.6</v>
      </c>
      <c r="L101" s="87">
        <v>0</v>
      </c>
      <c r="M101" s="87">
        <v>0.35</v>
      </c>
      <c r="N101" s="87">
        <v>0.6</v>
      </c>
      <c r="O101" s="87">
        <v>0.55000000000000004</v>
      </c>
      <c r="P101" s="87">
        <v>0.15</v>
      </c>
      <c r="Q101" s="87">
        <v>0.8</v>
      </c>
      <c r="R101" s="87">
        <v>0</v>
      </c>
      <c r="S101" s="87">
        <v>0</v>
      </c>
      <c r="T101" s="87">
        <v>0</v>
      </c>
      <c r="U101" s="87">
        <v>0.67500000000000004</v>
      </c>
      <c r="V101" s="87">
        <v>0</v>
      </c>
      <c r="W101" s="87">
        <v>0</v>
      </c>
      <c r="X101" s="87">
        <v>0</v>
      </c>
      <c r="Y101" s="87">
        <v>0</v>
      </c>
      <c r="Z101" s="87">
        <v>0</v>
      </c>
      <c r="AA101" s="87">
        <v>0</v>
      </c>
      <c r="AB101" s="87">
        <v>0</v>
      </c>
      <c r="AC101" s="87">
        <v>0</v>
      </c>
      <c r="AD101" s="87">
        <v>0</v>
      </c>
      <c r="AE101" s="87">
        <v>0</v>
      </c>
      <c r="AF101" s="87">
        <v>0.55000000000000004</v>
      </c>
      <c r="AG101" s="87">
        <v>0</v>
      </c>
      <c r="AH101" s="87">
        <v>0</v>
      </c>
      <c r="AI101" s="87">
        <v>0</v>
      </c>
      <c r="AJ101" s="87">
        <v>0</v>
      </c>
      <c r="AK101" s="87">
        <v>0</v>
      </c>
      <c r="AL101" s="87">
        <v>0</v>
      </c>
      <c r="AM101" s="87">
        <v>0</v>
      </c>
      <c r="AN101" s="87">
        <v>0</v>
      </c>
      <c r="AO101" s="87">
        <v>0</v>
      </c>
      <c r="AP101" s="87">
        <f>IF($E101="BS",V101,SUM(K101:V101))</f>
        <v>3.7249999999999996</v>
      </c>
      <c r="AQ101" s="87">
        <f>IF($E101="BS",AH101,SUM(W101:AH101))</f>
        <v>0.55000000000000004</v>
      </c>
      <c r="AR101" s="87">
        <f>IF($E101="BS",AO101,SUM(AD101:AO101))</f>
        <v>0.55000000000000004</v>
      </c>
    </row>
    <row r="102" spans="1:44" ht="11.25" customHeight="1" x14ac:dyDescent="0.2">
      <c r="A102" s="88" t="s">
        <v>382</v>
      </c>
      <c r="B102" s="104"/>
      <c r="E102" s="88" t="s">
        <v>376</v>
      </c>
      <c r="G102" s="88" t="s">
        <v>18</v>
      </c>
      <c r="H102" s="88" t="s">
        <v>23</v>
      </c>
      <c r="I102" s="88" t="s">
        <v>23</v>
      </c>
      <c r="J102" s="88" t="s">
        <v>290</v>
      </c>
      <c r="K102" s="87">
        <v>0.5</v>
      </c>
      <c r="L102" s="87">
        <v>2.6532</v>
      </c>
      <c r="M102" s="87">
        <v>4.75</v>
      </c>
      <c r="N102" s="87">
        <v>2.9500000000000011</v>
      </c>
      <c r="O102" s="87">
        <v>0</v>
      </c>
      <c r="P102" s="87">
        <v>3.305369999999999</v>
      </c>
      <c r="Q102" s="87">
        <v>5.1167299999999996</v>
      </c>
      <c r="R102" s="87">
        <v>4.5</v>
      </c>
      <c r="S102" s="87">
        <v>0</v>
      </c>
      <c r="T102" s="87">
        <v>0.81186000000000058</v>
      </c>
      <c r="U102" s="87">
        <v>0.5</v>
      </c>
      <c r="V102" s="87">
        <v>0.9</v>
      </c>
      <c r="W102" s="87">
        <v>4.8493000000000004</v>
      </c>
      <c r="X102" s="87">
        <v>3.1015000000000001</v>
      </c>
      <c r="Y102" s="87">
        <v>2.2999999999999989</v>
      </c>
      <c r="Z102" s="87">
        <v>4.9770000000000003</v>
      </c>
      <c r="AA102" s="87">
        <v>0.5</v>
      </c>
      <c r="AB102" s="87">
        <v>2.9398500000000021</v>
      </c>
      <c r="AC102" s="87">
        <v>6</v>
      </c>
      <c r="AD102" s="87">
        <v>0</v>
      </c>
      <c r="AE102" s="87">
        <v>0</v>
      </c>
      <c r="AF102" s="87">
        <v>2.1749999999999998</v>
      </c>
      <c r="AG102" s="87">
        <v>0.501</v>
      </c>
      <c r="AH102" s="87">
        <v>1</v>
      </c>
      <c r="AI102" s="87">
        <v>2.5740799999999999</v>
      </c>
      <c r="AJ102" s="87">
        <v>2.4</v>
      </c>
      <c r="AK102" s="87">
        <v>1.9192499999999999</v>
      </c>
      <c r="AL102" s="87">
        <v>5.298999999999978E-2</v>
      </c>
      <c r="AM102" s="87">
        <v>0</v>
      </c>
      <c r="AN102" s="87">
        <v>0</v>
      </c>
      <c r="AO102" s="87">
        <v>9.75</v>
      </c>
      <c r="AP102" s="87">
        <f>IF($E102="BS",V102,SUM(K102:V102))</f>
        <v>25.987159999999999</v>
      </c>
      <c r="AQ102" s="87">
        <f>IF($E102="BS",AH102,SUM(W102:AH102))</f>
        <v>28.343650000000004</v>
      </c>
      <c r="AR102" s="87">
        <f>IF($E102="BS",AO102,SUM(AD102:AO102))</f>
        <v>20.372319999999998</v>
      </c>
    </row>
    <row r="103" spans="1:44" ht="11.25" customHeight="1" x14ac:dyDescent="0.2">
      <c r="A103" s="88" t="s">
        <v>381</v>
      </c>
      <c r="B103" s="104"/>
      <c r="E103" s="88" t="s">
        <v>376</v>
      </c>
      <c r="G103" s="88" t="s">
        <v>18</v>
      </c>
      <c r="H103" s="88" t="s">
        <v>23</v>
      </c>
      <c r="I103" s="88" t="s">
        <v>23</v>
      </c>
      <c r="J103" s="88" t="s">
        <v>289</v>
      </c>
      <c r="K103" s="87">
        <v>0</v>
      </c>
      <c r="L103" s="87">
        <v>0</v>
      </c>
      <c r="M103" s="87">
        <v>5.85</v>
      </c>
      <c r="N103" s="87">
        <v>0</v>
      </c>
      <c r="O103" s="87">
        <v>4.7123999999999997</v>
      </c>
      <c r="P103" s="87">
        <v>0.51260000000000039</v>
      </c>
      <c r="Q103" s="87">
        <v>0</v>
      </c>
      <c r="R103" s="87">
        <v>9.9</v>
      </c>
      <c r="S103" s="87">
        <v>2.2000000000000002</v>
      </c>
      <c r="T103" s="87">
        <v>1.1374000000000015</v>
      </c>
      <c r="U103" s="87">
        <v>0</v>
      </c>
      <c r="V103" s="87">
        <v>0</v>
      </c>
      <c r="W103" s="87">
        <v>2.5299999999999998</v>
      </c>
      <c r="X103" s="87">
        <v>0.88</v>
      </c>
      <c r="Y103" s="87">
        <v>0</v>
      </c>
      <c r="Z103" s="87">
        <v>0</v>
      </c>
      <c r="AA103" s="87">
        <v>0</v>
      </c>
      <c r="AB103" s="87">
        <v>0</v>
      </c>
      <c r="AC103" s="87">
        <v>2.75</v>
      </c>
      <c r="AD103" s="87">
        <v>3.74</v>
      </c>
      <c r="AE103" s="87">
        <v>4.95</v>
      </c>
      <c r="AF103" s="87">
        <v>0</v>
      </c>
      <c r="AG103" s="87">
        <v>0</v>
      </c>
      <c r="AH103" s="87">
        <v>0</v>
      </c>
      <c r="AI103" s="87">
        <v>0.88</v>
      </c>
      <c r="AJ103" s="87">
        <v>1.6654</v>
      </c>
      <c r="AK103" s="87">
        <v>2.0899999999999994</v>
      </c>
      <c r="AL103" s="87">
        <v>0</v>
      </c>
      <c r="AM103" s="87">
        <v>0</v>
      </c>
      <c r="AN103" s="87">
        <v>0</v>
      </c>
      <c r="AO103" s="87">
        <v>4.62</v>
      </c>
      <c r="AP103" s="87">
        <f>IF($E103="BS",V103,SUM(K103:V103))</f>
        <v>24.312400000000004</v>
      </c>
      <c r="AQ103" s="87">
        <f>IF($E103="BS",AH103,SUM(W103:AH103))</f>
        <v>14.850000000000001</v>
      </c>
      <c r="AR103" s="87">
        <f>IF($E103="BS",AO103,SUM(AD103:AO103))</f>
        <v>17.945400000000003</v>
      </c>
    </row>
    <row r="104" spans="1:44" ht="11.25" customHeight="1" x14ac:dyDescent="0.2">
      <c r="A104" s="88" t="s">
        <v>380</v>
      </c>
      <c r="B104" s="104"/>
      <c r="E104" s="88" t="s">
        <v>376</v>
      </c>
      <c r="G104" s="88" t="s">
        <v>18</v>
      </c>
      <c r="H104" s="88" t="s">
        <v>23</v>
      </c>
      <c r="I104" s="88" t="s">
        <v>23</v>
      </c>
      <c r="J104" s="88" t="s">
        <v>301</v>
      </c>
      <c r="K104" s="87">
        <v>10.488</v>
      </c>
      <c r="L104" s="87">
        <v>45.953600000000002</v>
      </c>
      <c r="M104" s="87">
        <v>63.245000000000005</v>
      </c>
      <c r="N104" s="87">
        <v>45.722000000000001</v>
      </c>
      <c r="O104" s="87">
        <v>4.4470000000000001</v>
      </c>
      <c r="P104" s="87">
        <v>52.613</v>
      </c>
      <c r="Q104" s="87">
        <v>111.92399999999996</v>
      </c>
      <c r="R104" s="87">
        <v>56.072100000000034</v>
      </c>
      <c r="S104" s="87">
        <v>6.7610000000000001</v>
      </c>
      <c r="T104" s="87">
        <v>24.05</v>
      </c>
      <c r="U104" s="87">
        <v>112.36489999999996</v>
      </c>
      <c r="V104" s="87">
        <v>130.01219000000006</v>
      </c>
      <c r="W104" s="87">
        <v>24.436859999999999</v>
      </c>
      <c r="X104" s="87">
        <v>19.755749999999999</v>
      </c>
      <c r="Y104" s="87">
        <v>53.227229999999999</v>
      </c>
      <c r="Z104" s="87">
        <v>0</v>
      </c>
      <c r="AA104" s="87">
        <v>18.969000000000001</v>
      </c>
      <c r="AB104" s="87">
        <v>15.831</v>
      </c>
      <c r="AC104" s="87">
        <v>23.693999999999999</v>
      </c>
      <c r="AD104" s="87">
        <v>24.085999999999999</v>
      </c>
      <c r="AE104" s="87">
        <v>52.422470000000004</v>
      </c>
      <c r="AF104" s="87">
        <v>127.50004999999999</v>
      </c>
      <c r="AG104" s="87">
        <v>15.417999999999999</v>
      </c>
      <c r="AH104" s="87">
        <v>85.437450000000013</v>
      </c>
      <c r="AI104" s="87">
        <v>46.46725</v>
      </c>
      <c r="AJ104" s="87">
        <v>12.35</v>
      </c>
      <c r="AK104" s="87">
        <v>83.787000000000006</v>
      </c>
      <c r="AL104" s="87">
        <v>36.8125</v>
      </c>
      <c r="AM104" s="87">
        <v>31.8995</v>
      </c>
      <c r="AN104" s="87">
        <v>11.847</v>
      </c>
      <c r="AO104" s="87">
        <v>50.287500000000001</v>
      </c>
      <c r="AP104" s="87">
        <f>IF($E104="BS",V104,SUM(K104:V104))</f>
        <v>663.65278999999998</v>
      </c>
      <c r="AQ104" s="87">
        <f>IF($E104="BS",AH104,SUM(W104:AH104))</f>
        <v>460.77780999999993</v>
      </c>
      <c r="AR104" s="87">
        <f>IF($E104="BS",AO104,SUM(AD104:AO104))</f>
        <v>578.31471999999997</v>
      </c>
    </row>
    <row r="105" spans="1:44" ht="11.25" customHeight="1" x14ac:dyDescent="0.2">
      <c r="A105" s="88" t="s">
        <v>379</v>
      </c>
      <c r="B105" s="104"/>
      <c r="E105" s="88" t="s">
        <v>376</v>
      </c>
      <c r="G105" s="88" t="s">
        <v>18</v>
      </c>
      <c r="H105" s="88" t="s">
        <v>23</v>
      </c>
      <c r="I105" s="88" t="s">
        <v>23</v>
      </c>
      <c r="J105" s="88" t="s">
        <v>297</v>
      </c>
      <c r="K105" s="87">
        <v>2.4</v>
      </c>
      <c r="L105" s="87">
        <v>12.058999999999999</v>
      </c>
      <c r="M105" s="87">
        <v>11.569849999999999</v>
      </c>
      <c r="N105" s="87">
        <v>2.25</v>
      </c>
      <c r="O105" s="87">
        <v>1.25</v>
      </c>
      <c r="P105" s="87">
        <v>5.9749999999999996</v>
      </c>
      <c r="Q105" s="87">
        <v>10.74</v>
      </c>
      <c r="R105" s="87">
        <v>10.883599999999998</v>
      </c>
      <c r="S105" s="87">
        <v>14.035</v>
      </c>
      <c r="T105" s="87">
        <v>1.8114400000000024</v>
      </c>
      <c r="U105" s="87">
        <v>10.318869999999995</v>
      </c>
      <c r="V105" s="87">
        <v>13.614000000000001</v>
      </c>
      <c r="W105" s="87">
        <v>4.4450000000000003</v>
      </c>
      <c r="X105" s="87">
        <v>9.9824999999999999</v>
      </c>
      <c r="Y105" s="87">
        <v>4.8955000000000002</v>
      </c>
      <c r="Z105" s="87">
        <v>0</v>
      </c>
      <c r="AA105" s="87">
        <v>0</v>
      </c>
      <c r="AB105" s="87">
        <v>8.5737500000000004</v>
      </c>
      <c r="AC105" s="87">
        <v>13.987</v>
      </c>
      <c r="AD105" s="87">
        <v>23.3705</v>
      </c>
      <c r="AE105" s="87">
        <v>2.8519999999999999</v>
      </c>
      <c r="AF105" s="87">
        <v>19.114999999999998</v>
      </c>
      <c r="AG105" s="87">
        <v>14.835850000000006</v>
      </c>
      <c r="AH105" s="87">
        <v>8.3836799999999929</v>
      </c>
      <c r="AI105" s="87">
        <v>2.4</v>
      </c>
      <c r="AJ105" s="87">
        <v>1.9</v>
      </c>
      <c r="AK105" s="87">
        <v>6.375</v>
      </c>
      <c r="AL105" s="87">
        <v>2.2475000000000001</v>
      </c>
      <c r="AM105" s="87">
        <v>0</v>
      </c>
      <c r="AN105" s="87">
        <v>15.004</v>
      </c>
      <c r="AO105" s="87">
        <v>9.64</v>
      </c>
      <c r="AP105" s="87">
        <f>IF($E105="BS",V105,SUM(K105:V105))</f>
        <v>96.906759999999991</v>
      </c>
      <c r="AQ105" s="87">
        <f>IF($E105="BS",AH105,SUM(W105:AH105))</f>
        <v>110.44078</v>
      </c>
      <c r="AR105" s="87">
        <f>IF($E105="BS",AO105,SUM(AD105:AO105))</f>
        <v>106.12353000000002</v>
      </c>
    </row>
    <row r="106" spans="1:44" ht="11.25" customHeight="1" x14ac:dyDescent="0.2">
      <c r="A106" s="88" t="s">
        <v>378</v>
      </c>
      <c r="B106" s="104"/>
      <c r="E106" s="88" t="s">
        <v>376</v>
      </c>
      <c r="G106" s="88" t="s">
        <v>18</v>
      </c>
      <c r="H106" s="88" t="s">
        <v>23</v>
      </c>
      <c r="I106" s="88" t="s">
        <v>23</v>
      </c>
      <c r="J106" s="88" t="s">
        <v>296</v>
      </c>
      <c r="K106" s="87">
        <v>5.15</v>
      </c>
      <c r="L106" s="87">
        <v>0</v>
      </c>
      <c r="M106" s="87">
        <v>16.774999999999999</v>
      </c>
      <c r="N106" s="87">
        <v>4.25</v>
      </c>
      <c r="O106" s="87">
        <v>5.25</v>
      </c>
      <c r="P106" s="87">
        <v>6.0750000000000002</v>
      </c>
      <c r="Q106" s="87">
        <v>8.3000000000000007</v>
      </c>
      <c r="R106" s="87">
        <v>13.425000000000001</v>
      </c>
      <c r="S106" s="87">
        <v>2.4</v>
      </c>
      <c r="T106" s="87">
        <v>2.6749999999999998</v>
      </c>
      <c r="U106" s="87">
        <v>8.625</v>
      </c>
      <c r="V106" s="87">
        <v>11.875</v>
      </c>
      <c r="W106" s="87">
        <v>4.375</v>
      </c>
      <c r="X106" s="87">
        <v>10.44</v>
      </c>
      <c r="Y106" s="87">
        <v>5.375</v>
      </c>
      <c r="Z106" s="87">
        <v>8.5250000000000004</v>
      </c>
      <c r="AA106" s="87">
        <v>6.625</v>
      </c>
      <c r="AB106" s="87">
        <v>2.65</v>
      </c>
      <c r="AC106" s="87">
        <v>7.4749999999999996</v>
      </c>
      <c r="AD106" s="87">
        <v>14.08</v>
      </c>
      <c r="AE106" s="87">
        <v>2.9249999999999998</v>
      </c>
      <c r="AF106" s="87">
        <v>10.935</v>
      </c>
      <c r="AG106" s="87">
        <v>5.5750000000000002</v>
      </c>
      <c r="AH106" s="87">
        <v>-4.2249999999999996</v>
      </c>
      <c r="AI106" s="87">
        <v>12.25</v>
      </c>
      <c r="AJ106" s="87">
        <v>15.72</v>
      </c>
      <c r="AK106" s="87">
        <v>6.875</v>
      </c>
      <c r="AL106" s="87">
        <v>3.9</v>
      </c>
      <c r="AM106" s="87">
        <v>3.0249999999999999</v>
      </c>
      <c r="AN106" s="87">
        <v>11.3</v>
      </c>
      <c r="AO106" s="87">
        <v>7.665</v>
      </c>
      <c r="AP106" s="87">
        <f>IF($E106="BS",V106,SUM(K106:V106))</f>
        <v>84.8</v>
      </c>
      <c r="AQ106" s="87">
        <f>IF($E106="BS",AH106,SUM(W106:AH106))</f>
        <v>74.754999999999995</v>
      </c>
      <c r="AR106" s="87">
        <f>IF($E106="BS",AO106,SUM(AD106:AO106))</f>
        <v>90.025000000000006</v>
      </c>
    </row>
    <row r="107" spans="1:44" ht="11.25" customHeight="1" x14ac:dyDescent="0.2">
      <c r="A107" s="88" t="s">
        <v>262</v>
      </c>
      <c r="B107" s="104"/>
      <c r="E107" s="88" t="s">
        <v>376</v>
      </c>
      <c r="G107" s="88" t="s">
        <v>18</v>
      </c>
      <c r="H107" s="88" t="s">
        <v>20</v>
      </c>
      <c r="I107" s="88" t="s">
        <v>20</v>
      </c>
      <c r="J107" s="88" t="s">
        <v>262</v>
      </c>
      <c r="K107" s="87">
        <v>3.3713899999999999</v>
      </c>
      <c r="L107" s="87">
        <v>0.70459999999999989</v>
      </c>
      <c r="M107" s="87">
        <v>5.0204500000000003</v>
      </c>
      <c r="N107" s="87">
        <v>0</v>
      </c>
      <c r="O107" s="87">
        <v>0</v>
      </c>
      <c r="P107" s="87">
        <v>0</v>
      </c>
      <c r="Q107" s="87">
        <v>0</v>
      </c>
      <c r="R107" s="87">
        <v>0</v>
      </c>
      <c r="S107" s="87">
        <v>0</v>
      </c>
      <c r="T107" s="87">
        <v>0.10793999999999869</v>
      </c>
      <c r="U107" s="87">
        <v>0</v>
      </c>
      <c r="V107" s="87">
        <v>0</v>
      </c>
      <c r="W107" s="87">
        <v>2.74396</v>
      </c>
      <c r="X107" s="87">
        <v>3.22105</v>
      </c>
      <c r="Y107" s="87">
        <v>0</v>
      </c>
      <c r="Z107" s="87">
        <v>0</v>
      </c>
      <c r="AA107" s="87">
        <v>0</v>
      </c>
      <c r="AB107" s="87">
        <v>4.7609999999999673E-2</v>
      </c>
      <c r="AC107" s="87">
        <v>0</v>
      </c>
      <c r="AD107" s="87">
        <v>0</v>
      </c>
      <c r="AE107" s="87">
        <v>0</v>
      </c>
      <c r="AF107" s="87">
        <v>0</v>
      </c>
      <c r="AG107" s="87">
        <v>0</v>
      </c>
      <c r="AH107" s="87">
        <v>0</v>
      </c>
      <c r="AI107" s="87">
        <v>0</v>
      </c>
      <c r="AJ107" s="87">
        <v>0.56210000000000004</v>
      </c>
      <c r="AK107" s="87">
        <v>4.9635299999999996</v>
      </c>
      <c r="AL107" s="87">
        <v>0</v>
      </c>
      <c r="AM107" s="87">
        <v>0</v>
      </c>
      <c r="AN107" s="87">
        <v>0</v>
      </c>
      <c r="AO107" s="87">
        <v>0</v>
      </c>
      <c r="AP107" s="87">
        <f>IF($E107="BS",V107,SUM(K107:V107))</f>
        <v>9.2043800000000005</v>
      </c>
      <c r="AQ107" s="87">
        <f>IF($E107="BS",AH107,SUM(W107:AH107))</f>
        <v>6.0126199999999992</v>
      </c>
      <c r="AR107" s="87">
        <f>IF($E107="BS",AO107,SUM(AD107:AO107))</f>
        <v>5.5256299999999996</v>
      </c>
    </row>
    <row r="108" spans="1:44" ht="11.25" customHeight="1" x14ac:dyDescent="0.2">
      <c r="A108" s="88" t="s">
        <v>264</v>
      </c>
      <c r="B108" s="104"/>
      <c r="E108" s="88" t="s">
        <v>376</v>
      </c>
      <c r="G108" s="88" t="s">
        <v>18</v>
      </c>
      <c r="H108" s="88" t="s">
        <v>20</v>
      </c>
      <c r="I108" s="88" t="s">
        <v>20</v>
      </c>
      <c r="J108" s="88" t="s">
        <v>264</v>
      </c>
      <c r="K108" s="87">
        <v>1.2544500000000001</v>
      </c>
      <c r="L108" s="87">
        <v>1.0009599999999998</v>
      </c>
      <c r="M108" s="87">
        <v>1.5858900000000002</v>
      </c>
      <c r="N108" s="87">
        <v>1.2994899999999998</v>
      </c>
      <c r="O108" s="87">
        <v>0.99948999999999977</v>
      </c>
      <c r="P108" s="87">
        <v>1.3496400000000004</v>
      </c>
      <c r="Q108" s="87">
        <v>0.94988999999999946</v>
      </c>
      <c r="R108" s="87">
        <v>1.3359300000000003</v>
      </c>
      <c r="S108" s="87">
        <v>1.3041200000000008</v>
      </c>
      <c r="T108" s="87">
        <v>1.6999099999999998</v>
      </c>
      <c r="U108" s="87">
        <v>0.94990999999999981</v>
      </c>
      <c r="V108" s="87">
        <v>1.0222500000000001</v>
      </c>
      <c r="W108" s="87">
        <v>1.0387599999999999</v>
      </c>
      <c r="X108" s="87">
        <v>1.0966299999999998</v>
      </c>
      <c r="Y108" s="87">
        <v>0.40942000000000006</v>
      </c>
      <c r="Z108" s="87">
        <v>1.5122100000000001</v>
      </c>
      <c r="AA108" s="87">
        <v>0.60951999999999995</v>
      </c>
      <c r="AB108" s="87">
        <v>1.2079499999999999</v>
      </c>
      <c r="AC108" s="87">
        <v>1.2963900000000004</v>
      </c>
      <c r="AD108" s="87">
        <v>1.7918299999999989</v>
      </c>
      <c r="AE108" s="87">
        <v>0.65188000000000101</v>
      </c>
      <c r="AF108" s="87">
        <v>1.3483099999999995</v>
      </c>
      <c r="AG108" s="87">
        <v>0.74654000000000087</v>
      </c>
      <c r="AH108" s="87">
        <v>0.74554999999999927</v>
      </c>
      <c r="AI108" s="87">
        <v>0.67398999999999998</v>
      </c>
      <c r="AJ108" s="87">
        <v>1.1021400000000001</v>
      </c>
      <c r="AK108" s="87">
        <v>0.84540000000000004</v>
      </c>
      <c r="AL108" s="87">
        <v>1.2953999999999997</v>
      </c>
      <c r="AM108" s="87">
        <v>0.59540000000000004</v>
      </c>
      <c r="AN108" s="87">
        <v>0.89539999999999964</v>
      </c>
      <c r="AO108" s="87">
        <v>0.89540000000000053</v>
      </c>
      <c r="AP108" s="87">
        <f>IF($E108="BS",V108,SUM(K108:V108))</f>
        <v>14.751929999999998</v>
      </c>
      <c r="AQ108" s="87">
        <f>IF($E108="BS",AH108,SUM(W108:AH108))</f>
        <v>12.45499</v>
      </c>
      <c r="AR108" s="87">
        <f>IF($E108="BS",AO108,SUM(AD108:AO108))</f>
        <v>11.58724</v>
      </c>
    </row>
    <row r="109" spans="1:44" ht="11.25" customHeight="1" x14ac:dyDescent="0.2">
      <c r="A109" s="88" t="s">
        <v>249</v>
      </c>
      <c r="B109" s="104"/>
      <c r="E109" s="88" t="s">
        <v>376</v>
      </c>
      <c r="G109" s="88" t="s">
        <v>18</v>
      </c>
      <c r="H109" s="88" t="s">
        <v>19</v>
      </c>
      <c r="I109" s="88" t="s">
        <v>19</v>
      </c>
      <c r="J109" s="88" t="s">
        <v>249</v>
      </c>
      <c r="K109" s="87">
        <v>-0.15536000000000003</v>
      </c>
      <c r="L109" s="87">
        <v>0.12235000000000003</v>
      </c>
      <c r="M109" s="87">
        <v>1.6294200000000001</v>
      </c>
      <c r="N109" s="87">
        <v>0</v>
      </c>
      <c r="O109" s="87">
        <v>0.23817999999999984</v>
      </c>
      <c r="P109" s="87">
        <v>0.19016000000000008</v>
      </c>
      <c r="Q109" s="87">
        <v>-0.24021000000000003</v>
      </c>
      <c r="R109" s="87">
        <v>-2.730000000000018E-3</v>
      </c>
      <c r="S109" s="87">
        <v>0.16400000000000001</v>
      </c>
      <c r="T109" s="87">
        <v>3.660000000000082E-3</v>
      </c>
      <c r="U109" s="87">
        <v>2.5000000000000001E-2</v>
      </c>
      <c r="V109" s="87">
        <v>0.84264000000000006</v>
      </c>
      <c r="W109" s="87">
        <v>1.8547199999999999</v>
      </c>
      <c r="X109" s="87">
        <v>2.0361400000000001</v>
      </c>
      <c r="Y109" s="87">
        <v>0</v>
      </c>
      <c r="Z109" s="87">
        <v>3.1599999999999906E-2</v>
      </c>
      <c r="AA109" s="87">
        <v>0</v>
      </c>
      <c r="AB109" s="87">
        <v>0.13811000000000012</v>
      </c>
      <c r="AC109" s="87">
        <v>0.36011999999999944</v>
      </c>
      <c r="AD109" s="87">
        <v>0</v>
      </c>
      <c r="AE109" s="87">
        <v>4.2730000000000476E-2</v>
      </c>
      <c r="AF109" s="87">
        <v>0.62273999999999974</v>
      </c>
      <c r="AG109" s="87">
        <v>1.2434000000000005</v>
      </c>
      <c r="AH109" s="87">
        <v>6.6199999999998907E-3</v>
      </c>
      <c r="AI109" s="87">
        <v>2.6700399999999997</v>
      </c>
      <c r="AJ109" s="87">
        <v>0.49144000000000004</v>
      </c>
      <c r="AK109" s="87">
        <v>1.3009699999999997</v>
      </c>
      <c r="AL109" s="87">
        <v>0</v>
      </c>
      <c r="AM109" s="87">
        <v>2.5000000000000001E-2</v>
      </c>
      <c r="AN109" s="87">
        <v>2.5000000000000001E-2</v>
      </c>
      <c r="AO109" s="87">
        <v>0</v>
      </c>
      <c r="AP109" s="87">
        <f>IF($E109="BS",V109,SUM(K109:V109))</f>
        <v>2.8171099999999996</v>
      </c>
      <c r="AQ109" s="87">
        <f>IF($E109="BS",AH109,SUM(W109:AH109))</f>
        <v>6.3361799999999997</v>
      </c>
      <c r="AR109" s="87">
        <f>IF($E109="BS",AO109,SUM(AD109:AO109))</f>
        <v>6.4279400000000004</v>
      </c>
    </row>
    <row r="110" spans="1:44" ht="11.25" customHeight="1" x14ac:dyDescent="0.2">
      <c r="A110" s="88" t="s">
        <v>377</v>
      </c>
      <c r="B110" s="104"/>
      <c r="E110" s="88" t="s">
        <v>376</v>
      </c>
      <c r="G110" s="88" t="s">
        <v>18</v>
      </c>
      <c r="H110" s="88" t="s">
        <v>19</v>
      </c>
      <c r="I110" s="88" t="s">
        <v>19</v>
      </c>
      <c r="J110" s="88" t="s">
        <v>250</v>
      </c>
      <c r="K110" s="87">
        <v>1.57836</v>
      </c>
      <c r="L110" s="87">
        <v>2.9856900000000004</v>
      </c>
      <c r="M110" s="87">
        <v>2.8152499999999998</v>
      </c>
      <c r="N110" s="87">
        <v>2.6212599999999995</v>
      </c>
      <c r="O110" s="87">
        <v>1.7925200000000003</v>
      </c>
      <c r="P110" s="87">
        <v>2.2490100000000002</v>
      </c>
      <c r="Q110" s="87">
        <v>1.0511000000000004</v>
      </c>
      <c r="R110" s="87">
        <v>0.8970100000000002</v>
      </c>
      <c r="S110" s="87">
        <v>0</v>
      </c>
      <c r="T110" s="87">
        <v>0</v>
      </c>
      <c r="U110" s="87">
        <v>0.3</v>
      </c>
      <c r="V110" s="87">
        <v>3.315869999999999</v>
      </c>
      <c r="W110" s="87">
        <v>1.99953</v>
      </c>
      <c r="X110" s="87">
        <v>1.51753</v>
      </c>
      <c r="Y110" s="87">
        <v>1.3881200000000002</v>
      </c>
      <c r="Z110" s="87">
        <v>0.96660999999999964</v>
      </c>
      <c r="AA110" s="87">
        <v>1.24871</v>
      </c>
      <c r="AB110" s="87">
        <v>1.7532900000000009</v>
      </c>
      <c r="AC110" s="87">
        <v>0</v>
      </c>
      <c r="AD110" s="87">
        <v>0</v>
      </c>
      <c r="AE110" s="87">
        <v>0</v>
      </c>
      <c r="AF110" s="87">
        <v>0.47084999999999855</v>
      </c>
      <c r="AG110" s="87">
        <v>2.7432800000000008</v>
      </c>
      <c r="AH110" s="87">
        <v>1.0668299999999999</v>
      </c>
      <c r="AI110" s="87">
        <v>2.17293</v>
      </c>
      <c r="AJ110" s="87">
        <v>1.6931700000000001</v>
      </c>
      <c r="AK110" s="87">
        <v>2.9389500000000002</v>
      </c>
      <c r="AL110" s="87">
        <v>2.7929700000000004</v>
      </c>
      <c r="AM110" s="87">
        <v>8.8343800000000012</v>
      </c>
      <c r="AN110" s="87">
        <v>0.88951999999999676</v>
      </c>
      <c r="AO110" s="87">
        <v>0.25565000000000143</v>
      </c>
      <c r="AP110" s="87">
        <f>IF($E110="BS",V110,SUM(K110:V110))</f>
        <v>19.606069999999999</v>
      </c>
      <c r="AQ110" s="87">
        <f>IF($E110="BS",AH110,SUM(W110:AH110))</f>
        <v>13.154749999999998</v>
      </c>
      <c r="AR110" s="87">
        <f>IF($E110="BS",AO110,SUM(AD110:AO110))</f>
        <v>23.858530000000002</v>
      </c>
    </row>
    <row r="111" spans="1:44" ht="11.25" customHeight="1" x14ac:dyDescent="0.2">
      <c r="A111" s="88" t="s">
        <v>241</v>
      </c>
      <c r="B111" s="104"/>
      <c r="E111" s="88" t="s">
        <v>376</v>
      </c>
      <c r="G111" s="88" t="s">
        <v>13</v>
      </c>
      <c r="H111" s="88" t="s">
        <v>14</v>
      </c>
      <c r="I111" s="88" t="s">
        <v>14</v>
      </c>
      <c r="J111" s="88" t="s">
        <v>241</v>
      </c>
      <c r="K111" s="87">
        <v>0</v>
      </c>
      <c r="L111" s="87">
        <v>0</v>
      </c>
      <c r="M111" s="87">
        <v>0</v>
      </c>
      <c r="N111" s="87">
        <v>-355.54434999999995</v>
      </c>
      <c r="O111" s="87">
        <v>0</v>
      </c>
      <c r="P111" s="87">
        <v>0</v>
      </c>
      <c r="Q111" s="87">
        <v>0</v>
      </c>
      <c r="R111" s="87">
        <v>0</v>
      </c>
      <c r="S111" s="87">
        <v>0</v>
      </c>
      <c r="T111" s="87">
        <v>0</v>
      </c>
      <c r="U111" s="87">
        <v>0</v>
      </c>
      <c r="V111" s="87">
        <v>0</v>
      </c>
      <c r="W111" s="87">
        <v>0</v>
      </c>
      <c r="X111" s="87">
        <v>0</v>
      </c>
      <c r="Y111" s="87">
        <v>0</v>
      </c>
      <c r="Z111" s="87">
        <v>0</v>
      </c>
      <c r="AA111" s="87">
        <v>0</v>
      </c>
      <c r="AB111" s="87">
        <v>0</v>
      </c>
      <c r="AC111" s="87">
        <v>0</v>
      </c>
      <c r="AD111" s="87">
        <v>0</v>
      </c>
      <c r="AE111" s="87">
        <v>0</v>
      </c>
      <c r="AF111" s="87">
        <v>0</v>
      </c>
      <c r="AG111" s="87">
        <v>0</v>
      </c>
      <c r="AH111" s="87">
        <v>0</v>
      </c>
      <c r="AI111" s="87">
        <v>0</v>
      </c>
      <c r="AJ111" s="87">
        <v>0</v>
      </c>
      <c r="AK111" s="87">
        <v>0</v>
      </c>
      <c r="AL111" s="87">
        <v>0</v>
      </c>
      <c r="AM111" s="87">
        <v>0</v>
      </c>
      <c r="AN111" s="87">
        <v>0</v>
      </c>
      <c r="AO111" s="87">
        <v>0</v>
      </c>
      <c r="AP111" s="87">
        <f>IF($E111="BS",V111,SUM(K111:V111))</f>
        <v>-355.54434999999995</v>
      </c>
      <c r="AQ111" s="87">
        <f>IF($E111="BS",AH111,SUM(W111:AH111))</f>
        <v>0</v>
      </c>
      <c r="AR111" s="87">
        <f>IF($E111="BS",AO111,SUM(AD111:AO111))</f>
        <v>0</v>
      </c>
    </row>
    <row r="112" spans="1:44" ht="11.25" customHeight="1" x14ac:dyDescent="0.2">
      <c r="A112" s="88" t="s">
        <v>239</v>
      </c>
      <c r="B112" s="104"/>
      <c r="E112" s="88" t="s">
        <v>376</v>
      </c>
      <c r="G112" s="88" t="s">
        <v>13</v>
      </c>
      <c r="H112" s="88" t="s">
        <v>14</v>
      </c>
      <c r="I112" s="88" t="s">
        <v>14</v>
      </c>
      <c r="J112" s="88" t="s">
        <v>239</v>
      </c>
      <c r="K112" s="87">
        <v>0</v>
      </c>
      <c r="L112" s="87">
        <v>0</v>
      </c>
      <c r="M112" s="87">
        <v>0</v>
      </c>
      <c r="N112" s="87">
        <v>0</v>
      </c>
      <c r="O112" s="87">
        <v>0</v>
      </c>
      <c r="P112" s="87">
        <v>0</v>
      </c>
      <c r="Q112" s="87">
        <v>0</v>
      </c>
      <c r="R112" s="87">
        <v>0</v>
      </c>
      <c r="S112" s="87">
        <v>0</v>
      </c>
      <c r="T112" s="87">
        <v>0</v>
      </c>
      <c r="U112" s="87">
        <v>0</v>
      </c>
      <c r="V112" s="87">
        <v>0</v>
      </c>
      <c r="W112" s="87">
        <v>0</v>
      </c>
      <c r="X112" s="87">
        <v>0</v>
      </c>
      <c r="Y112" s="87">
        <v>0</v>
      </c>
      <c r="Z112" s="87">
        <v>0</v>
      </c>
      <c r="AA112" s="87">
        <v>0</v>
      </c>
      <c r="AB112" s="87">
        <v>0</v>
      </c>
      <c r="AC112" s="87">
        <v>0</v>
      </c>
      <c r="AD112" s="87">
        <v>-50</v>
      </c>
      <c r="AE112" s="87">
        <v>0</v>
      </c>
      <c r="AF112" s="87">
        <v>0</v>
      </c>
      <c r="AG112" s="87">
        <v>0</v>
      </c>
      <c r="AH112" s="87">
        <v>0</v>
      </c>
      <c r="AI112" s="87">
        <v>0</v>
      </c>
      <c r="AJ112" s="87">
        <v>0</v>
      </c>
      <c r="AK112" s="87">
        <v>0</v>
      </c>
      <c r="AL112" s="87">
        <v>0</v>
      </c>
      <c r="AM112" s="87">
        <v>0</v>
      </c>
      <c r="AN112" s="87">
        <v>0</v>
      </c>
      <c r="AO112" s="87">
        <v>0</v>
      </c>
      <c r="AP112" s="87">
        <f>IF($E112="BS",V112,SUM(K112:V112))</f>
        <v>0</v>
      </c>
      <c r="AQ112" s="87">
        <f>IF($E112="BS",AH112,SUM(W112:AH112))</f>
        <v>-50</v>
      </c>
      <c r="AR112" s="87">
        <f>IF($E112="BS",AO112,SUM(AD112:AO112))</f>
        <v>-50</v>
      </c>
    </row>
    <row r="113" spans="1:44" ht="11.25" customHeight="1" x14ac:dyDescent="0.2">
      <c r="A113" s="88" t="s">
        <v>242</v>
      </c>
      <c r="B113" s="104"/>
      <c r="E113" s="88" t="s">
        <v>376</v>
      </c>
      <c r="G113" s="88" t="s">
        <v>13</v>
      </c>
      <c r="H113" s="88" t="s">
        <v>14</v>
      </c>
      <c r="I113" s="88" t="s">
        <v>14</v>
      </c>
      <c r="J113" s="88" t="s">
        <v>242</v>
      </c>
      <c r="K113" s="87">
        <v>0</v>
      </c>
      <c r="L113" s="87">
        <v>0</v>
      </c>
      <c r="M113" s="87">
        <v>0</v>
      </c>
      <c r="N113" s="87">
        <v>0</v>
      </c>
      <c r="O113" s="87">
        <v>0</v>
      </c>
      <c r="P113" s="87">
        <v>0</v>
      </c>
      <c r="Q113" s="87">
        <v>0</v>
      </c>
      <c r="R113" s="87">
        <v>0</v>
      </c>
      <c r="S113" s="87">
        <v>0</v>
      </c>
      <c r="T113" s="87">
        <v>0</v>
      </c>
      <c r="U113" s="87">
        <v>0</v>
      </c>
      <c r="V113" s="87">
        <v>-76.400000000000006</v>
      </c>
      <c r="W113" s="87">
        <v>0</v>
      </c>
      <c r="X113" s="87">
        <v>0</v>
      </c>
      <c r="Y113" s="87">
        <v>0</v>
      </c>
      <c r="Z113" s="87">
        <v>0</v>
      </c>
      <c r="AA113" s="87">
        <v>0</v>
      </c>
      <c r="AB113" s="87">
        <v>0</v>
      </c>
      <c r="AC113" s="87">
        <v>0</v>
      </c>
      <c r="AD113" s="87">
        <v>0</v>
      </c>
      <c r="AE113" s="87">
        <v>0</v>
      </c>
      <c r="AF113" s="87">
        <v>0</v>
      </c>
      <c r="AG113" s="87">
        <v>0</v>
      </c>
      <c r="AH113" s="87">
        <v>0</v>
      </c>
      <c r="AI113" s="87">
        <v>0</v>
      </c>
      <c r="AJ113" s="87">
        <v>0</v>
      </c>
      <c r="AK113" s="87">
        <v>0</v>
      </c>
      <c r="AL113" s="87">
        <v>0</v>
      </c>
      <c r="AM113" s="87">
        <v>0</v>
      </c>
      <c r="AN113" s="87">
        <v>0</v>
      </c>
      <c r="AO113" s="87">
        <v>0</v>
      </c>
      <c r="AP113" s="87">
        <f>IF($E113="BS",V113,SUM(K113:V113))</f>
        <v>-76.400000000000006</v>
      </c>
      <c r="AQ113" s="87">
        <f>IF($E113="BS",AH113,SUM(W113:AH113))</f>
        <v>0</v>
      </c>
      <c r="AR113" s="87">
        <f>IF($E113="BS",AO113,SUM(AD113:AO113))</f>
        <v>0</v>
      </c>
    </row>
    <row r="114" spans="1:44" ht="11.25" customHeight="1" x14ac:dyDescent="0.2">
      <c r="A114" s="88" t="s">
        <v>244</v>
      </c>
      <c r="B114" s="104"/>
      <c r="E114" s="88" t="s">
        <v>376</v>
      </c>
      <c r="G114" s="88" t="s">
        <v>13</v>
      </c>
      <c r="H114" s="88" t="s">
        <v>15</v>
      </c>
      <c r="I114" s="88" t="s">
        <v>15</v>
      </c>
      <c r="J114" s="88" t="s">
        <v>244</v>
      </c>
      <c r="K114" s="87">
        <v>0</v>
      </c>
      <c r="L114" s="87">
        <v>0</v>
      </c>
      <c r="M114" s="87">
        <v>0</v>
      </c>
      <c r="N114" s="87">
        <v>0</v>
      </c>
      <c r="O114" s="87">
        <v>0</v>
      </c>
      <c r="P114" s="87">
        <v>0</v>
      </c>
      <c r="Q114" s="87">
        <v>0</v>
      </c>
      <c r="R114" s="87">
        <v>0</v>
      </c>
      <c r="S114" s="87">
        <v>0</v>
      </c>
      <c r="T114" s="87">
        <v>0</v>
      </c>
      <c r="U114" s="87">
        <v>0</v>
      </c>
      <c r="V114" s="87">
        <v>4.4480000000000004</v>
      </c>
      <c r="W114" s="87">
        <v>0</v>
      </c>
      <c r="X114" s="87">
        <v>0</v>
      </c>
      <c r="Y114" s="87">
        <v>0</v>
      </c>
      <c r="Z114" s="87">
        <v>0</v>
      </c>
      <c r="AA114" s="87">
        <v>0</v>
      </c>
      <c r="AB114" s="87">
        <v>0</v>
      </c>
      <c r="AC114" s="87">
        <v>0</v>
      </c>
      <c r="AD114" s="87">
        <v>0</v>
      </c>
      <c r="AE114" s="87">
        <v>0</v>
      </c>
      <c r="AF114" s="87">
        <v>0</v>
      </c>
      <c r="AG114" s="87">
        <v>0</v>
      </c>
      <c r="AH114" s="87">
        <v>3.516</v>
      </c>
      <c r="AI114" s="87">
        <v>0</v>
      </c>
      <c r="AJ114" s="87">
        <v>0</v>
      </c>
      <c r="AK114" s="87">
        <v>0</v>
      </c>
      <c r="AL114" s="87">
        <v>0</v>
      </c>
      <c r="AM114" s="87">
        <v>0</v>
      </c>
      <c r="AN114" s="87">
        <v>0</v>
      </c>
      <c r="AO114" s="87">
        <v>0</v>
      </c>
      <c r="AP114" s="87">
        <f>IF($E114="BS",V114,SUM(K114:V114))</f>
        <v>4.4480000000000004</v>
      </c>
      <c r="AQ114" s="87">
        <f>IF($E114="BS",AH114,SUM(W114:AH114))</f>
        <v>3.516</v>
      </c>
      <c r="AR114" s="87">
        <f>IF($E114="BS",AO114,SUM(AD114:AO114))</f>
        <v>3.516</v>
      </c>
    </row>
    <row r="115" spans="1:44" ht="11.25" customHeight="1" x14ac:dyDescent="0.2">
      <c r="A115" s="88" t="s">
        <v>240</v>
      </c>
      <c r="B115" s="104"/>
      <c r="E115" s="88" t="s">
        <v>376</v>
      </c>
      <c r="G115" s="88" t="s">
        <v>13</v>
      </c>
      <c r="H115" s="88" t="s">
        <v>14</v>
      </c>
      <c r="I115" s="88" t="s">
        <v>14</v>
      </c>
      <c r="J115" s="88" t="s">
        <v>240</v>
      </c>
      <c r="K115" s="87">
        <v>0</v>
      </c>
      <c r="L115" s="87">
        <v>0</v>
      </c>
      <c r="M115" s="87">
        <v>0</v>
      </c>
      <c r="N115" s="87">
        <v>0</v>
      </c>
      <c r="O115" s="87">
        <v>0</v>
      </c>
      <c r="P115" s="87">
        <v>0</v>
      </c>
      <c r="Q115" s="87">
        <v>0</v>
      </c>
      <c r="R115" s="87">
        <v>0</v>
      </c>
      <c r="S115" s="87">
        <v>0</v>
      </c>
      <c r="T115" s="87">
        <v>0</v>
      </c>
      <c r="U115" s="87">
        <v>0</v>
      </c>
      <c r="V115" s="87">
        <v>0</v>
      </c>
      <c r="W115" s="87">
        <v>0</v>
      </c>
      <c r="X115" s="87">
        <v>0</v>
      </c>
      <c r="Y115" s="87">
        <v>0</v>
      </c>
      <c r="Z115" s="87">
        <v>0</v>
      </c>
      <c r="AA115" s="87">
        <v>0</v>
      </c>
      <c r="AB115" s="87">
        <v>0</v>
      </c>
      <c r="AC115" s="87">
        <v>0</v>
      </c>
      <c r="AD115" s="87">
        <v>0</v>
      </c>
      <c r="AE115" s="87">
        <v>-2.2640199999999999</v>
      </c>
      <c r="AF115" s="87">
        <v>0</v>
      </c>
      <c r="AG115" s="87">
        <v>0</v>
      </c>
      <c r="AH115" s="87">
        <v>0</v>
      </c>
      <c r="AI115" s="87">
        <v>0</v>
      </c>
      <c r="AJ115" s="87">
        <v>0</v>
      </c>
      <c r="AK115" s="87">
        <v>0</v>
      </c>
      <c r="AL115" s="87">
        <v>0</v>
      </c>
      <c r="AM115" s="87">
        <v>0</v>
      </c>
      <c r="AN115" s="87">
        <v>0</v>
      </c>
      <c r="AO115" s="87">
        <v>0</v>
      </c>
      <c r="AP115" s="87">
        <f>IF($E115="BS",V115,SUM(K115:V115))</f>
        <v>0</v>
      </c>
      <c r="AQ115" s="87">
        <f>IF($E115="BS",AH115,SUM(W115:AH115))</f>
        <v>-2.2640199999999999</v>
      </c>
      <c r="AR115" s="87">
        <f>IF($E115="BS",AO115,SUM(AD115:AO115))</f>
        <v>-2.2640199999999999</v>
      </c>
    </row>
    <row r="116" spans="1:44" ht="11.25" customHeight="1" x14ac:dyDescent="0.2">
      <c r="A116" s="88" t="s">
        <v>246</v>
      </c>
      <c r="B116" s="104"/>
      <c r="E116" s="88" t="s">
        <v>376</v>
      </c>
      <c r="G116" s="88" t="s">
        <v>13</v>
      </c>
      <c r="H116" s="88" t="s">
        <v>16</v>
      </c>
      <c r="I116" s="88" t="s">
        <v>16</v>
      </c>
      <c r="J116" s="88" t="s">
        <v>246</v>
      </c>
      <c r="K116" s="87">
        <v>0</v>
      </c>
      <c r="L116" s="87">
        <v>0</v>
      </c>
      <c r="M116" s="87">
        <v>0</v>
      </c>
      <c r="N116" s="87">
        <v>0</v>
      </c>
      <c r="O116" s="87">
        <v>0</v>
      </c>
      <c r="P116" s="87">
        <v>0</v>
      </c>
      <c r="Q116" s="87">
        <v>0</v>
      </c>
      <c r="R116" s="87">
        <v>0</v>
      </c>
      <c r="S116" s="87">
        <v>0</v>
      </c>
      <c r="T116" s="87">
        <v>0</v>
      </c>
      <c r="U116" s="87">
        <v>0</v>
      </c>
      <c r="V116" s="87">
        <v>0</v>
      </c>
      <c r="W116" s="87">
        <v>0</v>
      </c>
      <c r="X116" s="87">
        <v>0</v>
      </c>
      <c r="Y116" s="87">
        <v>0</v>
      </c>
      <c r="Z116" s="87">
        <v>0</v>
      </c>
      <c r="AA116" s="87">
        <v>0</v>
      </c>
      <c r="AB116" s="87">
        <v>58</v>
      </c>
      <c r="AC116" s="87">
        <v>0</v>
      </c>
      <c r="AD116" s="87">
        <v>0</v>
      </c>
      <c r="AE116" s="87">
        <v>120.971</v>
      </c>
      <c r="AF116" s="87">
        <v>0</v>
      </c>
      <c r="AG116" s="87">
        <v>0</v>
      </c>
      <c r="AH116" s="87">
        <v>0</v>
      </c>
      <c r="AI116" s="87">
        <v>29</v>
      </c>
      <c r="AJ116" s="87">
        <v>0</v>
      </c>
      <c r="AK116" s="87">
        <v>0</v>
      </c>
      <c r="AL116" s="87">
        <v>0</v>
      </c>
      <c r="AM116" s="87">
        <v>0</v>
      </c>
      <c r="AN116" s="87">
        <v>15.176</v>
      </c>
      <c r="AO116" s="87">
        <v>0</v>
      </c>
      <c r="AP116" s="87">
        <f>IF($E116="BS",V116,SUM(K116:V116))</f>
        <v>0</v>
      </c>
      <c r="AQ116" s="87">
        <f>IF($E116="BS",AH116,SUM(W116:AH116))</f>
        <v>178.971</v>
      </c>
      <c r="AR116" s="87">
        <f>IF($E116="BS",AO116,SUM(AD116:AO116))</f>
        <v>165.14699999999999</v>
      </c>
    </row>
    <row r="117" spans="1:44" ht="11.25" customHeight="1" x14ac:dyDescent="0.2"/>
    <row r="118" spans="1:44" ht="11.25" customHeight="1" x14ac:dyDescent="0.25">
      <c r="J118" s="103" t="s">
        <v>375</v>
      </c>
      <c r="K118" s="91">
        <f>SUM(K2:K116)</f>
        <v>1.3655743202889425E-13</v>
      </c>
      <c r="L118" s="91">
        <f>SUM(L2:L116)+K125</f>
        <v>0</v>
      </c>
      <c r="M118" s="91">
        <f>SUM(M2:M116)+L125</f>
        <v>0</v>
      </c>
      <c r="N118" s="91">
        <f>SUM(N2:N116)+M125</f>
        <v>7.3896444519050419E-13</v>
      </c>
      <c r="O118" s="91">
        <f>SUM(O2:O116)+N125</f>
        <v>2.5579538487363607E-13</v>
      </c>
      <c r="P118" s="91">
        <f>SUM(P2:P116)+O125</f>
        <v>7.1054273576010019E-13</v>
      </c>
      <c r="Q118" s="91">
        <f>SUM(Q2:Q116)+P125</f>
        <v>3.694822225952521E-13</v>
      </c>
      <c r="R118" s="91">
        <f>SUM(R2:R116)+Q125</f>
        <v>2.5579538487363607E-13</v>
      </c>
      <c r="S118" s="91">
        <f>SUM(S2:S116)+R125</f>
        <v>0</v>
      </c>
      <c r="T118" s="91">
        <f>SUM(T2:T116)+S125</f>
        <v>0</v>
      </c>
      <c r="U118" s="91">
        <f>SUM(U2:U116)+T125</f>
        <v>0</v>
      </c>
      <c r="V118" s="91">
        <f>SUM(V2:V116)+U125</f>
        <v>0</v>
      </c>
      <c r="W118" s="91">
        <f>SUM(W2:W116)</f>
        <v>5.3068660577082483E-13</v>
      </c>
      <c r="X118" s="91">
        <f>SUM(X2:X116)+W125</f>
        <v>6.3948846218409017E-13</v>
      </c>
      <c r="Y118" s="91">
        <f>SUM(Y2:Y116)+X125</f>
        <v>-1.3145040611561853E-13</v>
      </c>
      <c r="Z118" s="91">
        <f>SUM(Z2:Z116)+Y125</f>
        <v>0</v>
      </c>
      <c r="AA118" s="91">
        <f>SUM(AA2:AA116)+Z125</f>
        <v>6.5369931689929217E-13</v>
      </c>
      <c r="AB118" s="91">
        <f>SUM(AB2:AB116)+AA125</f>
        <v>0</v>
      </c>
      <c r="AC118" s="91">
        <f>SUM(AC2:AC116)+AB125</f>
        <v>-6.2527760746888816E-13</v>
      </c>
      <c r="AD118" s="91">
        <f>SUM(AD2:AD116)+AC125</f>
        <v>0</v>
      </c>
      <c r="AE118" s="91">
        <f>SUM(AE2:AE116)+AD125</f>
        <v>-4.8316906031686813E-13</v>
      </c>
      <c r="AF118" s="91">
        <f>SUM(AF2:AF116)+AE125</f>
        <v>0</v>
      </c>
      <c r="AG118" s="91">
        <f>SUM(AG2:AG116)+AF125</f>
        <v>0</v>
      </c>
      <c r="AH118" s="91">
        <f>SUM(AH2:AH116)+AG125</f>
        <v>0</v>
      </c>
      <c r="AI118" s="91">
        <f>SUM(AI2:AI116)</f>
        <v>-5.6132876125047915E-13</v>
      </c>
      <c r="AJ118" s="91">
        <f>SUM(AJ2:AJ116)+AI125</f>
        <v>2.8421709430404007E-13</v>
      </c>
      <c r="AK118" s="91">
        <f>SUM(AK2:AK116)+AJ125</f>
        <v>-9.3791641120333225E-13</v>
      </c>
      <c r="AL118" s="91">
        <f>SUM(AL2:AL116)+AK125</f>
        <v>-4.9737991503207013E-13</v>
      </c>
      <c r="AM118" s="91">
        <f>SUM(AM2:AM116)+AL125</f>
        <v>-4.9027448767446913E-13</v>
      </c>
      <c r="AN118" s="91">
        <f>SUM(AN2:AN116)+AM125</f>
        <v>0</v>
      </c>
      <c r="AO118" s="91">
        <f>SUM(AO2:AO116)+AN125</f>
        <v>-3.0775382242609339E-13</v>
      </c>
      <c r="AP118" s="91"/>
      <c r="AQ118" s="91"/>
      <c r="AR118" s="91"/>
    </row>
    <row r="119" spans="1:44" ht="11.25" customHeight="1" x14ac:dyDescent="0.2">
      <c r="K119" s="90"/>
      <c r="L119" s="90"/>
      <c r="M119" s="90"/>
      <c r="N119" s="90"/>
      <c r="O119" s="90"/>
      <c r="P119" s="90"/>
      <c r="Q119" s="90"/>
      <c r="R119" s="90"/>
      <c r="S119" s="90"/>
      <c r="T119" s="90"/>
      <c r="U119" s="90"/>
      <c r="V119" s="90"/>
      <c r="W119" s="90"/>
      <c r="X119" s="90"/>
      <c r="Y119" s="90"/>
      <c r="Z119" s="90"/>
      <c r="AA119" s="90"/>
      <c r="AB119" s="90"/>
      <c r="AC119" s="90"/>
      <c r="AD119" s="90"/>
      <c r="AE119" s="90"/>
      <c r="AF119" s="90"/>
      <c r="AG119" s="90"/>
      <c r="AH119" s="90"/>
      <c r="AI119" s="90"/>
      <c r="AJ119" s="90"/>
      <c r="AK119" s="90"/>
      <c r="AL119" s="90"/>
      <c r="AM119" s="90"/>
      <c r="AN119" s="90"/>
      <c r="AO119" s="90"/>
      <c r="AP119" s="102"/>
      <c r="AQ119" s="102"/>
      <c r="AR119" s="102"/>
    </row>
    <row r="120" spans="1:44" ht="11.25" customHeight="1" thickBot="1" x14ac:dyDescent="0.25">
      <c r="K120" s="90"/>
      <c r="L120" s="90"/>
      <c r="M120" s="90"/>
      <c r="N120" s="90"/>
      <c r="O120" s="90"/>
      <c r="P120" s="90"/>
      <c r="Q120" s="90"/>
      <c r="R120" s="90"/>
      <c r="S120" s="90"/>
      <c r="T120" s="90"/>
      <c r="U120" s="90"/>
      <c r="V120" s="90"/>
      <c r="W120" s="90"/>
      <c r="X120" s="90"/>
      <c r="Y120" s="90"/>
      <c r="Z120" s="90"/>
      <c r="AA120" s="90"/>
      <c r="AB120" s="90"/>
      <c r="AC120" s="90"/>
      <c r="AD120" s="90"/>
      <c r="AE120" s="90"/>
      <c r="AF120" s="90"/>
      <c r="AG120" s="90"/>
      <c r="AH120" s="90"/>
      <c r="AI120" s="90"/>
      <c r="AJ120" s="90"/>
      <c r="AK120" s="90"/>
      <c r="AL120" s="90"/>
      <c r="AM120" s="90"/>
      <c r="AN120" s="90"/>
      <c r="AO120" s="90"/>
      <c r="AP120" s="102"/>
      <c r="AQ120" s="102"/>
      <c r="AR120" s="102"/>
    </row>
    <row r="121" spans="1:44" ht="11.25" customHeight="1" x14ac:dyDescent="0.25">
      <c r="J121" s="101" t="s">
        <v>374</v>
      </c>
      <c r="K121" s="100"/>
      <c r="L121" s="100"/>
      <c r="M121" s="100"/>
      <c r="N121" s="100"/>
      <c r="O121" s="100"/>
      <c r="P121" s="100"/>
      <c r="Q121" s="100"/>
      <c r="R121" s="100"/>
      <c r="S121" s="100"/>
      <c r="T121" s="100"/>
      <c r="U121" s="100"/>
      <c r="V121" s="100"/>
      <c r="W121" s="100"/>
      <c r="X121" s="100"/>
      <c r="Y121" s="100"/>
      <c r="Z121" s="100"/>
      <c r="AA121" s="100"/>
      <c r="AB121" s="100"/>
      <c r="AC121" s="100"/>
      <c r="AD121" s="100"/>
      <c r="AE121" s="100"/>
      <c r="AF121" s="100"/>
      <c r="AG121" s="100"/>
      <c r="AH121" s="100"/>
      <c r="AI121" s="100"/>
      <c r="AJ121" s="100"/>
      <c r="AK121" s="100"/>
      <c r="AL121" s="100"/>
      <c r="AM121" s="100"/>
      <c r="AN121" s="100"/>
      <c r="AO121" s="100"/>
      <c r="AP121" s="90"/>
      <c r="AQ121" s="90"/>
      <c r="AR121" s="90"/>
    </row>
    <row r="122" spans="1:44" ht="11.25" customHeight="1" x14ac:dyDescent="0.2">
      <c r="J122" s="95" t="s">
        <v>373</v>
      </c>
      <c r="K122" s="96">
        <f>SUMIFS(K:K,$F:$F,$J122)</f>
        <v>1945.8105300000002</v>
      </c>
      <c r="L122" s="96">
        <f>SUMIFS(L:L,$F:$F,$J122)</f>
        <v>1876.9594400000001</v>
      </c>
      <c r="M122" s="96">
        <f>SUMIFS(M:M,$F:$F,$J122)</f>
        <v>2065.2811799999999</v>
      </c>
      <c r="N122" s="96">
        <f>SUMIFS(N:N,$F:$F,$J122)</f>
        <v>2286.9074700000001</v>
      </c>
      <c r="O122" s="96">
        <f>SUMIFS(O:O,$F:$F,$J122)</f>
        <v>2366.1767399999999</v>
      </c>
      <c r="P122" s="96">
        <f>SUMIFS(P:P,$F:$F,$J122)</f>
        <v>2363.62023</v>
      </c>
      <c r="Q122" s="96">
        <f>SUMIFS(Q:Q,$F:$F,$J122)</f>
        <v>2566.8364000000001</v>
      </c>
      <c r="R122" s="96">
        <f>SUMIFS(R:R,$F:$F,$J122)</f>
        <v>3213.1898300000003</v>
      </c>
      <c r="S122" s="96">
        <f>SUMIFS(S:S,$F:$F,$J122)</f>
        <v>3875.7998300000004</v>
      </c>
      <c r="T122" s="96">
        <f>SUMIFS(T:T,$F:$F,$J122)</f>
        <v>3708.71711</v>
      </c>
      <c r="U122" s="96">
        <f>SUMIFS(U:U,$F:$F,$J122)</f>
        <v>3740.8445900000002</v>
      </c>
      <c r="V122" s="96">
        <f>SUMIFS(V:V,$F:$F,$J122)</f>
        <v>3107.7775200000005</v>
      </c>
      <c r="W122" s="96">
        <f>SUMIFS(W:W,$F:$F,$J122)</f>
        <v>3103.2627500000003</v>
      </c>
      <c r="X122" s="96">
        <f>SUMIFS(X:X,$F:$F,$J122)</f>
        <v>3183.3139800000004</v>
      </c>
      <c r="Y122" s="96">
        <f>SUMIFS(Y:Y,$F:$F,$J122)</f>
        <v>3068.1906300000001</v>
      </c>
      <c r="Z122" s="96">
        <f>SUMIFS(Z:Z,$F:$F,$J122)</f>
        <v>2868.29907</v>
      </c>
      <c r="AA122" s="96">
        <f>SUMIFS(AA:AA,$F:$F,$J122)</f>
        <v>2960.8163500000005</v>
      </c>
      <c r="AB122" s="96">
        <f>SUMIFS(AB:AB,$F:$F,$J122)</f>
        <v>2727.5488100000002</v>
      </c>
      <c r="AC122" s="96">
        <f>SUMIFS(AC:AC,$F:$F,$J122)</f>
        <v>2621.80791</v>
      </c>
      <c r="AD122" s="96">
        <f>SUMIFS(AD:AD,$F:$F,$J122)</f>
        <v>3330.5416099999998</v>
      </c>
      <c r="AE122" s="96">
        <f>SUMIFS(AE:AE,$F:$F,$J122)</f>
        <v>3824.8415399999999</v>
      </c>
      <c r="AF122" s="96">
        <f>SUMIFS(AF:AF,$F:$F,$J122)</f>
        <v>3659.5992499999998</v>
      </c>
      <c r="AG122" s="96">
        <f>SUMIFS(AG:AG,$F:$F,$J122)</f>
        <v>3532.7612999999997</v>
      </c>
      <c r="AH122" s="96">
        <f>SUMIFS(AH:AH,$F:$F,$J122)</f>
        <v>3464.1853500000002</v>
      </c>
      <c r="AI122" s="96">
        <f>SUMIFS(AI:AI,$F:$F,$J122)</f>
        <v>3107.51224</v>
      </c>
      <c r="AJ122" s="96">
        <f>SUMIFS(AJ:AJ,$F:$F,$J122)</f>
        <v>2945.0208200000002</v>
      </c>
      <c r="AK122" s="96">
        <f>SUMIFS(AK:AK,$F:$F,$J122)</f>
        <v>3111.5830000000001</v>
      </c>
      <c r="AL122" s="96">
        <f>SUMIFS(AL:AL,$F:$F,$J122)</f>
        <v>2799.24881</v>
      </c>
      <c r="AM122" s="96">
        <f>SUMIFS(AM:AM,$F:$F,$J122)</f>
        <v>2712.0254300000001</v>
      </c>
      <c r="AN122" s="96">
        <f>SUMIFS(AN:AN,$F:$F,$J122)</f>
        <v>2853.0267000000003</v>
      </c>
      <c r="AO122" s="96">
        <f>SUMIFS(AO:AO,$F:$F,$J122)</f>
        <v>2544.0338200000001</v>
      </c>
      <c r="AP122" s="91"/>
      <c r="AQ122" s="91"/>
      <c r="AR122" s="91"/>
    </row>
    <row r="123" spans="1:44" ht="11.25" customHeight="1" x14ac:dyDescent="0.2">
      <c r="J123" s="95" t="s">
        <v>372</v>
      </c>
      <c r="K123" s="96">
        <f>SUMIFS(K:K,$F:$F,$J123)</f>
        <v>-1449.09602</v>
      </c>
      <c r="L123" s="96">
        <f>SUMIFS(L:L,$F:$F,$J123)</f>
        <v>-1527.2330400000001</v>
      </c>
      <c r="M123" s="96">
        <f>SUMIFS(M:M,$F:$F,$J123)</f>
        <v>-1615.99803</v>
      </c>
      <c r="N123" s="96">
        <f>SUMIFS(N:N,$F:$F,$J123)</f>
        <v>-1559.42353</v>
      </c>
      <c r="O123" s="96">
        <f>SUMIFS(O:O,$F:$F,$J123)</f>
        <v>-1550.2368299999998</v>
      </c>
      <c r="P123" s="96">
        <f>SUMIFS(P:P,$F:$F,$J123)</f>
        <v>-1604.0057199999999</v>
      </c>
      <c r="Q123" s="96">
        <f>SUMIFS(Q:Q,$F:$F,$J123)</f>
        <v>-1719.67443</v>
      </c>
      <c r="R123" s="96">
        <f>SUMIFS(R:R,$F:$F,$J123)</f>
        <v>-1691.65897</v>
      </c>
      <c r="S123" s="96">
        <f>SUMIFS(S:S,$F:$F,$J123)</f>
        <v>-1538.5094199999999</v>
      </c>
      <c r="T123" s="96">
        <f>SUMIFS(T:T,$F:$F,$J123)</f>
        <v>-1625.1228799999999</v>
      </c>
      <c r="U123" s="96">
        <f>SUMIFS(U:U,$F:$F,$J123)</f>
        <v>-1889.50245</v>
      </c>
      <c r="V123" s="96">
        <f>SUMIFS(V:V,$F:$F,$J123)</f>
        <v>-1245.3871800000002</v>
      </c>
      <c r="W123" s="96">
        <f>SUMIFS(W:W,$F:$F,$J123)</f>
        <v>-1328.51061</v>
      </c>
      <c r="X123" s="96">
        <f>SUMIFS(X:X,$F:$F,$J123)</f>
        <v>-1324.23109</v>
      </c>
      <c r="Y123" s="96">
        <f>SUMIFS(Y:Y,$F:$F,$J123)</f>
        <v>-1358.1352899999999</v>
      </c>
      <c r="Z123" s="96">
        <f>SUMIFS(Z:Z,$F:$F,$J123)</f>
        <v>-1322.16176</v>
      </c>
      <c r="AA123" s="96">
        <f>SUMIFS(AA:AA,$F:$F,$J123)</f>
        <v>-1399.5944999999999</v>
      </c>
      <c r="AB123" s="96">
        <f>SUMIFS(AB:AB,$F:$F,$J123)</f>
        <v>-1375.37444</v>
      </c>
      <c r="AC123" s="96">
        <f>SUMIFS(AC:AC,$F:$F,$J123)</f>
        <v>-1440.63051</v>
      </c>
      <c r="AD123" s="96">
        <f>SUMIFS(AD:AD,$F:$F,$J123)</f>
        <v>-1542.6405500000001</v>
      </c>
      <c r="AE123" s="96">
        <f>SUMIFS(AE:AE,$F:$F,$J123)</f>
        <v>-1539.61178</v>
      </c>
      <c r="AF123" s="96">
        <f>SUMIFS(AF:AF,$F:$F,$J123)</f>
        <v>-1185.71164</v>
      </c>
      <c r="AG123" s="96">
        <f>SUMIFS(AG:AG,$F:$F,$J123)</f>
        <v>-1057.1979899999999</v>
      </c>
      <c r="AH123" s="96">
        <f>SUMIFS(AH:AH,$F:$F,$J123)</f>
        <v>-1174.25425</v>
      </c>
      <c r="AI123" s="96">
        <f>SUMIFS(AI:AI,$F:$F,$J123)</f>
        <v>-1219.6444799999999</v>
      </c>
      <c r="AJ123" s="96">
        <f>SUMIFS(AJ:AJ,$F:$F,$J123)</f>
        <v>-1353.3332499999999</v>
      </c>
      <c r="AK123" s="96">
        <f>SUMIFS(AK:AK,$F:$F,$J123)</f>
        <v>-1433.7202699999998</v>
      </c>
      <c r="AL123" s="96">
        <f>SUMIFS(AL:AL,$F:$F,$J123)</f>
        <v>-1143.8601100000001</v>
      </c>
      <c r="AM123" s="96">
        <f>SUMIFS(AM:AM,$F:$F,$J123)</f>
        <v>-1289.4297899999999</v>
      </c>
      <c r="AN123" s="96">
        <f>SUMIFS(AN:AN,$F:$F,$J123)</f>
        <v>-1292.4159099999999</v>
      </c>
      <c r="AO123" s="96">
        <f>SUMIFS(AO:AO,$F:$F,$J123)</f>
        <v>-1285.7402099999999</v>
      </c>
      <c r="AP123" s="91"/>
      <c r="AQ123" s="91"/>
      <c r="AR123" s="91"/>
    </row>
    <row r="124" spans="1:44" ht="11.25" customHeight="1" x14ac:dyDescent="0.2">
      <c r="J124" s="95" t="s">
        <v>371</v>
      </c>
      <c r="K124" s="96">
        <f>SUMIFS(K:K,$F:$F,$J124)</f>
        <v>-805.60779000000002</v>
      </c>
      <c r="L124" s="96">
        <f>SUMIFS(L:L,$F:$F,$J124)</f>
        <v>-765.60779000000002</v>
      </c>
      <c r="M124" s="96">
        <f>SUMIFS(M:M,$F:$F,$J124)</f>
        <v>-701.60779000000002</v>
      </c>
      <c r="N124" s="96">
        <f>SUMIFS(N:N,$F:$F,$J124)</f>
        <v>-661.30468000000008</v>
      </c>
      <c r="O124" s="96">
        <f>SUMIFS(O:O,$F:$F,$J124)</f>
        <v>-641.30468000000008</v>
      </c>
      <c r="P124" s="96">
        <f>SUMIFS(P:P,$F:$F,$J124)</f>
        <v>-621.30468000000008</v>
      </c>
      <c r="Q124" s="96">
        <f>SUMIFS(Q:Q,$F:$F,$J124)</f>
        <v>-601.30468000000008</v>
      </c>
      <c r="R124" s="96">
        <f>SUMIFS(R:R,$F:$F,$J124)</f>
        <v>-601.30468000000008</v>
      </c>
      <c r="S124" s="96">
        <f>SUMIFS(S:S,$F:$F,$J124)</f>
        <v>-601.30468000000008</v>
      </c>
      <c r="T124" s="96">
        <f>SUMIFS(T:T,$F:$F,$J124)</f>
        <v>-593.30468000000008</v>
      </c>
      <c r="U124" s="96">
        <f>SUMIFS(U:U,$F:$F,$J124)</f>
        <v>-469.97568000000001</v>
      </c>
      <c r="V124" s="96">
        <f>SUMIFS(V:V,$F:$F,$J124)</f>
        <v>-294.62031999999999</v>
      </c>
      <c r="W124" s="96">
        <f>SUMIFS(W:W,$F:$F,$J124)</f>
        <v>-1851.4087500000001</v>
      </c>
      <c r="X124" s="96">
        <f>SUMIFS(X:X,$F:$F,$J124)</f>
        <v>-1851.4087500000001</v>
      </c>
      <c r="Y124" s="96">
        <f>SUMIFS(Y:Y,$F:$F,$J124)</f>
        <v>-1851.4087500000001</v>
      </c>
      <c r="Z124" s="96">
        <f>SUMIFS(Z:Z,$F:$F,$J124)</f>
        <v>-1801.4087500000001</v>
      </c>
      <c r="AA124" s="96">
        <f>SUMIFS(AA:AA,$F:$F,$J124)</f>
        <v>-1801.4087500000001</v>
      </c>
      <c r="AB124" s="96">
        <f>SUMIFS(AB:AB,$F:$F,$J124)</f>
        <v>-1764.3602799999999</v>
      </c>
      <c r="AC124" s="96">
        <f>SUMIFS(AC:AC,$F:$F,$J124)</f>
        <v>-1762.04546</v>
      </c>
      <c r="AD124" s="96">
        <f>SUMIFS(AD:AD,$F:$F,$J124)</f>
        <v>-1712.04546</v>
      </c>
      <c r="AE124" s="96">
        <f>SUMIFS(AE:AE,$F:$F,$J124)</f>
        <v>-1712.04546</v>
      </c>
      <c r="AF124" s="96">
        <f>SUMIFS(AF:AF,$F:$F,$J124)</f>
        <v>-1659.04546</v>
      </c>
      <c r="AG124" s="96">
        <f>SUMIFS(AG:AG,$F:$F,$J124)</f>
        <v>-1259.04546</v>
      </c>
      <c r="AH124" s="96">
        <f>SUMIFS(AH:AH,$F:$F,$J124)</f>
        <v>-1191.1997700000002</v>
      </c>
      <c r="AI124" s="96">
        <f>SUMIFS(AI:AI,$F:$F,$J124)</f>
        <v>-2021.85348</v>
      </c>
      <c r="AJ124" s="96">
        <f>SUMIFS(AJ:AJ,$F:$F,$J124)</f>
        <v>-1721.85348</v>
      </c>
      <c r="AK124" s="96">
        <f>SUMIFS(AK:AK,$F:$F,$J124)</f>
        <v>-1641.85348</v>
      </c>
      <c r="AL124" s="96">
        <f>SUMIFS(AL:AL,$F:$F,$J124)</f>
        <v>-1641.85348</v>
      </c>
      <c r="AM124" s="96">
        <f>SUMIFS(AM:AM,$F:$F,$J124)</f>
        <v>-1641.85348</v>
      </c>
      <c r="AN124" s="96">
        <f>SUMIFS(AN:AN,$F:$F,$J124)</f>
        <v>-1559.85348</v>
      </c>
      <c r="AO124" s="96">
        <f>SUMIFS(AO:AO,$F:$F,$J124)</f>
        <v>-1359.85348</v>
      </c>
      <c r="AP124" s="91"/>
      <c r="AQ124" s="91"/>
      <c r="AR124" s="91"/>
    </row>
    <row r="125" spans="1:44" ht="11.25" customHeight="1" x14ac:dyDescent="0.2">
      <c r="J125" s="95" t="s">
        <v>337</v>
      </c>
      <c r="K125" s="96">
        <f>+K133</f>
        <v>308.89328000000012</v>
      </c>
      <c r="L125" s="96">
        <f>+K125+L133</f>
        <v>415.88139000000018</v>
      </c>
      <c r="M125" s="96">
        <f>+L125+M133</f>
        <v>252.3246400000001</v>
      </c>
      <c r="N125" s="96">
        <f>+M125+N133</f>
        <v>-66.179259999999829</v>
      </c>
      <c r="O125" s="96">
        <f>+N125+O133</f>
        <v>-174.63522999999981</v>
      </c>
      <c r="P125" s="96">
        <f>+O125+P133</f>
        <v>-138.30982999999964</v>
      </c>
      <c r="Q125" s="96">
        <f>+P125+Q133</f>
        <v>-245.85728999999981</v>
      </c>
      <c r="R125" s="96">
        <f>+Q125+R133</f>
        <v>-920.22618000000011</v>
      </c>
      <c r="S125" s="96">
        <f>+R125+S133</f>
        <v>-1735.9857299999999</v>
      </c>
      <c r="T125" s="96">
        <f>+S125+T133</f>
        <v>-1490.2895499999997</v>
      </c>
      <c r="U125" s="96">
        <f>+T125+U133</f>
        <v>-1381.3664599999995</v>
      </c>
      <c r="V125" s="96">
        <f>+U125+V133</f>
        <v>-1567.7700199999992</v>
      </c>
      <c r="W125" s="96">
        <f>+W133</f>
        <v>76.656610000000086</v>
      </c>
      <c r="X125" s="96">
        <f>+W125+X133</f>
        <v>-7.6741399999999516</v>
      </c>
      <c r="Y125" s="96">
        <f>+X125+Y133</f>
        <v>141.35341000000005</v>
      </c>
      <c r="Z125" s="96">
        <f>+Y125+Z133</f>
        <v>255.27143999999998</v>
      </c>
      <c r="AA125" s="96">
        <f>+Z125+AA133</f>
        <v>240.18690000000004</v>
      </c>
      <c r="AB125" s="96">
        <f>+AA125+AB133</f>
        <v>412.18591000000004</v>
      </c>
      <c r="AC125" s="96">
        <f>+AB125+AC133</f>
        <v>580.8680599999999</v>
      </c>
      <c r="AD125" s="96">
        <f>+AC125+AD133</f>
        <v>-75.855599999999981</v>
      </c>
      <c r="AE125" s="96">
        <f>+AD125+AE133</f>
        <v>-573.18430000000046</v>
      </c>
      <c r="AF125" s="96">
        <f>+AE125+AF133</f>
        <v>-814.84215000000017</v>
      </c>
      <c r="AG125" s="96">
        <f>+AF125+AG133</f>
        <v>-1216.5178500000004</v>
      </c>
      <c r="AH125" s="96">
        <f>+AG125+AH133</f>
        <v>-1098.7313300000005</v>
      </c>
      <c r="AI125" s="96">
        <f>+AI133</f>
        <v>133.98572000000001</v>
      </c>
      <c r="AJ125" s="96">
        <f>+AI125+AJ133</f>
        <v>130.16591</v>
      </c>
      <c r="AK125" s="96">
        <f>+AJ125+AK133</f>
        <v>-36.009250000000151</v>
      </c>
      <c r="AL125" s="96">
        <f>+AK125+AL133</f>
        <v>-13.535220000000244</v>
      </c>
      <c r="AM125" s="96">
        <f>+AL125+AM133</f>
        <v>219.25783999999976</v>
      </c>
      <c r="AN125" s="96">
        <f>+AM125+AN133</f>
        <v>-0.75731000000001814</v>
      </c>
      <c r="AO125" s="96">
        <f>+AN125+AO133</f>
        <v>101.55986999999985</v>
      </c>
      <c r="AP125" s="91"/>
      <c r="AQ125" s="91"/>
      <c r="AR125" s="91"/>
    </row>
    <row r="126" spans="1:44" ht="11.25" customHeight="1" x14ac:dyDescent="0.2">
      <c r="J126" s="95"/>
      <c r="K126" s="96"/>
      <c r="L126" s="96"/>
      <c r="M126" s="96"/>
      <c r="N126" s="96"/>
      <c r="O126" s="96"/>
      <c r="P126" s="96"/>
      <c r="Q126" s="96"/>
      <c r="R126" s="96"/>
      <c r="S126" s="96"/>
      <c r="T126" s="96"/>
      <c r="U126" s="96"/>
      <c r="V126" s="96"/>
      <c r="W126" s="96"/>
      <c r="X126" s="96"/>
      <c r="Y126" s="96"/>
      <c r="Z126" s="96"/>
      <c r="AA126" s="96"/>
      <c r="AB126" s="96"/>
      <c r="AC126" s="96"/>
      <c r="AD126" s="96"/>
      <c r="AE126" s="96"/>
      <c r="AF126" s="96"/>
      <c r="AG126" s="96"/>
      <c r="AH126" s="96"/>
      <c r="AI126" s="96"/>
      <c r="AJ126" s="96"/>
      <c r="AK126" s="96"/>
      <c r="AL126" s="96"/>
      <c r="AM126" s="96"/>
      <c r="AN126" s="96"/>
      <c r="AO126" s="96"/>
      <c r="AP126" s="91"/>
      <c r="AQ126" s="91"/>
      <c r="AR126" s="91"/>
    </row>
    <row r="127" spans="1:44" ht="11.25" customHeight="1" x14ac:dyDescent="0.25">
      <c r="J127" s="98" t="s">
        <v>370</v>
      </c>
      <c r="K127" s="96">
        <f>SUM(K122:K125)</f>
        <v>0</v>
      </c>
      <c r="L127" s="96">
        <f>SUM(L122:L125)</f>
        <v>0</v>
      </c>
      <c r="M127" s="96">
        <f>SUM(M122:M125)</f>
        <v>0</v>
      </c>
      <c r="N127" s="96">
        <f>SUM(N122:N125)</f>
        <v>1.7053025658242404E-13</v>
      </c>
      <c r="O127" s="96">
        <f>SUM(O122:O125)</f>
        <v>0</v>
      </c>
      <c r="P127" s="96">
        <f>SUM(P122:P125)</f>
        <v>3.979039320256561E-13</v>
      </c>
      <c r="Q127" s="96">
        <f>SUM(Q122:Q125)</f>
        <v>2.2737367544323206E-13</v>
      </c>
      <c r="R127" s="96">
        <f>SUM(R122:R125)</f>
        <v>0</v>
      </c>
      <c r="S127" s="96">
        <f>SUM(S122:S125)</f>
        <v>0</v>
      </c>
      <c r="T127" s="96">
        <f>SUM(T122:T125)</f>
        <v>0</v>
      </c>
      <c r="U127" s="96">
        <f>SUM(U122:U125)</f>
        <v>0</v>
      </c>
      <c r="V127" s="96">
        <f>SUM(V122:V125)</f>
        <v>0</v>
      </c>
      <c r="W127" s="96">
        <f>SUM(W122:W125)</f>
        <v>3.1263880373444408E-13</v>
      </c>
      <c r="X127" s="96">
        <f>SUM(X122:X125)</f>
        <v>3.5527136788005009E-13</v>
      </c>
      <c r="Y127" s="96">
        <f>SUM(Y122:Y125)</f>
        <v>0</v>
      </c>
      <c r="Z127" s="96">
        <f>SUM(Z122:Z125)</f>
        <v>0</v>
      </c>
      <c r="AA127" s="96">
        <f>SUM(AA122:AA125)</f>
        <v>5.6843418860808015E-13</v>
      </c>
      <c r="AB127" s="96">
        <f>SUM(AB122:AB125)</f>
        <v>0</v>
      </c>
      <c r="AC127" s="96">
        <f>SUM(AC122:AC125)</f>
        <v>0</v>
      </c>
      <c r="AD127" s="96">
        <f>SUM(AD122:AD125)</f>
        <v>-3.4106051316484809E-13</v>
      </c>
      <c r="AE127" s="96">
        <f>SUM(AE122:AE125)</f>
        <v>0</v>
      </c>
      <c r="AF127" s="96">
        <f>SUM(AF122:AF125)</f>
        <v>0</v>
      </c>
      <c r="AG127" s="96">
        <f>SUM(AG122:AG125)</f>
        <v>0</v>
      </c>
      <c r="AH127" s="96">
        <f>SUM(AH122:AH125)</f>
        <v>0</v>
      </c>
      <c r="AI127" s="96">
        <f>SUM(AI122:AI125)</f>
        <v>0</v>
      </c>
      <c r="AJ127" s="96">
        <f>SUM(AJ122:AJ125)</f>
        <v>2.8421709430404007E-13</v>
      </c>
      <c r="AK127" s="96">
        <f>SUM(AK122:AK125)</f>
        <v>1.4210854715202004E-13</v>
      </c>
      <c r="AL127" s="96">
        <f>SUM(AL122:AL125)</f>
        <v>-2.6290081223123707E-13</v>
      </c>
      <c r="AM127" s="96">
        <f>SUM(AM122:AM125)</f>
        <v>0</v>
      </c>
      <c r="AN127" s="96">
        <f>SUM(AN122:AN125)</f>
        <v>3.979039320256561E-13</v>
      </c>
      <c r="AO127" s="96">
        <f>SUM(AO122:AO125)</f>
        <v>0</v>
      </c>
      <c r="AP127" s="91"/>
      <c r="AQ127" s="91"/>
      <c r="AR127" s="91"/>
    </row>
    <row r="128" spans="1:44" ht="11.25" customHeight="1" x14ac:dyDescent="0.2">
      <c r="J128" s="99"/>
      <c r="K128" s="96"/>
      <c r="L128" s="96"/>
      <c r="M128" s="96"/>
      <c r="N128" s="96"/>
      <c r="O128" s="96"/>
      <c r="P128" s="96"/>
      <c r="Q128" s="96"/>
      <c r="R128" s="96"/>
      <c r="S128" s="96"/>
      <c r="T128" s="96"/>
      <c r="U128" s="96"/>
      <c r="V128" s="96"/>
      <c r="W128" s="96"/>
      <c r="X128" s="96"/>
      <c r="Y128" s="96"/>
      <c r="Z128" s="96"/>
      <c r="AA128" s="96"/>
      <c r="AB128" s="96"/>
      <c r="AC128" s="96"/>
      <c r="AD128" s="96"/>
      <c r="AE128" s="96"/>
      <c r="AF128" s="96"/>
      <c r="AG128" s="96"/>
      <c r="AH128" s="96"/>
      <c r="AI128" s="96"/>
      <c r="AJ128" s="96"/>
      <c r="AK128" s="96"/>
      <c r="AL128" s="96"/>
      <c r="AM128" s="96"/>
      <c r="AN128" s="96"/>
      <c r="AO128" s="96"/>
      <c r="AP128" s="91"/>
      <c r="AQ128" s="91"/>
      <c r="AR128" s="91"/>
    </row>
    <row r="129" spans="10:44" ht="11.25" customHeight="1" x14ac:dyDescent="0.25">
      <c r="J129" s="97" t="s">
        <v>368</v>
      </c>
      <c r="K129" s="96">
        <f>SUMIFS(K:K,$E:$E,"PL")</f>
        <v>308.89328000000012</v>
      </c>
      <c r="L129" s="96">
        <f>SUMIFS(L:L,$E:$E,"PL")</f>
        <v>106.98811000000006</v>
      </c>
      <c r="M129" s="96">
        <f>SUMIFS(M:M,$E:$E,"PL")</f>
        <v>-163.55675000000008</v>
      </c>
      <c r="N129" s="96">
        <f>SUMIFS(N:N,$E:$E,"PL")</f>
        <v>-318.50389999999993</v>
      </c>
      <c r="O129" s="96">
        <f>SUMIFS(O:O,$E:$E,"PL")</f>
        <v>-108.45596999999997</v>
      </c>
      <c r="P129" s="96">
        <f>SUMIFS(P:P,$E:$E,"PL")</f>
        <v>36.325400000000165</v>
      </c>
      <c r="Q129" s="96">
        <f>SUMIFS(Q:Q,$E:$E,"PL")</f>
        <v>-107.54746000000016</v>
      </c>
      <c r="R129" s="96">
        <f>SUMIFS(R:R,$E:$E,"PL")</f>
        <v>-674.36889000000031</v>
      </c>
      <c r="S129" s="96">
        <f>SUMIFS(S:S,$E:$E,"PL")</f>
        <v>-815.75954999999988</v>
      </c>
      <c r="T129" s="96">
        <f>SUMIFS(T:T,$E:$E,"PL")</f>
        <v>245.69618000000006</v>
      </c>
      <c r="U129" s="96">
        <f>SUMIFS(U:U,$E:$E,"PL")</f>
        <v>108.92309000000013</v>
      </c>
      <c r="V129" s="96">
        <f>SUMIFS(V:V,$E:$E,"PL")</f>
        <v>-186.40355999999966</v>
      </c>
      <c r="W129" s="96">
        <f>SUMIFS(W:W,$E:$E,"PL")</f>
        <v>76.656610000000086</v>
      </c>
      <c r="X129" s="96">
        <f>SUMIFS(X:X,$E:$E,"PL")</f>
        <v>-84.330750000000037</v>
      </c>
      <c r="Y129" s="96">
        <f>SUMIFS(Y:Y,$E:$E,"PL")</f>
        <v>149.02754999999999</v>
      </c>
      <c r="Z129" s="96">
        <f>SUMIFS(Z:Z,$E:$E,"PL")</f>
        <v>113.91802999999993</v>
      </c>
      <c r="AA129" s="96">
        <f>SUMIFS(AA:AA,$E:$E,"PL")</f>
        <v>-15.084539999999961</v>
      </c>
      <c r="AB129" s="96">
        <f>SUMIFS(AB:AB,$E:$E,"PL")</f>
        <v>171.99901</v>
      </c>
      <c r="AC129" s="96">
        <f>SUMIFS(AC:AC,$E:$E,"PL")</f>
        <v>168.68214999999987</v>
      </c>
      <c r="AD129" s="96">
        <f>SUMIFS(AD:AD,$E:$E,"PL")</f>
        <v>-656.72365999999988</v>
      </c>
      <c r="AE129" s="96">
        <f>SUMIFS(AE:AE,$E:$E,"PL")</f>
        <v>-497.32870000000048</v>
      </c>
      <c r="AF129" s="96">
        <f>SUMIFS(AF:AF,$E:$E,"PL")</f>
        <v>-241.65784999999977</v>
      </c>
      <c r="AG129" s="96">
        <f>SUMIFS(AG:AG,$E:$E,"PL")</f>
        <v>-401.67570000000029</v>
      </c>
      <c r="AH129" s="96">
        <f>SUMIFS(AH:AH,$E:$E,"PL")</f>
        <v>117.78651999999992</v>
      </c>
      <c r="AI129" s="96">
        <f>SUMIFS(AI:AI,$E:$E,"PL")</f>
        <v>133.98572000000001</v>
      </c>
      <c r="AJ129" s="96">
        <f>SUMIFS(AJ:AJ,$E:$E,"PL")</f>
        <v>-3.8198100000000075</v>
      </c>
      <c r="AK129" s="96">
        <f>SUMIFS(AK:AK,$E:$E,"PL")</f>
        <v>-166.17516000000015</v>
      </c>
      <c r="AL129" s="96">
        <f>SUMIFS(AL:AL,$E:$E,"PL")</f>
        <v>22.474029999999907</v>
      </c>
      <c r="AM129" s="96">
        <f>SUMIFS(AM:AM,$E:$E,"PL")</f>
        <v>232.79306</v>
      </c>
      <c r="AN129" s="96">
        <f>SUMIFS(AN:AN,$E:$E,"PL")</f>
        <v>-220.01514999999978</v>
      </c>
      <c r="AO129" s="96">
        <f>SUMIFS(AO:AO,$E:$E,"PL")</f>
        <v>102.31717999999987</v>
      </c>
      <c r="AP129" s="91"/>
      <c r="AQ129" s="91"/>
      <c r="AR129" s="91"/>
    </row>
    <row r="130" spans="10:44" ht="11.25" customHeight="1" x14ac:dyDescent="0.2">
      <c r="J130" s="95" t="s">
        <v>369</v>
      </c>
      <c r="K130" s="94"/>
      <c r="L130" s="94"/>
      <c r="M130" s="94"/>
      <c r="N130" s="94"/>
      <c r="O130" s="94"/>
      <c r="P130" s="94"/>
      <c r="Q130" s="94"/>
      <c r="R130" s="94"/>
      <c r="S130" s="94"/>
      <c r="T130" s="94"/>
      <c r="U130" s="94"/>
      <c r="V130" s="94"/>
      <c r="W130" s="94"/>
      <c r="X130" s="94"/>
      <c r="Y130" s="94"/>
      <c r="Z130" s="94"/>
      <c r="AA130" s="94"/>
      <c r="AB130" s="94"/>
      <c r="AC130" s="94"/>
      <c r="AD130" s="94"/>
      <c r="AE130" s="94"/>
      <c r="AF130" s="94"/>
      <c r="AG130" s="94"/>
      <c r="AH130" s="94"/>
      <c r="AI130" s="94"/>
      <c r="AJ130" s="94"/>
      <c r="AK130" s="94"/>
      <c r="AL130" s="94"/>
      <c r="AM130" s="94"/>
      <c r="AN130" s="94"/>
      <c r="AO130" s="94"/>
      <c r="AP130" s="91"/>
      <c r="AQ130" s="91"/>
      <c r="AR130" s="91"/>
    </row>
    <row r="131" spans="10:44" ht="11.25" customHeight="1" x14ac:dyDescent="0.25">
      <c r="J131" s="98" t="s">
        <v>366</v>
      </c>
      <c r="K131" s="96">
        <f>K129-K130</f>
        <v>308.89328000000012</v>
      </c>
      <c r="L131" s="96">
        <f>L129-L130</f>
        <v>106.98811000000006</v>
      </c>
      <c r="M131" s="96">
        <f>M129-M130</f>
        <v>-163.55675000000008</v>
      </c>
      <c r="N131" s="96">
        <f>N129-N130</f>
        <v>-318.50389999999993</v>
      </c>
      <c r="O131" s="96">
        <f>O129-O130</f>
        <v>-108.45596999999997</v>
      </c>
      <c r="P131" s="96">
        <f>P129-P130</f>
        <v>36.325400000000165</v>
      </c>
      <c r="Q131" s="96">
        <f>Q129-Q130</f>
        <v>-107.54746000000016</v>
      </c>
      <c r="R131" s="96">
        <f>R129-R130</f>
        <v>-674.36889000000031</v>
      </c>
      <c r="S131" s="96">
        <f>S129-S130</f>
        <v>-815.75954999999988</v>
      </c>
      <c r="T131" s="96">
        <f>T129-T130</f>
        <v>245.69618000000006</v>
      </c>
      <c r="U131" s="96">
        <f>U129-U130</f>
        <v>108.92309000000013</v>
      </c>
      <c r="V131" s="96">
        <f>V129-V130</f>
        <v>-186.40355999999966</v>
      </c>
      <c r="W131" s="96">
        <f>W129-W130</f>
        <v>76.656610000000086</v>
      </c>
      <c r="X131" s="96">
        <f>X129-X130</f>
        <v>-84.330750000000037</v>
      </c>
      <c r="Y131" s="96">
        <f>Y129-Y130</f>
        <v>149.02754999999999</v>
      </c>
      <c r="Z131" s="96">
        <f>Z129-Z130</f>
        <v>113.91802999999993</v>
      </c>
      <c r="AA131" s="96">
        <f>AA129-AA130</f>
        <v>-15.084539999999961</v>
      </c>
      <c r="AB131" s="96">
        <f>AB129-AB130</f>
        <v>171.99901</v>
      </c>
      <c r="AC131" s="96">
        <f>AC129-AC130</f>
        <v>168.68214999999987</v>
      </c>
      <c r="AD131" s="96">
        <f>AD129-AD130</f>
        <v>-656.72365999999988</v>
      </c>
      <c r="AE131" s="96">
        <f>AE129-AE130</f>
        <v>-497.32870000000048</v>
      </c>
      <c r="AF131" s="96">
        <f>AF129-AF130</f>
        <v>-241.65784999999977</v>
      </c>
      <c r="AG131" s="96">
        <f>AG129-AG130</f>
        <v>-401.67570000000029</v>
      </c>
      <c r="AH131" s="96">
        <f>AH129-AH130</f>
        <v>117.78651999999992</v>
      </c>
      <c r="AI131" s="96">
        <f>AI129-AI130</f>
        <v>133.98572000000001</v>
      </c>
      <c r="AJ131" s="96">
        <f>AJ129-AJ130</f>
        <v>-3.8198100000000075</v>
      </c>
      <c r="AK131" s="96">
        <f>AK129-AK130</f>
        <v>-166.17516000000015</v>
      </c>
      <c r="AL131" s="96">
        <f>AL129-AL130</f>
        <v>22.474029999999907</v>
      </c>
      <c r="AM131" s="96">
        <f>AM129-AM130</f>
        <v>232.79306</v>
      </c>
      <c r="AN131" s="96">
        <f>AN129-AN130</f>
        <v>-220.01514999999978</v>
      </c>
      <c r="AO131" s="96">
        <f>AO129-AO130</f>
        <v>102.31717999999987</v>
      </c>
      <c r="AP131" s="91"/>
      <c r="AQ131" s="91"/>
      <c r="AR131" s="91"/>
    </row>
    <row r="132" spans="10:44" ht="11.25" customHeight="1" x14ac:dyDescent="0.2">
      <c r="J132" s="95"/>
      <c r="K132" s="96"/>
      <c r="L132" s="96"/>
      <c r="M132" s="96"/>
      <c r="N132" s="96"/>
      <c r="O132" s="96"/>
      <c r="P132" s="96"/>
      <c r="Q132" s="96"/>
      <c r="R132" s="96"/>
      <c r="S132" s="96"/>
      <c r="T132" s="96"/>
      <c r="U132" s="96"/>
      <c r="V132" s="96"/>
      <c r="W132" s="96"/>
      <c r="X132" s="96"/>
      <c r="Y132" s="96"/>
      <c r="Z132" s="96"/>
      <c r="AA132" s="96"/>
      <c r="AB132" s="96"/>
      <c r="AC132" s="96"/>
      <c r="AD132" s="96"/>
      <c r="AE132" s="96"/>
      <c r="AF132" s="96"/>
      <c r="AG132" s="96"/>
      <c r="AH132" s="96"/>
      <c r="AI132" s="96"/>
      <c r="AJ132" s="96"/>
      <c r="AK132" s="96"/>
      <c r="AL132" s="96"/>
      <c r="AM132" s="96"/>
      <c r="AN132" s="96"/>
      <c r="AO132" s="96"/>
      <c r="AP132" s="91"/>
      <c r="AQ132" s="91"/>
      <c r="AR132" s="91"/>
    </row>
    <row r="133" spans="10:44" ht="11.25" customHeight="1" x14ac:dyDescent="0.25">
      <c r="J133" s="97" t="s">
        <v>368</v>
      </c>
      <c r="K133" s="96">
        <f>SUMIFS(K:K,$E:$E,"PL")</f>
        <v>308.89328000000012</v>
      </c>
      <c r="L133" s="96">
        <f>SUMIFS(L:L,$E:$E,"PL")</f>
        <v>106.98811000000006</v>
      </c>
      <c r="M133" s="96">
        <f>SUMIFS(M:M,$E:$E,"PL")</f>
        <v>-163.55675000000008</v>
      </c>
      <c r="N133" s="96">
        <f>SUMIFS(N:N,$E:$E,"PL")</f>
        <v>-318.50389999999993</v>
      </c>
      <c r="O133" s="96">
        <f>SUMIFS(O:O,$E:$E,"PL")</f>
        <v>-108.45596999999997</v>
      </c>
      <c r="P133" s="96">
        <f>SUMIFS(P:P,$E:$E,"PL")</f>
        <v>36.325400000000165</v>
      </c>
      <c r="Q133" s="96">
        <f>SUMIFS(Q:Q,$E:$E,"PL")</f>
        <v>-107.54746000000016</v>
      </c>
      <c r="R133" s="96">
        <f>SUMIFS(R:R,$E:$E,"PL")</f>
        <v>-674.36889000000031</v>
      </c>
      <c r="S133" s="96">
        <f>SUMIFS(S:S,$E:$E,"PL")</f>
        <v>-815.75954999999988</v>
      </c>
      <c r="T133" s="96">
        <f>SUMIFS(T:T,$E:$E,"PL")</f>
        <v>245.69618000000006</v>
      </c>
      <c r="U133" s="96">
        <f>SUMIFS(U:U,$E:$E,"PL")</f>
        <v>108.92309000000013</v>
      </c>
      <c r="V133" s="96">
        <f>SUMIFS(V:V,$E:$E,"PL")</f>
        <v>-186.40355999999966</v>
      </c>
      <c r="W133" s="96">
        <f>SUMIFS(W:W,$E:$E,"PL")</f>
        <v>76.656610000000086</v>
      </c>
      <c r="X133" s="96">
        <f>SUMIFS(X:X,$E:$E,"PL")</f>
        <v>-84.330750000000037</v>
      </c>
      <c r="Y133" s="96">
        <f>SUMIFS(Y:Y,$E:$E,"PL")</f>
        <v>149.02754999999999</v>
      </c>
      <c r="Z133" s="96">
        <f>SUMIFS(Z:Z,$E:$E,"PL")</f>
        <v>113.91802999999993</v>
      </c>
      <c r="AA133" s="96">
        <f>SUMIFS(AA:AA,$E:$E,"PL")</f>
        <v>-15.084539999999961</v>
      </c>
      <c r="AB133" s="96">
        <f>SUMIFS(AB:AB,$E:$E,"PL")</f>
        <v>171.99901</v>
      </c>
      <c r="AC133" s="96">
        <f>SUMIFS(AC:AC,$E:$E,"PL")</f>
        <v>168.68214999999987</v>
      </c>
      <c r="AD133" s="96">
        <f>SUMIFS(AD:AD,$E:$E,"PL")</f>
        <v>-656.72365999999988</v>
      </c>
      <c r="AE133" s="96">
        <f>SUMIFS(AE:AE,$E:$E,"PL")</f>
        <v>-497.32870000000048</v>
      </c>
      <c r="AF133" s="96">
        <f>SUMIFS(AF:AF,$E:$E,"PL")</f>
        <v>-241.65784999999977</v>
      </c>
      <c r="AG133" s="96">
        <f>SUMIFS(AG:AG,$E:$E,"PL")</f>
        <v>-401.67570000000029</v>
      </c>
      <c r="AH133" s="96">
        <f>SUMIFS(AH:AH,$E:$E,"PL")</f>
        <v>117.78651999999992</v>
      </c>
      <c r="AI133" s="96">
        <f>SUMIFS(AI:AI,$E:$E,"PL")</f>
        <v>133.98572000000001</v>
      </c>
      <c r="AJ133" s="96">
        <f>SUMIFS(AJ:AJ,$E:$E,"PL")</f>
        <v>-3.8198100000000075</v>
      </c>
      <c r="AK133" s="96">
        <f>SUMIFS(AK:AK,$E:$E,"PL")</f>
        <v>-166.17516000000015</v>
      </c>
      <c r="AL133" s="96">
        <f>SUMIFS(AL:AL,$E:$E,"PL")</f>
        <v>22.474029999999907</v>
      </c>
      <c r="AM133" s="96">
        <f>SUMIFS(AM:AM,$E:$E,"PL")</f>
        <v>232.79306</v>
      </c>
      <c r="AN133" s="96">
        <f>SUMIFS(AN:AN,$E:$E,"PL")</f>
        <v>-220.01514999999978</v>
      </c>
      <c r="AO133" s="96">
        <f>SUMIFS(AO:AO,$E:$E,"PL")</f>
        <v>102.31717999999987</v>
      </c>
      <c r="AP133" s="91"/>
      <c r="AQ133" s="91"/>
      <c r="AR133" s="91"/>
    </row>
    <row r="134" spans="10:44" ht="11.25" customHeight="1" x14ac:dyDescent="0.2">
      <c r="J134" s="95" t="s">
        <v>367</v>
      </c>
      <c r="K134" s="94"/>
      <c r="L134" s="94"/>
      <c r="M134" s="94"/>
      <c r="N134" s="94"/>
      <c r="O134" s="94"/>
      <c r="P134" s="94"/>
      <c r="Q134" s="94"/>
      <c r="R134" s="94"/>
      <c r="S134" s="94"/>
      <c r="T134" s="94"/>
      <c r="U134" s="94"/>
      <c r="V134" s="94"/>
      <c r="W134" s="94"/>
      <c r="X134" s="94"/>
      <c r="Y134" s="94"/>
      <c r="Z134" s="94"/>
      <c r="AA134" s="94"/>
      <c r="AB134" s="94"/>
      <c r="AC134" s="94"/>
      <c r="AD134" s="94"/>
      <c r="AE134" s="94"/>
      <c r="AF134" s="94"/>
      <c r="AG134" s="94"/>
      <c r="AH134" s="94"/>
      <c r="AI134" s="94"/>
      <c r="AJ134" s="94"/>
      <c r="AK134" s="94"/>
      <c r="AL134" s="94"/>
      <c r="AM134" s="94"/>
      <c r="AN134" s="94"/>
      <c r="AO134" s="94"/>
      <c r="AP134" s="91"/>
      <c r="AQ134" s="91"/>
      <c r="AR134" s="91"/>
    </row>
    <row r="135" spans="10:44" ht="11.25" customHeight="1" thickBot="1" x14ac:dyDescent="0.3">
      <c r="J135" s="93" t="s">
        <v>366</v>
      </c>
      <c r="K135" s="92">
        <f>SUM(K133:K134)</f>
        <v>308.89328000000012</v>
      </c>
      <c r="L135" s="92">
        <f>SUM(L133:L134)</f>
        <v>106.98811000000006</v>
      </c>
      <c r="M135" s="92">
        <f>SUM(M133:M134)</f>
        <v>-163.55675000000008</v>
      </c>
      <c r="N135" s="92">
        <f>SUM(N133:N134)</f>
        <v>-318.50389999999993</v>
      </c>
      <c r="O135" s="92">
        <f>SUM(O133:O134)</f>
        <v>-108.45596999999997</v>
      </c>
      <c r="P135" s="92">
        <f>SUM(P133:P134)</f>
        <v>36.325400000000165</v>
      </c>
      <c r="Q135" s="92">
        <f>SUM(Q133:Q134)</f>
        <v>-107.54746000000016</v>
      </c>
      <c r="R135" s="92">
        <f>SUM(R133:R134)</f>
        <v>-674.36889000000031</v>
      </c>
      <c r="S135" s="92">
        <f>SUM(S133:S134)</f>
        <v>-815.75954999999988</v>
      </c>
      <c r="T135" s="92">
        <f>SUM(T133:T134)</f>
        <v>245.69618000000006</v>
      </c>
      <c r="U135" s="92">
        <f>SUM(U133:U134)</f>
        <v>108.92309000000013</v>
      </c>
      <c r="V135" s="92">
        <f>SUM(V133:V134)</f>
        <v>-186.40355999999966</v>
      </c>
      <c r="W135" s="92">
        <f>SUM(W133:W134)</f>
        <v>76.656610000000086</v>
      </c>
      <c r="X135" s="92">
        <f>SUM(X133:X134)</f>
        <v>-84.330750000000037</v>
      </c>
      <c r="Y135" s="92">
        <f>SUM(Y133:Y134)</f>
        <v>149.02754999999999</v>
      </c>
      <c r="Z135" s="92">
        <f>SUM(Z133:Z134)</f>
        <v>113.91802999999993</v>
      </c>
      <c r="AA135" s="92">
        <f>SUM(AA133:AA134)</f>
        <v>-15.084539999999961</v>
      </c>
      <c r="AB135" s="92">
        <f>SUM(AB133:AB134)</f>
        <v>171.99901</v>
      </c>
      <c r="AC135" s="92">
        <f>SUM(AC133:AC134)</f>
        <v>168.68214999999987</v>
      </c>
      <c r="AD135" s="92">
        <f>SUM(AD133:AD134)</f>
        <v>-656.72365999999988</v>
      </c>
      <c r="AE135" s="92">
        <f>SUM(AE133:AE134)</f>
        <v>-497.32870000000048</v>
      </c>
      <c r="AF135" s="92">
        <f>SUM(AF133:AF134)</f>
        <v>-241.65784999999977</v>
      </c>
      <c r="AG135" s="92">
        <f>SUM(AG133:AG134)</f>
        <v>-401.67570000000029</v>
      </c>
      <c r="AH135" s="92">
        <f>SUM(AH133:AH134)</f>
        <v>117.78651999999992</v>
      </c>
      <c r="AI135" s="92">
        <f>SUM(AI133:AI134)</f>
        <v>133.98572000000001</v>
      </c>
      <c r="AJ135" s="92">
        <f>SUM(AJ133:AJ134)</f>
        <v>-3.8198100000000075</v>
      </c>
      <c r="AK135" s="92">
        <f>SUM(AK133:AK134)</f>
        <v>-166.17516000000015</v>
      </c>
      <c r="AL135" s="92">
        <f>SUM(AL133:AL134)</f>
        <v>22.474029999999907</v>
      </c>
      <c r="AM135" s="92">
        <f>SUM(AM133:AM134)</f>
        <v>232.79306</v>
      </c>
      <c r="AN135" s="92">
        <f>SUM(AN133:AN134)</f>
        <v>-220.01514999999978</v>
      </c>
      <c r="AO135" s="92">
        <f>SUM(AO133:AO134)</f>
        <v>102.31717999999987</v>
      </c>
      <c r="AP135" s="91"/>
      <c r="AQ135" s="91"/>
      <c r="AR135" s="91"/>
    </row>
    <row r="138" spans="10:44" x14ac:dyDescent="0.2">
      <c r="J138" s="90"/>
    </row>
    <row r="139" spans="10:44" x14ac:dyDescent="0.2">
      <c r="J139" s="90"/>
    </row>
    <row r="140" spans="10:44" x14ac:dyDescent="0.2">
      <c r="J140" s="90"/>
    </row>
    <row r="141" spans="10:44" x14ac:dyDescent="0.2">
      <c r="J141" s="90"/>
    </row>
    <row r="142" spans="10:44" x14ac:dyDescent="0.2">
      <c r="J142" s="90"/>
    </row>
    <row r="143" spans="10:44" x14ac:dyDescent="0.2">
      <c r="J143" s="90"/>
    </row>
    <row r="144" spans="10:44" x14ac:dyDescent="0.2">
      <c r="J144" s="90"/>
    </row>
    <row r="145" spans="10:10" x14ac:dyDescent="0.2">
      <c r="J145" s="90"/>
    </row>
    <row r="146" spans="10:10" x14ac:dyDescent="0.2">
      <c r="J146" s="90"/>
    </row>
    <row r="147" spans="10:10" x14ac:dyDescent="0.2">
      <c r="J147" s="90"/>
    </row>
    <row r="148" spans="10:10" x14ac:dyDescent="0.2">
      <c r="J148" s="90"/>
    </row>
    <row r="149" spans="10:10" x14ac:dyDescent="0.2">
      <c r="J149" s="90"/>
    </row>
    <row r="150" spans="10:10" x14ac:dyDescent="0.2">
      <c r="J150" s="90"/>
    </row>
    <row r="151" spans="10:10" x14ac:dyDescent="0.2">
      <c r="J151" s="90"/>
    </row>
    <row r="152" spans="10:10" x14ac:dyDescent="0.2">
      <c r="J152" s="90"/>
    </row>
    <row r="153" spans="10:10" x14ac:dyDescent="0.2">
      <c r="J153" s="90"/>
    </row>
    <row r="154" spans="10:10" x14ac:dyDescent="0.2">
      <c r="J154" s="90"/>
    </row>
    <row r="155" spans="10:10" ht="11.25" customHeight="1" x14ac:dyDescent="0.2"/>
    <row r="156" spans="10:10" ht="11.25" customHeight="1" x14ac:dyDescent="0.3">
      <c r="J156" s="89"/>
    </row>
    <row r="157" spans="10:10" ht="11.25" customHeight="1" x14ac:dyDescent="0.3">
      <c r="J157" s="89"/>
    </row>
    <row r="158" spans="10:10" ht="11.25" customHeight="1" x14ac:dyDescent="0.3">
      <c r="J158" s="89"/>
    </row>
    <row r="159" spans="10:10" ht="11.25" customHeight="1" x14ac:dyDescent="0.3">
      <c r="J159" s="89"/>
    </row>
    <row r="160" spans="10:10" ht="11.25" customHeight="1" x14ac:dyDescent="0.3">
      <c r="J160" s="89"/>
    </row>
    <row r="161" spans="10:10" ht="11.25" customHeight="1" x14ac:dyDescent="0.3">
      <c r="J161" s="89"/>
    </row>
    <row r="162" spans="10:10" ht="11.25" customHeight="1" x14ac:dyDescent="0.3">
      <c r="J162" s="89"/>
    </row>
    <row r="163" spans="10:10" ht="11.25" customHeight="1" x14ac:dyDescent="0.3">
      <c r="J163" s="89"/>
    </row>
    <row r="164" spans="10:10" ht="11.25" customHeight="1" x14ac:dyDescent="0.3">
      <c r="J164" s="89"/>
    </row>
    <row r="165" spans="10:10" ht="11.25" customHeight="1" x14ac:dyDescent="0.3">
      <c r="J165" s="89"/>
    </row>
    <row r="166" spans="10:10" ht="11.25" customHeight="1" x14ac:dyDescent="0.3">
      <c r="J166" s="89"/>
    </row>
    <row r="167" spans="10:10" ht="11.25" customHeight="1" x14ac:dyDescent="0.3">
      <c r="J167" s="89"/>
    </row>
    <row r="168" spans="10:10" ht="11.25" customHeight="1" x14ac:dyDescent="0.3">
      <c r="J168" s="89"/>
    </row>
    <row r="169" spans="10:10" ht="11.25" customHeight="1" x14ac:dyDescent="0.3">
      <c r="J169" s="89"/>
    </row>
    <row r="170" spans="10:10" ht="11.25" customHeight="1" x14ac:dyDescent="0.3">
      <c r="J170" s="89"/>
    </row>
    <row r="171" spans="10:10" ht="11.25" customHeight="1" x14ac:dyDescent="0.3">
      <c r="J171" s="89"/>
    </row>
    <row r="172" spans="10:10" ht="11.25" customHeight="1" x14ac:dyDescent="0.3">
      <c r="J172" s="89"/>
    </row>
    <row r="173" spans="10:10" ht="11.25" customHeight="1" x14ac:dyDescent="0.3">
      <c r="J173" s="89"/>
    </row>
    <row r="174" spans="10:10" ht="11.25" customHeight="1" x14ac:dyDescent="0.3">
      <c r="J174" s="89"/>
    </row>
    <row r="175" spans="10:10" ht="15" customHeight="1" x14ac:dyDescent="0.3">
      <c r="J175" s="89"/>
    </row>
    <row r="176" spans="10:10" ht="14" x14ac:dyDescent="0.3">
      <c r="J176" s="89"/>
    </row>
    <row r="177" spans="10:10" ht="14" x14ac:dyDescent="0.3">
      <c r="J177" s="89"/>
    </row>
    <row r="178" spans="10:10" ht="14" x14ac:dyDescent="0.3">
      <c r="J178" s="89"/>
    </row>
    <row r="179" spans="10:10" ht="14" x14ac:dyDescent="0.3">
      <c r="J179" s="89"/>
    </row>
    <row r="180" spans="10:10" ht="14" x14ac:dyDescent="0.3">
      <c r="J180" s="89"/>
    </row>
    <row r="181" spans="10:10" ht="14" x14ac:dyDescent="0.3">
      <c r="J181" s="89"/>
    </row>
    <row r="182" spans="10:10" ht="14" x14ac:dyDescent="0.3">
      <c r="J182" s="89"/>
    </row>
    <row r="183" spans="10:10" ht="14" x14ac:dyDescent="0.3">
      <c r="J183" s="89"/>
    </row>
    <row r="184" spans="10:10" ht="14" x14ac:dyDescent="0.3">
      <c r="J184" s="89"/>
    </row>
    <row r="185" spans="10:10" ht="14" x14ac:dyDescent="0.3">
      <c r="J185" s="89"/>
    </row>
    <row r="186" spans="10:10" ht="14" x14ac:dyDescent="0.3">
      <c r="J186" s="89"/>
    </row>
    <row r="187" spans="10:10" ht="14" x14ac:dyDescent="0.3">
      <c r="J187" s="89"/>
    </row>
    <row r="188" spans="10:10" ht="14" x14ac:dyDescent="0.3">
      <c r="J188" s="89"/>
    </row>
    <row r="189" spans="10:10" ht="14" x14ac:dyDescent="0.3">
      <c r="J189" s="89"/>
    </row>
    <row r="190" spans="10:10" ht="14" x14ac:dyDescent="0.3">
      <c r="J190" s="89"/>
    </row>
    <row r="191" spans="10:10" ht="14" x14ac:dyDescent="0.3">
      <c r="J191" s="89"/>
    </row>
    <row r="192" spans="10:10" ht="11.25" customHeight="1" x14ac:dyDescent="0.3">
      <c r="J192" s="89"/>
    </row>
    <row r="193" spans="10:10" ht="11.25" customHeight="1" x14ac:dyDescent="0.3">
      <c r="J193" s="89"/>
    </row>
    <row r="194" spans="10:10" ht="11.25" customHeight="1" x14ac:dyDescent="0.3">
      <c r="J194" s="89"/>
    </row>
    <row r="195" spans="10:10" ht="11.25" customHeight="1" x14ac:dyDescent="0.3">
      <c r="J195" s="89"/>
    </row>
    <row r="196" spans="10:10" ht="11.25" customHeight="1" x14ac:dyDescent="0.3">
      <c r="J196" s="89"/>
    </row>
    <row r="197" spans="10:10" ht="11.25" customHeight="1" x14ac:dyDescent="0.3">
      <c r="J197" s="89"/>
    </row>
    <row r="198" spans="10:10" ht="11.25" customHeight="1" x14ac:dyDescent="0.3">
      <c r="J198" s="89"/>
    </row>
    <row r="199" spans="10:10" ht="11.25" customHeight="1" x14ac:dyDescent="0.3">
      <c r="J199" s="89"/>
    </row>
    <row r="200" spans="10:10" ht="11.25" customHeight="1" x14ac:dyDescent="0.3">
      <c r="J200" s="89"/>
    </row>
    <row r="201" spans="10:10" ht="11.25" customHeight="1" x14ac:dyDescent="0.3">
      <c r="J201" s="89"/>
    </row>
    <row r="202" spans="10:10" ht="11.25" customHeight="1" x14ac:dyDescent="0.3">
      <c r="J202" s="89"/>
    </row>
    <row r="203" spans="10:10" ht="11.25" customHeight="1" x14ac:dyDescent="0.3">
      <c r="J203" s="89"/>
    </row>
    <row r="204" spans="10:10" ht="11.25" customHeight="1" x14ac:dyDescent="0.3">
      <c r="J204" s="89"/>
    </row>
    <row r="205" spans="10:10" ht="14" x14ac:dyDescent="0.3">
      <c r="J205" s="89"/>
    </row>
    <row r="206" spans="10:10" ht="14" x14ac:dyDescent="0.3">
      <c r="J206" s="89"/>
    </row>
    <row r="207" spans="10:10" ht="14" x14ac:dyDescent="0.3">
      <c r="J207" s="89"/>
    </row>
    <row r="208" spans="10:10" ht="14" x14ac:dyDescent="0.3">
      <c r="J208" s="89"/>
    </row>
    <row r="209" spans="10:10" ht="14" x14ac:dyDescent="0.3">
      <c r="J209" s="89"/>
    </row>
    <row r="210" spans="10:10" ht="14" x14ac:dyDescent="0.3">
      <c r="J210" s="89"/>
    </row>
    <row r="211" spans="10:10" ht="14" x14ac:dyDescent="0.3">
      <c r="J211" s="89"/>
    </row>
    <row r="212" spans="10:10" ht="14" x14ac:dyDescent="0.3">
      <c r="J212" s="89"/>
    </row>
    <row r="213" spans="10:10" ht="14" x14ac:dyDescent="0.3">
      <c r="J213" s="89"/>
    </row>
    <row r="214" spans="10:10" ht="14" x14ac:dyDescent="0.3">
      <c r="J214" s="89"/>
    </row>
    <row r="215" spans="10:10" ht="14" x14ac:dyDescent="0.3">
      <c r="J215" s="89"/>
    </row>
    <row r="216" spans="10:10" ht="14" x14ac:dyDescent="0.3">
      <c r="J216" s="89"/>
    </row>
    <row r="217" spans="10:10" ht="14" x14ac:dyDescent="0.3">
      <c r="J217" s="89"/>
    </row>
    <row r="218" spans="10:10" ht="14" x14ac:dyDescent="0.3">
      <c r="J218" s="89"/>
    </row>
    <row r="219" spans="10:10" ht="14" x14ac:dyDescent="0.3">
      <c r="J219" s="89"/>
    </row>
    <row r="220" spans="10:10" ht="14" x14ac:dyDescent="0.3">
      <c r="J220" s="89"/>
    </row>
    <row r="221" spans="10:10" ht="14" x14ac:dyDescent="0.3">
      <c r="J221" s="89"/>
    </row>
    <row r="222" spans="10:10" ht="14" x14ac:dyDescent="0.3">
      <c r="J222" s="89"/>
    </row>
    <row r="223" spans="10:10" ht="14" x14ac:dyDescent="0.3">
      <c r="J223" s="89"/>
    </row>
    <row r="224" spans="10:10" ht="14" x14ac:dyDescent="0.3">
      <c r="J224" s="89"/>
    </row>
    <row r="225" spans="10:10" ht="14" x14ac:dyDescent="0.3">
      <c r="J225" s="89"/>
    </row>
    <row r="226" spans="10:10" ht="14" x14ac:dyDescent="0.3">
      <c r="J226" s="89"/>
    </row>
    <row r="227" spans="10:10" ht="14" x14ac:dyDescent="0.3">
      <c r="J227" s="89"/>
    </row>
    <row r="228" spans="10:10" ht="14" x14ac:dyDescent="0.3">
      <c r="J228" s="89"/>
    </row>
    <row r="229" spans="10:10" ht="14" x14ac:dyDescent="0.3">
      <c r="J229" s="89"/>
    </row>
    <row r="230" spans="10:10" ht="14" x14ac:dyDescent="0.3">
      <c r="J230" s="89"/>
    </row>
    <row r="231" spans="10:10" ht="14" x14ac:dyDescent="0.3">
      <c r="J231" s="89"/>
    </row>
    <row r="232" spans="10:10" ht="14" x14ac:dyDescent="0.3">
      <c r="J232" s="89"/>
    </row>
    <row r="233" spans="10:10" ht="14" x14ac:dyDescent="0.3">
      <c r="J233" s="89"/>
    </row>
    <row r="234" spans="10:10" ht="14" x14ac:dyDescent="0.3">
      <c r="J234" s="89"/>
    </row>
    <row r="235" spans="10:10" ht="14" x14ac:dyDescent="0.3">
      <c r="J235" s="89"/>
    </row>
    <row r="236" spans="10:10" ht="14" x14ac:dyDescent="0.3">
      <c r="J236" s="89"/>
    </row>
    <row r="237" spans="10:10" ht="14" x14ac:dyDescent="0.3">
      <c r="J237" s="89"/>
    </row>
    <row r="238" spans="10:10" ht="14" x14ac:dyDescent="0.3">
      <c r="J238" s="89"/>
    </row>
    <row r="239" spans="10:10" ht="14" x14ac:dyDescent="0.3">
      <c r="J239" s="89"/>
    </row>
    <row r="240" spans="10:10" ht="14" x14ac:dyDescent="0.3">
      <c r="J240" s="89"/>
    </row>
    <row r="241" spans="10:10" ht="14" x14ac:dyDescent="0.3">
      <c r="J241" s="89"/>
    </row>
    <row r="242" spans="10:10" ht="14" x14ac:dyDescent="0.3">
      <c r="J242" s="89"/>
    </row>
    <row r="243" spans="10:10" ht="14" x14ac:dyDescent="0.3">
      <c r="J243" s="89"/>
    </row>
    <row r="244" spans="10:10" ht="14" x14ac:dyDescent="0.3">
      <c r="J244" s="89"/>
    </row>
    <row r="245" spans="10:10" ht="14" x14ac:dyDescent="0.3">
      <c r="J245" s="89"/>
    </row>
    <row r="246" spans="10:10" ht="14" x14ac:dyDescent="0.3">
      <c r="J246" s="89"/>
    </row>
    <row r="247" spans="10:10" ht="14" x14ac:dyDescent="0.3">
      <c r="J247" s="89"/>
    </row>
    <row r="248" spans="10:10" ht="14" x14ac:dyDescent="0.3">
      <c r="J248" s="89"/>
    </row>
    <row r="249" spans="10:10" ht="14" x14ac:dyDescent="0.3">
      <c r="J249" s="89"/>
    </row>
    <row r="250" spans="10:10" ht="14" x14ac:dyDescent="0.3">
      <c r="J250" s="89"/>
    </row>
    <row r="251" spans="10:10" ht="14" x14ac:dyDescent="0.3">
      <c r="J251" s="89"/>
    </row>
    <row r="252" spans="10:10" ht="14" x14ac:dyDescent="0.3">
      <c r="J252" s="89"/>
    </row>
    <row r="253" spans="10:10" ht="14" x14ac:dyDescent="0.3">
      <c r="J253" s="89"/>
    </row>
    <row r="254" spans="10:10" ht="14" x14ac:dyDescent="0.3">
      <c r="J254" s="89"/>
    </row>
    <row r="255" spans="10:10" ht="14" x14ac:dyDescent="0.3">
      <c r="J255" s="89"/>
    </row>
    <row r="256" spans="10:10" ht="14" x14ac:dyDescent="0.3">
      <c r="J256" s="89"/>
    </row>
    <row r="257" spans="10:10" ht="14" x14ac:dyDescent="0.3">
      <c r="J257" s="89"/>
    </row>
    <row r="258" spans="10:10" ht="14" x14ac:dyDescent="0.3">
      <c r="J258" s="89"/>
    </row>
    <row r="259" spans="10:10" ht="14" x14ac:dyDescent="0.3">
      <c r="J259" s="89"/>
    </row>
    <row r="260" spans="10:10" ht="14" x14ac:dyDescent="0.3">
      <c r="J260" s="89"/>
    </row>
    <row r="261" spans="10:10" ht="14" x14ac:dyDescent="0.3">
      <c r="J261" s="89"/>
    </row>
    <row r="262" spans="10:10" ht="14" x14ac:dyDescent="0.3">
      <c r="J262" s="89"/>
    </row>
    <row r="263" spans="10:10" ht="14" x14ac:dyDescent="0.3">
      <c r="J263" s="89"/>
    </row>
    <row r="264" spans="10:10" ht="14" x14ac:dyDescent="0.3">
      <c r="J264" s="89"/>
    </row>
    <row r="265" spans="10:10" ht="14" x14ac:dyDescent="0.3">
      <c r="J265" s="89"/>
    </row>
  </sheetData>
  <autoFilter ref="A1:AR116" xr:uid="{B6D9FB7D-7421-4F33-AADF-3A957A80B2B6}"/>
  <conditionalFormatting sqref="K118:AO118 K127:AO127 K131:AO131 K135:AO135">
    <cfRule type="cellIs" dxfId="3" priority="1" operator="lessThan">
      <formula>-1</formula>
    </cfRule>
    <cfRule type="cellIs" dxfId="2" priority="2" operator="greaterThan">
      <formula>1</formula>
    </cfRule>
    <cfRule type="cellIs" dxfId="1" priority="3" operator="between">
      <formula>-1</formula>
      <formula>1</formula>
    </cfRule>
  </conditionalFormatting>
  <pageMargins left="0.7" right="0.7" top="0.75" bottom="0.75" header="0.3" footer="0.3"/>
  <pageSetup orientation="portrait" horizontalDpi="1200" verticalDpi="12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F6AB7-0F26-4289-9253-8016C64BE3D9}">
  <sheetPr>
    <tabColor rgb="FF0070C0"/>
    <pageSetUpPr fitToPage="1"/>
  </sheetPr>
  <dimension ref="A1:AO98"/>
  <sheetViews>
    <sheetView showGridLines="0" view="pageBreakPreview" zoomScaleNormal="100" zoomScaleSheetLayoutView="100" workbookViewId="0">
      <pane xSplit="6" ySplit="8" topLeftCell="AB83" activePane="bottomRight" state="frozen"/>
      <selection activeCell="AQ20" sqref="AQ20"/>
      <selection pane="topRight" activeCell="AQ20" sqref="AQ20"/>
      <selection pane="bottomLeft" activeCell="AQ20" sqref="AQ20"/>
      <selection pane="bottomRight" activeCell="C2" sqref="C2"/>
    </sheetView>
  </sheetViews>
  <sheetFormatPr defaultRowHeight="10" outlineLevelRow="1" outlineLevelCol="1" x14ac:dyDescent="0.2"/>
  <cols>
    <col min="1" max="1" width="9.33203125" customWidth="1" outlineLevel="1"/>
    <col min="2" max="2" width="1.77734375" customWidth="1"/>
    <col min="3" max="3" width="30.77734375" customWidth="1"/>
    <col min="4" max="4" width="14.6640625" bestFit="1" customWidth="1"/>
    <col min="5" max="5" width="25.33203125" bestFit="1" customWidth="1"/>
    <col min="6" max="6" width="4.33203125" customWidth="1"/>
    <col min="7" max="37" width="8.109375" bestFit="1" customWidth="1" outlineLevel="1"/>
    <col min="38" max="38" width="1.77734375" customWidth="1" outlineLevel="1"/>
    <col min="39" max="41" width="8.77734375" customWidth="1"/>
    <col min="42" max="42" width="1.77734375" customWidth="1"/>
  </cols>
  <sheetData>
    <row r="1" spans="1:41" ht="10.5" x14ac:dyDescent="0.25">
      <c r="A1" s="38" t="str">
        <f>IF(ROUND(SUM(G60:AP63,G97:AP98),1)&lt;&gt;0,"NO","Yes")</f>
        <v>Yes</v>
      </c>
      <c r="C1" t="s">
        <v>451</v>
      </c>
    </row>
    <row r="2" spans="1:41" ht="10.5" x14ac:dyDescent="0.25">
      <c r="A2" s="38" t="str">
        <f>IF(COUNTIF(G60:AP63,"&gt;0.5")+COUNTIF(G60:AP63,"&lt;-0.5")&lt;1,"Yes","No")</f>
        <v>Yes</v>
      </c>
      <c r="C2" t="s">
        <v>450</v>
      </c>
    </row>
    <row r="3" spans="1:41" x14ac:dyDescent="0.2">
      <c r="A3">
        <f>2-COUNTIF(A1:A2,"Yes")</f>
        <v>0</v>
      </c>
      <c r="C3" t="s">
        <v>36</v>
      </c>
    </row>
    <row r="4" spans="1:41" x14ac:dyDescent="0.2">
      <c r="C4" t="s">
        <v>449</v>
      </c>
    </row>
    <row r="7" spans="1:41" ht="13.5" customHeight="1" x14ac:dyDescent="0.55000000000000004">
      <c r="C7" s="34" t="str">
        <f>C4</f>
        <v>Quality of Earnings Adjustments</v>
      </c>
      <c r="D7" s="31"/>
      <c r="E7" s="31"/>
      <c r="F7" s="31"/>
      <c r="G7" s="36" t="s">
        <v>32</v>
      </c>
      <c r="H7" s="36"/>
      <c r="I7" s="36"/>
      <c r="J7" s="36"/>
      <c r="K7" s="36"/>
      <c r="L7" s="36"/>
      <c r="M7" s="36"/>
      <c r="N7" s="36"/>
      <c r="O7" s="36"/>
      <c r="P7" s="36"/>
      <c r="Q7" s="36"/>
      <c r="R7" s="36"/>
      <c r="S7" s="36" t="s">
        <v>31</v>
      </c>
      <c r="T7" s="36"/>
      <c r="U7" s="36"/>
      <c r="V7" s="36"/>
      <c r="W7" s="36"/>
      <c r="X7" s="36"/>
      <c r="Y7" s="36"/>
      <c r="Z7" s="36"/>
      <c r="AA7" s="36"/>
      <c r="AB7" s="36"/>
      <c r="AC7" s="36"/>
      <c r="AD7" s="36"/>
      <c r="AE7" s="36" t="s">
        <v>35</v>
      </c>
      <c r="AF7" s="36"/>
      <c r="AG7" s="36"/>
      <c r="AH7" s="36"/>
      <c r="AI7" s="36"/>
      <c r="AJ7" s="36"/>
      <c r="AK7" s="36"/>
      <c r="AL7" s="31"/>
      <c r="AM7" s="31"/>
      <c r="AN7" s="32"/>
      <c r="AO7" s="32">
        <f>AK8</f>
        <v>45961</v>
      </c>
    </row>
    <row r="8" spans="1:41" ht="10.5" x14ac:dyDescent="0.25">
      <c r="C8" s="34" t="str">
        <f>C3</f>
        <v>($ in 000s)</v>
      </c>
      <c r="D8" s="34" t="s">
        <v>438</v>
      </c>
      <c r="E8" s="34" t="s">
        <v>422</v>
      </c>
      <c r="F8" s="34" t="s">
        <v>33</v>
      </c>
      <c r="G8" s="32">
        <f>TB!K1</f>
        <v>45046</v>
      </c>
      <c r="H8" s="32">
        <f>TB!L1</f>
        <v>45077</v>
      </c>
      <c r="I8" s="32">
        <f>TB!M1</f>
        <v>45107</v>
      </c>
      <c r="J8" s="32">
        <f>TB!N1</f>
        <v>45138</v>
      </c>
      <c r="K8" s="32">
        <f>TB!O1</f>
        <v>45169</v>
      </c>
      <c r="L8" s="32">
        <f>TB!P1</f>
        <v>45199</v>
      </c>
      <c r="M8" s="32">
        <f>TB!Q1</f>
        <v>45230</v>
      </c>
      <c r="N8" s="32">
        <f>TB!R1</f>
        <v>45260</v>
      </c>
      <c r="O8" s="32">
        <f>TB!S1</f>
        <v>45291</v>
      </c>
      <c r="P8" s="32">
        <f>TB!T1</f>
        <v>45322</v>
      </c>
      <c r="Q8" s="32">
        <f>TB!U1</f>
        <v>45351</v>
      </c>
      <c r="R8" s="32">
        <f>TB!V1</f>
        <v>45382</v>
      </c>
      <c r="S8" s="32">
        <f>TB!W1</f>
        <v>45412</v>
      </c>
      <c r="T8" s="32">
        <f>TB!X1</f>
        <v>45443</v>
      </c>
      <c r="U8" s="32">
        <f>TB!Y1</f>
        <v>45473</v>
      </c>
      <c r="V8" s="32">
        <f>TB!Z1</f>
        <v>45504</v>
      </c>
      <c r="W8" s="32">
        <f>TB!AA1</f>
        <v>45535</v>
      </c>
      <c r="X8" s="32">
        <f>TB!AB1</f>
        <v>45565</v>
      </c>
      <c r="Y8" s="32">
        <f>TB!AC1</f>
        <v>45596</v>
      </c>
      <c r="Z8" s="32">
        <f>TB!AD1</f>
        <v>45626</v>
      </c>
      <c r="AA8" s="32">
        <f>TB!AE1</f>
        <v>45657</v>
      </c>
      <c r="AB8" s="32">
        <f>TB!AF1</f>
        <v>45688</v>
      </c>
      <c r="AC8" s="32">
        <f>TB!AG1</f>
        <v>45716</v>
      </c>
      <c r="AD8" s="32">
        <f>TB!AH1</f>
        <v>45747</v>
      </c>
      <c r="AE8" s="32">
        <f>TB!AI1</f>
        <v>45777</v>
      </c>
      <c r="AF8" s="32">
        <f>TB!AJ1</f>
        <v>45808</v>
      </c>
      <c r="AG8" s="32">
        <f>TB!AK1</f>
        <v>45838</v>
      </c>
      <c r="AH8" s="32">
        <f>TB!AL1</f>
        <v>45869</v>
      </c>
      <c r="AI8" s="32">
        <f>TB!AM1</f>
        <v>45900</v>
      </c>
      <c r="AJ8" s="32">
        <f>TB!AN1</f>
        <v>45930</v>
      </c>
      <c r="AK8" s="32">
        <f>TB!AO1</f>
        <v>45961</v>
      </c>
      <c r="AL8" s="31"/>
      <c r="AM8" s="32" t="str">
        <f>'PL1'!AK8</f>
        <v>FY24</v>
      </c>
      <c r="AN8" s="32" t="str">
        <f>'PL1'!AL8</f>
        <v>FY25</v>
      </c>
      <c r="AO8" s="32" t="str">
        <f>'PL1'!AM8</f>
        <v>TTM26</v>
      </c>
    </row>
    <row r="9" spans="1:41" ht="11.25" customHeight="1" outlineLevel="1" x14ac:dyDescent="0.2">
      <c r="C9" t="s">
        <v>448</v>
      </c>
      <c r="D9" t="s">
        <v>50</v>
      </c>
      <c r="E9" t="s">
        <v>118</v>
      </c>
      <c r="G9" s="29">
        <v>0</v>
      </c>
      <c r="H9" s="29">
        <v>0</v>
      </c>
      <c r="I9" s="29">
        <v>0</v>
      </c>
      <c r="J9" s="29">
        <v>0</v>
      </c>
      <c r="K9" s="29">
        <v>0</v>
      </c>
      <c r="L9" s="29">
        <v>0</v>
      </c>
      <c r="M9" s="29">
        <v>0</v>
      </c>
      <c r="N9" s="29">
        <v>0</v>
      </c>
      <c r="O9" s="29">
        <v>0</v>
      </c>
      <c r="P9" s="29">
        <v>0</v>
      </c>
      <c r="Q9" s="29">
        <v>0</v>
      </c>
      <c r="R9" s="29">
        <v>0</v>
      </c>
      <c r="S9" s="29">
        <v>0</v>
      </c>
      <c r="T9" s="29">
        <v>0</v>
      </c>
      <c r="U9" s="29">
        <v>0</v>
      </c>
      <c r="V9" s="29">
        <v>0</v>
      </c>
      <c r="W9" s="29">
        <v>0</v>
      </c>
      <c r="X9" s="29">
        <v>0</v>
      </c>
      <c r="Y9" s="29">
        <v>0</v>
      </c>
      <c r="Z9" s="29">
        <v>0</v>
      </c>
      <c r="AA9" s="29">
        <v>0</v>
      </c>
      <c r="AB9" s="29">
        <v>0</v>
      </c>
      <c r="AC9" s="29">
        <v>0</v>
      </c>
      <c r="AD9" s="29">
        <v>0</v>
      </c>
      <c r="AE9" s="29">
        <v>0</v>
      </c>
      <c r="AF9" s="29">
        <v>0</v>
      </c>
      <c r="AG9" s="29">
        <v>0</v>
      </c>
      <c r="AH9" s="29">
        <v>0</v>
      </c>
      <c r="AI9" s="29">
        <v>0</v>
      </c>
      <c r="AJ9" s="29">
        <v>0</v>
      </c>
      <c r="AK9" s="29">
        <v>0</v>
      </c>
      <c r="AL9" s="29"/>
      <c r="AM9" s="29">
        <f>SUM(G9:R9)</f>
        <v>0</v>
      </c>
      <c r="AN9" s="29">
        <f>SUM(S9:AD9)</f>
        <v>0</v>
      </c>
      <c r="AO9" s="29">
        <f>SUM(Z9:AK9)</f>
        <v>0</v>
      </c>
    </row>
    <row r="10" spans="1:41" ht="11.25" customHeight="1" outlineLevel="1" x14ac:dyDescent="0.2">
      <c r="C10" t="s">
        <v>447</v>
      </c>
      <c r="D10" t="s">
        <v>50</v>
      </c>
      <c r="E10" t="s">
        <v>118</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c r="AF10" s="2">
        <v>0</v>
      </c>
      <c r="AG10" s="2">
        <v>0</v>
      </c>
      <c r="AH10" s="2">
        <v>0</v>
      </c>
      <c r="AI10" s="2">
        <v>0</v>
      </c>
      <c r="AJ10" s="2">
        <v>0</v>
      </c>
      <c r="AK10" s="2">
        <v>0</v>
      </c>
      <c r="AL10" s="2"/>
      <c r="AM10" s="2">
        <f>SUM(G10:R10)</f>
        <v>0</v>
      </c>
      <c r="AN10" s="2">
        <f>SUM(S10:AD10)</f>
        <v>0</v>
      </c>
      <c r="AO10" s="2">
        <f>SUM(Z10:AK10)</f>
        <v>0</v>
      </c>
    </row>
    <row r="11" spans="1:41" ht="11.25" customHeight="1" outlineLevel="1" x14ac:dyDescent="0.2">
      <c r="C11" t="s">
        <v>246</v>
      </c>
      <c r="D11" t="s">
        <v>50</v>
      </c>
      <c r="E11" t="s">
        <v>16</v>
      </c>
      <c r="G11" s="2">
        <f>SUMIFS('PL2'!E:E,'PL2'!$C:$C,$C11)</f>
        <v>0</v>
      </c>
      <c r="H11" s="2">
        <f>SUMIFS('PL2'!F:F,'PL2'!$C:$C,$C11)</f>
        <v>0</v>
      </c>
      <c r="I11" s="2">
        <f>SUMIFS('PL2'!G:G,'PL2'!$C:$C,$C11)</f>
        <v>0</v>
      </c>
      <c r="J11" s="2">
        <f>SUMIFS('PL2'!H:H,'PL2'!$C:$C,$C11)</f>
        <v>0</v>
      </c>
      <c r="K11" s="2">
        <f>SUMIFS('PL2'!I:I,'PL2'!$C:$C,$C11)</f>
        <v>0</v>
      </c>
      <c r="L11" s="2">
        <f>SUMIFS('PL2'!J:J,'PL2'!$C:$C,$C11)</f>
        <v>0</v>
      </c>
      <c r="M11" s="2">
        <f>SUMIFS('PL2'!K:K,'PL2'!$C:$C,$C11)</f>
        <v>0</v>
      </c>
      <c r="N11" s="2">
        <f>SUMIFS('PL2'!L:L,'PL2'!$C:$C,$C11)</f>
        <v>0</v>
      </c>
      <c r="O11" s="2">
        <f>SUMIFS('PL2'!M:M,'PL2'!$C:$C,$C11)</f>
        <v>0</v>
      </c>
      <c r="P11" s="2">
        <f>SUMIFS('PL2'!N:N,'PL2'!$C:$C,$C11)</f>
        <v>0</v>
      </c>
      <c r="Q11" s="2">
        <f>SUMIFS('PL2'!O:O,'PL2'!$C:$C,$C11)</f>
        <v>0</v>
      </c>
      <c r="R11" s="2">
        <f>SUMIFS('PL2'!P:P,'PL2'!$C:$C,$C11)</f>
        <v>0</v>
      </c>
      <c r="S11" s="2">
        <f>SUMIFS('PL2'!Q:Q,'PL2'!$C:$C,$C11)</f>
        <v>0</v>
      </c>
      <c r="T11" s="2">
        <f>SUMIFS('PL2'!R:R,'PL2'!$C:$C,$C11)</f>
        <v>0</v>
      </c>
      <c r="U11" s="2">
        <f>SUMIFS('PL2'!S:S,'PL2'!$C:$C,$C11)</f>
        <v>0</v>
      </c>
      <c r="V11" s="2">
        <f>SUMIFS('PL2'!T:T,'PL2'!$C:$C,$C11)</f>
        <v>0</v>
      </c>
      <c r="W11" s="2">
        <f>SUMIFS('PL2'!U:U,'PL2'!$C:$C,$C11)</f>
        <v>0</v>
      </c>
      <c r="X11" s="2">
        <f>SUMIFS('PL2'!V:V,'PL2'!$C:$C,$C11)</f>
        <v>58</v>
      </c>
      <c r="Y11" s="2">
        <f>SUMIFS('PL2'!W:W,'PL2'!$C:$C,$C11)</f>
        <v>0</v>
      </c>
      <c r="Z11" s="2">
        <f>SUMIFS('PL2'!X:X,'PL2'!$C:$C,$C11)</f>
        <v>0</v>
      </c>
      <c r="AA11" s="2">
        <f>SUMIFS('PL2'!Y:Y,'PL2'!$C:$C,$C11)</f>
        <v>120.971</v>
      </c>
      <c r="AB11" s="2">
        <f>SUMIFS('PL2'!Z:Z,'PL2'!$C:$C,$C11)</f>
        <v>0</v>
      </c>
      <c r="AC11" s="2">
        <f>SUMIFS('PL2'!AA:AA,'PL2'!$C:$C,$C11)</f>
        <v>0</v>
      </c>
      <c r="AD11" s="2">
        <f>SUMIFS('PL2'!AB:AB,'PL2'!$C:$C,$C11)</f>
        <v>0</v>
      </c>
      <c r="AE11" s="2">
        <f>SUMIFS('PL2'!AC:AC,'PL2'!$C:$C,$C11)</f>
        <v>29</v>
      </c>
      <c r="AF11" s="2">
        <f>SUMIFS('PL2'!AD:AD,'PL2'!$C:$C,$C11)</f>
        <v>0</v>
      </c>
      <c r="AG11" s="2">
        <f>SUMIFS('PL2'!AE:AE,'PL2'!$C:$C,$C11)</f>
        <v>0</v>
      </c>
      <c r="AH11" s="2">
        <f>SUMIFS('PL2'!AF:AF,'PL2'!$C:$C,$C11)</f>
        <v>0</v>
      </c>
      <c r="AI11" s="2">
        <f>SUMIFS('PL2'!AG:AG,'PL2'!$C:$C,$C11)</f>
        <v>0</v>
      </c>
      <c r="AJ11" s="2">
        <f>SUMIFS('PL2'!AH:AH,'PL2'!$C:$C,$C11)</f>
        <v>15.176</v>
      </c>
      <c r="AK11" s="2">
        <f>SUMIFS('PL2'!AI:AI,'PL2'!$C:$C,$C11)</f>
        <v>0</v>
      </c>
      <c r="AL11" s="2"/>
      <c r="AM11" s="2">
        <f>SUM(G11:R11)</f>
        <v>0</v>
      </c>
      <c r="AN11" s="2">
        <f>SUM(S11:AD11)</f>
        <v>178.971</v>
      </c>
      <c r="AO11" s="2">
        <f>SUM(Z11:AK11)</f>
        <v>165.14699999999999</v>
      </c>
    </row>
    <row r="12" spans="1:41" ht="11.25" customHeight="1" outlineLevel="1" x14ac:dyDescent="0.2">
      <c r="C12" t="s">
        <v>245</v>
      </c>
      <c r="D12" t="s">
        <v>50</v>
      </c>
      <c r="E12" t="s">
        <v>16</v>
      </c>
      <c r="G12" s="2">
        <f>SUMIFS('PL2'!E:E,'PL2'!$C:$C,$C12)</f>
        <v>0</v>
      </c>
      <c r="H12" s="2">
        <f>SUMIFS('PL2'!F:F,'PL2'!$C:$C,$C12)</f>
        <v>0</v>
      </c>
      <c r="I12" s="2">
        <f>SUMIFS('PL2'!G:G,'PL2'!$C:$C,$C12)</f>
        <v>0.375</v>
      </c>
      <c r="J12" s="2">
        <f>SUMIFS('PL2'!H:H,'PL2'!$C:$C,$C12)</f>
        <v>0</v>
      </c>
      <c r="K12" s="2">
        <f>SUMIFS('PL2'!I:I,'PL2'!$C:$C,$C12)</f>
        <v>0</v>
      </c>
      <c r="L12" s="2">
        <f>SUMIFS('PL2'!J:J,'PL2'!$C:$C,$C12)</f>
        <v>0.375</v>
      </c>
      <c r="M12" s="2">
        <f>SUMIFS('PL2'!K:K,'PL2'!$C:$C,$C12)</f>
        <v>0</v>
      </c>
      <c r="N12" s="2">
        <f>SUMIFS('PL2'!L:L,'PL2'!$C:$C,$C12)</f>
        <v>0</v>
      </c>
      <c r="O12" s="2">
        <f>SUMIFS('PL2'!M:M,'PL2'!$C:$C,$C12)</f>
        <v>0.375</v>
      </c>
      <c r="P12" s="2">
        <f>SUMIFS('PL2'!N:N,'PL2'!$C:$C,$C12)</f>
        <v>0</v>
      </c>
      <c r="Q12" s="2">
        <f>SUMIFS('PL2'!O:O,'PL2'!$C:$C,$C12)</f>
        <v>0</v>
      </c>
      <c r="R12" s="2">
        <f>SUMIFS('PL2'!P:P,'PL2'!$C:$C,$C12)</f>
        <v>0.375</v>
      </c>
      <c r="S12" s="2">
        <f>SUMIFS('PL2'!Q:Q,'PL2'!$C:$C,$C12)</f>
        <v>0</v>
      </c>
      <c r="T12" s="2">
        <f>SUMIFS('PL2'!R:R,'PL2'!$C:$C,$C12)</f>
        <v>0</v>
      </c>
      <c r="U12" s="2">
        <f>SUMIFS('PL2'!S:S,'PL2'!$C:$C,$C12)</f>
        <v>0</v>
      </c>
      <c r="V12" s="2">
        <f>SUMIFS('PL2'!T:T,'PL2'!$C:$C,$C12)</f>
        <v>0</v>
      </c>
      <c r="W12" s="2">
        <f>SUMIFS('PL2'!U:U,'PL2'!$C:$C,$C12)</f>
        <v>0</v>
      </c>
      <c r="X12" s="2">
        <f>SUMIFS('PL2'!V:V,'PL2'!$C:$C,$C12)</f>
        <v>1.1299999999999999</v>
      </c>
      <c r="Y12" s="2">
        <f>SUMIFS('PL2'!W:W,'PL2'!$C:$C,$C12)</f>
        <v>0</v>
      </c>
      <c r="Z12" s="2">
        <f>SUMIFS('PL2'!X:X,'PL2'!$C:$C,$C12)</f>
        <v>0</v>
      </c>
      <c r="AA12" s="2">
        <f>SUMIFS('PL2'!Y:Y,'PL2'!$C:$C,$C12)</f>
        <v>1.3979999999999999</v>
      </c>
      <c r="AB12" s="2">
        <f>SUMIFS('PL2'!Z:Z,'PL2'!$C:$C,$C12)</f>
        <v>0</v>
      </c>
      <c r="AC12" s="2">
        <f>SUMIFS('PL2'!AA:AA,'PL2'!$C:$C,$C12)</f>
        <v>0</v>
      </c>
      <c r="AD12" s="2">
        <f>SUMIFS('PL2'!AB:AB,'PL2'!$C:$C,$C12)</f>
        <v>0.56499999999999995</v>
      </c>
      <c r="AE12" s="2">
        <f>SUMIFS('PL2'!AC:AC,'PL2'!$C:$C,$C12)</f>
        <v>0</v>
      </c>
      <c r="AF12" s="2">
        <f>SUMIFS('PL2'!AD:AD,'PL2'!$C:$C,$C12)</f>
        <v>0</v>
      </c>
      <c r="AG12" s="2">
        <f>SUMIFS('PL2'!AE:AE,'PL2'!$C:$C,$C12)</f>
        <v>0</v>
      </c>
      <c r="AH12" s="2">
        <f>SUMIFS('PL2'!AF:AF,'PL2'!$C:$C,$C12)</f>
        <v>0</v>
      </c>
      <c r="AI12" s="2">
        <f>SUMIFS('PL2'!AG:AG,'PL2'!$C:$C,$C12)</f>
        <v>0</v>
      </c>
      <c r="AJ12" s="2">
        <f>SUMIFS('PL2'!AH:AH,'PL2'!$C:$C,$C12)</f>
        <v>0</v>
      </c>
      <c r="AK12" s="2">
        <f>SUMIFS('PL2'!AI:AI,'PL2'!$C:$C,$C12)</f>
        <v>0</v>
      </c>
      <c r="AL12" s="2"/>
      <c r="AM12" s="2">
        <f>SUM(G12:R12)</f>
        <v>1.5</v>
      </c>
      <c r="AN12" s="2">
        <f>SUM(S12:AD12)</f>
        <v>3.0929999999999995</v>
      </c>
      <c r="AO12" s="2">
        <f>SUM(Z12:AK12)</f>
        <v>1.9629999999999999</v>
      </c>
    </row>
    <row r="13" spans="1:41" ht="11.25" customHeight="1" outlineLevel="1" x14ac:dyDescent="0.2">
      <c r="C13" t="s">
        <v>244</v>
      </c>
      <c r="D13" t="s">
        <v>50</v>
      </c>
      <c r="E13" t="s">
        <v>15</v>
      </c>
      <c r="G13" s="2">
        <f>SUMIFS('PL2'!E:E,'PL2'!$C:$C,$C13)</f>
        <v>0</v>
      </c>
      <c r="H13" s="2">
        <f>SUMIFS('PL2'!F:F,'PL2'!$C:$C,$C13)</f>
        <v>0</v>
      </c>
      <c r="I13" s="2">
        <f>SUMIFS('PL2'!G:G,'PL2'!$C:$C,$C13)</f>
        <v>0</v>
      </c>
      <c r="J13" s="2">
        <f>SUMIFS('PL2'!H:H,'PL2'!$C:$C,$C13)</f>
        <v>0</v>
      </c>
      <c r="K13" s="2">
        <f>SUMIFS('PL2'!I:I,'PL2'!$C:$C,$C13)</f>
        <v>0</v>
      </c>
      <c r="L13" s="2">
        <f>SUMIFS('PL2'!J:J,'PL2'!$C:$C,$C13)</f>
        <v>0</v>
      </c>
      <c r="M13" s="2">
        <f>SUMIFS('PL2'!K:K,'PL2'!$C:$C,$C13)</f>
        <v>0</v>
      </c>
      <c r="N13" s="2">
        <f>SUMIFS('PL2'!L:L,'PL2'!$C:$C,$C13)</f>
        <v>0</v>
      </c>
      <c r="O13" s="2">
        <f>SUMIFS('PL2'!M:M,'PL2'!$C:$C,$C13)</f>
        <v>0</v>
      </c>
      <c r="P13" s="2">
        <f>SUMIFS('PL2'!N:N,'PL2'!$C:$C,$C13)</f>
        <v>0</v>
      </c>
      <c r="Q13" s="2">
        <f>SUMIFS('PL2'!O:O,'PL2'!$C:$C,$C13)</f>
        <v>0</v>
      </c>
      <c r="R13" s="2">
        <f>SUMIFS('PL2'!P:P,'PL2'!$C:$C,$C13)</f>
        <v>4.4480000000000004</v>
      </c>
      <c r="S13" s="2">
        <f>SUMIFS('PL2'!Q:Q,'PL2'!$C:$C,$C13)</f>
        <v>0</v>
      </c>
      <c r="T13" s="2">
        <f>SUMIFS('PL2'!R:R,'PL2'!$C:$C,$C13)</f>
        <v>0</v>
      </c>
      <c r="U13" s="2">
        <f>SUMIFS('PL2'!S:S,'PL2'!$C:$C,$C13)</f>
        <v>0</v>
      </c>
      <c r="V13" s="2">
        <f>SUMIFS('PL2'!T:T,'PL2'!$C:$C,$C13)</f>
        <v>0</v>
      </c>
      <c r="W13" s="2">
        <f>SUMIFS('PL2'!U:U,'PL2'!$C:$C,$C13)</f>
        <v>0</v>
      </c>
      <c r="X13" s="2">
        <f>SUMIFS('PL2'!V:V,'PL2'!$C:$C,$C13)</f>
        <v>0</v>
      </c>
      <c r="Y13" s="2">
        <f>SUMIFS('PL2'!W:W,'PL2'!$C:$C,$C13)</f>
        <v>0</v>
      </c>
      <c r="Z13" s="2">
        <f>SUMIFS('PL2'!X:X,'PL2'!$C:$C,$C13)</f>
        <v>0</v>
      </c>
      <c r="AA13" s="2">
        <f>SUMIFS('PL2'!Y:Y,'PL2'!$C:$C,$C13)</f>
        <v>0</v>
      </c>
      <c r="AB13" s="2">
        <f>SUMIFS('PL2'!Z:Z,'PL2'!$C:$C,$C13)</f>
        <v>0</v>
      </c>
      <c r="AC13" s="2">
        <f>SUMIFS('PL2'!AA:AA,'PL2'!$C:$C,$C13)</f>
        <v>0</v>
      </c>
      <c r="AD13" s="2">
        <f>SUMIFS('PL2'!AB:AB,'PL2'!$C:$C,$C13)</f>
        <v>3.516</v>
      </c>
      <c r="AE13" s="2">
        <f>SUMIFS('PL2'!AC:AC,'PL2'!$C:$C,$C13)</f>
        <v>0</v>
      </c>
      <c r="AF13" s="2">
        <f>SUMIFS('PL2'!AD:AD,'PL2'!$C:$C,$C13)</f>
        <v>0</v>
      </c>
      <c r="AG13" s="2">
        <f>SUMIFS('PL2'!AE:AE,'PL2'!$C:$C,$C13)</f>
        <v>0</v>
      </c>
      <c r="AH13" s="2">
        <f>SUMIFS('PL2'!AF:AF,'PL2'!$C:$C,$C13)</f>
        <v>0</v>
      </c>
      <c r="AI13" s="2">
        <f>SUMIFS('PL2'!AG:AG,'PL2'!$C:$C,$C13)</f>
        <v>0</v>
      </c>
      <c r="AJ13" s="2">
        <f>SUMIFS('PL2'!AH:AH,'PL2'!$C:$C,$C13)</f>
        <v>0</v>
      </c>
      <c r="AK13" s="2">
        <f>SUMIFS('PL2'!AI:AI,'PL2'!$C:$C,$C13)</f>
        <v>0</v>
      </c>
      <c r="AL13" s="2"/>
      <c r="AM13" s="2">
        <f>SUM(G13:R13)</f>
        <v>4.4480000000000004</v>
      </c>
      <c r="AN13" s="2">
        <f>SUM(S13:AD13)</f>
        <v>3.516</v>
      </c>
      <c r="AO13" s="2">
        <f>SUM(Z13:AK13)</f>
        <v>3.516</v>
      </c>
    </row>
    <row r="14" spans="1:41" ht="11.25" customHeight="1" outlineLevel="1" x14ac:dyDescent="0.2">
      <c r="C14" t="s">
        <v>446</v>
      </c>
      <c r="D14" t="s">
        <v>50</v>
      </c>
      <c r="E14" t="s">
        <v>15</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c r="AF14" s="2">
        <v>0</v>
      </c>
      <c r="AG14" s="2">
        <v>0</v>
      </c>
      <c r="AH14" s="2">
        <v>0</v>
      </c>
      <c r="AI14" s="2">
        <v>0</v>
      </c>
      <c r="AJ14" s="2">
        <v>0</v>
      </c>
      <c r="AK14" s="2">
        <v>0</v>
      </c>
      <c r="AL14" s="2"/>
      <c r="AM14" s="2">
        <f>SUM(G14:R14)</f>
        <v>0</v>
      </c>
      <c r="AN14" s="2">
        <f>SUM(S14:AD14)</f>
        <v>0</v>
      </c>
      <c r="AO14" s="2">
        <f>SUM(Z14:AK14)</f>
        <v>0</v>
      </c>
    </row>
    <row r="15" spans="1:41" ht="11.25" customHeight="1" x14ac:dyDescent="0.2">
      <c r="C15" s="28" t="s">
        <v>445</v>
      </c>
      <c r="D15" s="28"/>
      <c r="E15" s="28"/>
      <c r="F15" s="28"/>
      <c r="G15" s="26">
        <f>SUM(G9:G14)</f>
        <v>0</v>
      </c>
      <c r="H15" s="26">
        <f>SUM(H9:H14)</f>
        <v>0</v>
      </c>
      <c r="I15" s="26">
        <f>SUM(I9:I14)</f>
        <v>0.375</v>
      </c>
      <c r="J15" s="26">
        <f>SUM(J9:J14)</f>
        <v>0</v>
      </c>
      <c r="K15" s="26">
        <f>SUM(K9:K14)</f>
        <v>0</v>
      </c>
      <c r="L15" s="26">
        <f>SUM(L9:L14)</f>
        <v>0.375</v>
      </c>
      <c r="M15" s="26">
        <f>SUM(M9:M14)</f>
        <v>0</v>
      </c>
      <c r="N15" s="26">
        <f>SUM(N9:N14)</f>
        <v>0</v>
      </c>
      <c r="O15" s="26">
        <f>SUM(O9:O14)</f>
        <v>0.375</v>
      </c>
      <c r="P15" s="26">
        <f>SUM(P9:P14)</f>
        <v>0</v>
      </c>
      <c r="Q15" s="26">
        <f>SUM(Q9:Q14)</f>
        <v>0</v>
      </c>
      <c r="R15" s="26">
        <f>SUM(R9:R14)</f>
        <v>4.8230000000000004</v>
      </c>
      <c r="S15" s="26">
        <f>SUM(S9:S14)</f>
        <v>0</v>
      </c>
      <c r="T15" s="26">
        <f>SUM(T9:T14)</f>
        <v>0</v>
      </c>
      <c r="U15" s="26">
        <f>SUM(U9:U14)</f>
        <v>0</v>
      </c>
      <c r="V15" s="26">
        <f>SUM(V9:V14)</f>
        <v>0</v>
      </c>
      <c r="W15" s="26">
        <f>SUM(W9:W14)</f>
        <v>0</v>
      </c>
      <c r="X15" s="26">
        <f>SUM(X9:X14)</f>
        <v>59.13</v>
      </c>
      <c r="Y15" s="26">
        <f>SUM(Y9:Y14)</f>
        <v>0</v>
      </c>
      <c r="Z15" s="26">
        <f>SUM(Z9:Z14)</f>
        <v>0</v>
      </c>
      <c r="AA15" s="26">
        <f>SUM(AA9:AA14)</f>
        <v>122.369</v>
      </c>
      <c r="AB15" s="26">
        <f>SUM(AB9:AB14)</f>
        <v>0</v>
      </c>
      <c r="AC15" s="26">
        <f>SUM(AC9:AC14)</f>
        <v>0</v>
      </c>
      <c r="AD15" s="26">
        <f>SUM(AD9:AD14)</f>
        <v>4.0809999999999995</v>
      </c>
      <c r="AE15" s="26">
        <f>SUM(AE9:AE14)</f>
        <v>29</v>
      </c>
      <c r="AF15" s="26">
        <f>SUM(AF9:AF14)</f>
        <v>0</v>
      </c>
      <c r="AG15" s="26">
        <f>SUM(AG9:AG14)</f>
        <v>0</v>
      </c>
      <c r="AH15" s="26">
        <f>SUM(AH9:AH14)</f>
        <v>0</v>
      </c>
      <c r="AI15" s="26">
        <f>SUM(AI9:AI14)</f>
        <v>0</v>
      </c>
      <c r="AJ15" s="26">
        <f>SUM(AJ9:AJ14)</f>
        <v>15.176</v>
      </c>
      <c r="AK15" s="26">
        <f>SUM(AK9:AK14)</f>
        <v>0</v>
      </c>
      <c r="AL15" s="26"/>
      <c r="AM15" s="26">
        <f>SUM(AM9:AM14)</f>
        <v>5.9480000000000004</v>
      </c>
      <c r="AN15" s="26">
        <f>SUM(AN9:AN14)</f>
        <v>185.57999999999998</v>
      </c>
      <c r="AO15" s="26">
        <f>SUM(AO9:AO14)</f>
        <v>170.62599999999998</v>
      </c>
    </row>
    <row r="16" spans="1:41" ht="6" customHeight="1" x14ac:dyDescent="0.2"/>
    <row r="17" spans="3:41" ht="11.25" customHeight="1" x14ac:dyDescent="0.2">
      <c r="C17" s="7" t="s">
        <v>116</v>
      </c>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row>
    <row r="18" spans="3:41" ht="11.25" customHeight="1" x14ac:dyDescent="0.25">
      <c r="C18" t="s">
        <v>101</v>
      </c>
      <c r="D18" t="s">
        <v>50</v>
      </c>
      <c r="F18" s="52" t="s">
        <v>112</v>
      </c>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f>SUM(G18:R18)</f>
        <v>0</v>
      </c>
      <c r="AN18" s="2">
        <f>SUM(S18:AD18)</f>
        <v>0</v>
      </c>
      <c r="AO18" s="2">
        <f>SUM(Z18:AK18)</f>
        <v>0</v>
      </c>
    </row>
    <row r="19" spans="3:41" ht="11.25" customHeight="1" x14ac:dyDescent="0.25">
      <c r="C19" t="s">
        <v>101</v>
      </c>
      <c r="D19" t="s">
        <v>50</v>
      </c>
      <c r="F19" s="52" t="s">
        <v>111</v>
      </c>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f>SUM(G19:R19)</f>
        <v>0</v>
      </c>
      <c r="AN19" s="2">
        <f>SUM(S19:AD19)</f>
        <v>0</v>
      </c>
      <c r="AO19" s="2">
        <f>SUM(Z19:AK19)</f>
        <v>0</v>
      </c>
    </row>
    <row r="20" spans="3:41" ht="11.25" customHeight="1" x14ac:dyDescent="0.25">
      <c r="C20" t="s">
        <v>101</v>
      </c>
      <c r="D20" t="s">
        <v>50</v>
      </c>
      <c r="F20" s="52" t="s">
        <v>110</v>
      </c>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f>SUM(G20:R20)</f>
        <v>0</v>
      </c>
      <c r="AN20" s="2">
        <f>SUM(S20:AD20)</f>
        <v>0</v>
      </c>
      <c r="AO20" s="2">
        <f>SUM(Z20:AK20)</f>
        <v>0</v>
      </c>
    </row>
    <row r="21" spans="3:41" ht="11.25" customHeight="1" x14ac:dyDescent="0.25">
      <c r="C21" t="s">
        <v>101</v>
      </c>
      <c r="D21" t="s">
        <v>50</v>
      </c>
      <c r="F21" s="52" t="s">
        <v>109</v>
      </c>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f>SUM(G21:R21)</f>
        <v>0</v>
      </c>
      <c r="AN21" s="2">
        <f>SUM(S21:AD21)</f>
        <v>0</v>
      </c>
      <c r="AO21" s="2">
        <f>SUM(Z21:AK21)</f>
        <v>0</v>
      </c>
    </row>
    <row r="22" spans="3:41" ht="11.25" customHeight="1" x14ac:dyDescent="0.25">
      <c r="C22" t="s">
        <v>101</v>
      </c>
      <c r="D22" t="s">
        <v>50</v>
      </c>
      <c r="F22" s="52" t="s">
        <v>108</v>
      </c>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f>SUM(G22:R22)</f>
        <v>0</v>
      </c>
      <c r="AN22" s="2">
        <f>SUM(S22:AD22)</f>
        <v>0</v>
      </c>
      <c r="AO22" s="2">
        <f>SUM(Z22:AK22)</f>
        <v>0</v>
      </c>
    </row>
    <row r="23" spans="3:41" ht="11.25" customHeight="1" x14ac:dyDescent="0.25">
      <c r="C23" t="s">
        <v>101</v>
      </c>
      <c r="D23" t="s">
        <v>50</v>
      </c>
      <c r="F23" s="52" t="s">
        <v>443</v>
      </c>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f>SUM(G23:R23)</f>
        <v>0</v>
      </c>
      <c r="AN23" s="2">
        <f>SUM(S23:AD23)</f>
        <v>0</v>
      </c>
      <c r="AO23" s="2">
        <f>SUM(Z23:AK23)</f>
        <v>0</v>
      </c>
    </row>
    <row r="24" spans="3:41" ht="11.25" customHeight="1" x14ac:dyDescent="0.25">
      <c r="C24" t="s">
        <v>101</v>
      </c>
      <c r="D24" t="s">
        <v>50</v>
      </c>
      <c r="F24" s="52" t="s">
        <v>444</v>
      </c>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14">
        <f>SUM(G24:R24)</f>
        <v>0</v>
      </c>
      <c r="AN24" s="14">
        <f>SUM(S24:AD24)</f>
        <v>0</v>
      </c>
      <c r="AO24" s="14">
        <f>SUM(Z24:AK24)</f>
        <v>0</v>
      </c>
    </row>
    <row r="25" spans="3:41" ht="11.25" customHeight="1" x14ac:dyDescent="0.2">
      <c r="C25" s="50" t="s">
        <v>115</v>
      </c>
      <c r="D25" s="28"/>
      <c r="E25" s="28"/>
      <c r="F25" s="28"/>
      <c r="G25" s="25">
        <f>SUM(G18:G24)</f>
        <v>0</v>
      </c>
      <c r="H25" s="25">
        <f>SUM(H18:H24)</f>
        <v>0</v>
      </c>
      <c r="I25" s="25">
        <f>SUM(I18:I24)</f>
        <v>0</v>
      </c>
      <c r="J25" s="25">
        <f>SUM(J18:J24)</f>
        <v>0</v>
      </c>
      <c r="K25" s="25">
        <f>SUM(K18:K24)</f>
        <v>0</v>
      </c>
      <c r="L25" s="25">
        <f>SUM(L18:L24)</f>
        <v>0</v>
      </c>
      <c r="M25" s="25">
        <f>SUM(M18:M24)</f>
        <v>0</v>
      </c>
      <c r="N25" s="25">
        <f>SUM(N18:N24)</f>
        <v>0</v>
      </c>
      <c r="O25" s="25">
        <f>SUM(O18:O24)</f>
        <v>0</v>
      </c>
      <c r="P25" s="25">
        <f>SUM(P18:P24)</f>
        <v>0</v>
      </c>
      <c r="Q25" s="25">
        <f>SUM(Q18:Q24)</f>
        <v>0</v>
      </c>
      <c r="R25" s="25">
        <f>SUM(R18:R24)</f>
        <v>0</v>
      </c>
      <c r="S25" s="25">
        <f>SUM(S18:S24)</f>
        <v>0</v>
      </c>
      <c r="T25" s="25">
        <f>SUM(T18:T24)</f>
        <v>0</v>
      </c>
      <c r="U25" s="25">
        <f>SUM(U18:U24)</f>
        <v>0</v>
      </c>
      <c r="V25" s="25">
        <f>SUM(V18:V24)</f>
        <v>0</v>
      </c>
      <c r="W25" s="25">
        <f>SUM(W18:W24)</f>
        <v>0</v>
      </c>
      <c r="X25" s="25">
        <f>SUM(X18:X24)</f>
        <v>0</v>
      </c>
      <c r="Y25" s="25">
        <f>SUM(Y18:Y24)</f>
        <v>0</v>
      </c>
      <c r="Z25" s="25">
        <f>SUM(Z18:Z24)</f>
        <v>0</v>
      </c>
      <c r="AA25" s="25">
        <f>SUM(AA18:AA24)</f>
        <v>0</v>
      </c>
      <c r="AB25" s="25">
        <f>SUM(AB18:AB24)</f>
        <v>0</v>
      </c>
      <c r="AC25" s="25">
        <f>SUM(AC18:AC24)</f>
        <v>0</v>
      </c>
      <c r="AD25" s="25">
        <f>SUM(AD18:AD24)</f>
        <v>0</v>
      </c>
      <c r="AE25" s="25">
        <f>SUM(AE18:AE24)</f>
        <v>0</v>
      </c>
      <c r="AF25" s="25">
        <f>SUM(AF18:AF24)</f>
        <v>0</v>
      </c>
      <c r="AG25" s="25">
        <f>SUM(AG18:AG24)</f>
        <v>0</v>
      </c>
      <c r="AH25" s="25">
        <f>SUM(AH18:AH24)</f>
        <v>0</v>
      </c>
      <c r="AI25" s="25">
        <f>SUM(AI18:AI24)</f>
        <v>0</v>
      </c>
      <c r="AJ25" s="25">
        <f>SUM(AJ18:AJ24)</f>
        <v>0</v>
      </c>
      <c r="AK25" s="25">
        <f>SUM(AK18:AK24)</f>
        <v>0</v>
      </c>
      <c r="AL25" s="25"/>
      <c r="AM25" s="25">
        <f>SUM(AM18:AM24)</f>
        <v>0</v>
      </c>
      <c r="AN25" s="25">
        <f>SUM(AN18:AN24)</f>
        <v>0</v>
      </c>
      <c r="AO25" s="25">
        <f>SUM(AO18:AO24)</f>
        <v>0</v>
      </c>
    </row>
    <row r="26" spans="3:41" ht="6" customHeight="1" x14ac:dyDescent="0.2"/>
    <row r="27" spans="3:41" ht="11.25" customHeight="1" x14ac:dyDescent="0.2">
      <c r="C27" s="7" t="s">
        <v>113</v>
      </c>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row>
    <row r="28" spans="3:41" ht="11.25" customHeight="1" x14ac:dyDescent="0.25">
      <c r="C28" t="s">
        <v>101</v>
      </c>
      <c r="D28" t="s">
        <v>49</v>
      </c>
      <c r="F28" s="52" t="s">
        <v>112</v>
      </c>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f>SUM(G28:R28)</f>
        <v>0</v>
      </c>
      <c r="AN28" s="2">
        <f>SUM(S28:AD28)</f>
        <v>0</v>
      </c>
      <c r="AO28" s="2">
        <f>SUM(Z28:AK28)</f>
        <v>0</v>
      </c>
    </row>
    <row r="29" spans="3:41" ht="11.25" customHeight="1" x14ac:dyDescent="0.25">
      <c r="C29" t="s">
        <v>101</v>
      </c>
      <c r="D29" t="s">
        <v>49</v>
      </c>
      <c r="F29" s="52" t="s">
        <v>111</v>
      </c>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f>SUM(G29:R29)</f>
        <v>0</v>
      </c>
      <c r="AN29" s="2">
        <f>SUM(S29:AD29)</f>
        <v>0</v>
      </c>
      <c r="AO29" s="2">
        <f>SUM(Z29:AK29)</f>
        <v>0</v>
      </c>
    </row>
    <row r="30" spans="3:41" ht="11.25" customHeight="1" x14ac:dyDescent="0.25">
      <c r="C30" t="s">
        <v>101</v>
      </c>
      <c r="D30" t="s">
        <v>49</v>
      </c>
      <c r="F30" s="52" t="s">
        <v>110</v>
      </c>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f>SUM(G30:R30)</f>
        <v>0</v>
      </c>
      <c r="AN30" s="2">
        <f>SUM(S30:AD30)</f>
        <v>0</v>
      </c>
      <c r="AO30" s="2">
        <f>SUM(Z30:AK30)</f>
        <v>0</v>
      </c>
    </row>
    <row r="31" spans="3:41" ht="11.25" customHeight="1" x14ac:dyDescent="0.25">
      <c r="C31" t="s">
        <v>101</v>
      </c>
      <c r="D31" t="s">
        <v>49</v>
      </c>
      <c r="F31" s="52" t="s">
        <v>109</v>
      </c>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f>SUM(G31:R31)</f>
        <v>0</v>
      </c>
      <c r="AN31" s="2">
        <f>SUM(S31:AD31)</f>
        <v>0</v>
      </c>
      <c r="AO31" s="2">
        <f>SUM(Z31:AK31)</f>
        <v>0</v>
      </c>
    </row>
    <row r="32" spans="3:41" ht="11.25" customHeight="1" x14ac:dyDescent="0.25">
      <c r="C32" t="s">
        <v>101</v>
      </c>
      <c r="D32" t="s">
        <v>49</v>
      </c>
      <c r="F32" s="52" t="s">
        <v>108</v>
      </c>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f>SUM(G32:R32)</f>
        <v>0</v>
      </c>
      <c r="AN32" s="2">
        <f>SUM(S32:AD32)</f>
        <v>0</v>
      </c>
      <c r="AO32" s="2">
        <f>SUM(Z32:AK32)</f>
        <v>0</v>
      </c>
    </row>
    <row r="33" spans="3:41" ht="11.25" customHeight="1" x14ac:dyDescent="0.25">
      <c r="C33" t="s">
        <v>101</v>
      </c>
      <c r="D33" t="s">
        <v>49</v>
      </c>
      <c r="F33" s="52" t="s">
        <v>443</v>
      </c>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f>SUM(G33:R33)</f>
        <v>0</v>
      </c>
      <c r="AN33" s="2">
        <f>SUM(S33:AD33)</f>
        <v>0</v>
      </c>
      <c r="AO33" s="2">
        <f>SUM(Z33:AK33)</f>
        <v>0</v>
      </c>
    </row>
    <row r="34" spans="3:41" ht="6" customHeight="1" x14ac:dyDescent="0.25">
      <c r="D34" s="52"/>
      <c r="F34" s="52"/>
    </row>
    <row r="35" spans="3:41" ht="11.25" customHeight="1" x14ac:dyDescent="0.2">
      <c r="C35" s="7" t="s">
        <v>107</v>
      </c>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row>
    <row r="36" spans="3:41" ht="11.25" customHeight="1" x14ac:dyDescent="0.2">
      <c r="C36" t="s">
        <v>101</v>
      </c>
      <c r="D36" t="s">
        <v>49</v>
      </c>
      <c r="F36" s="4"/>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f>SUM(G36:R36)</f>
        <v>0</v>
      </c>
      <c r="AN36" s="2">
        <f>SUM(S36:AD36)</f>
        <v>0</v>
      </c>
      <c r="AO36" s="2">
        <f>SUM(Z36:AK36)</f>
        <v>0</v>
      </c>
    </row>
    <row r="37" spans="3:41" ht="11.25" customHeight="1" x14ac:dyDescent="0.2">
      <c r="C37" t="s">
        <v>101</v>
      </c>
      <c r="D37" t="s">
        <v>49</v>
      </c>
      <c r="F37" s="4"/>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f>SUM(G37:R37)</f>
        <v>0</v>
      </c>
      <c r="AN37" s="2">
        <f>SUM(S37:AD37)</f>
        <v>0</v>
      </c>
      <c r="AO37" s="2">
        <f>SUM(Z37:AK37)</f>
        <v>0</v>
      </c>
    </row>
    <row r="38" spans="3:41" ht="11.25" customHeight="1" x14ac:dyDescent="0.2">
      <c r="C38" t="s">
        <v>101</v>
      </c>
      <c r="D38" t="s">
        <v>49</v>
      </c>
      <c r="F38" s="4"/>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f>SUM(G38:R38)</f>
        <v>0</v>
      </c>
      <c r="AN38" s="2">
        <f>SUM(S38:AD38)</f>
        <v>0</v>
      </c>
      <c r="AO38" s="2">
        <f>SUM(Z38:AK38)</f>
        <v>0</v>
      </c>
    </row>
    <row r="39" spans="3:41" ht="11.25" customHeight="1" x14ac:dyDescent="0.2">
      <c r="C39" t="s">
        <v>101</v>
      </c>
      <c r="D39" t="s">
        <v>49</v>
      </c>
      <c r="F39" s="4"/>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f>SUM(G39:R39)</f>
        <v>0</v>
      </c>
      <c r="AN39" s="2">
        <f>SUM(S39:AD39)</f>
        <v>0</v>
      </c>
      <c r="AO39" s="2">
        <f>SUM(Z39:AK39)</f>
        <v>0</v>
      </c>
    </row>
    <row r="40" spans="3:41" ht="11.25" customHeight="1" x14ac:dyDescent="0.2">
      <c r="C40" t="s">
        <v>101</v>
      </c>
      <c r="D40" t="s">
        <v>49</v>
      </c>
      <c r="F40" s="4"/>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f>SUM(G40:R40)</f>
        <v>0</v>
      </c>
      <c r="AN40" s="2">
        <f>SUM(S40:AD40)</f>
        <v>0</v>
      </c>
      <c r="AO40" s="2">
        <f>SUM(Z40:AK40)</f>
        <v>0</v>
      </c>
    </row>
    <row r="41" spans="3:41" ht="11.25" customHeight="1" x14ac:dyDescent="0.2">
      <c r="C41" t="s">
        <v>101</v>
      </c>
      <c r="D41" t="s">
        <v>49</v>
      </c>
      <c r="F41" s="4"/>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f>SUM(G41:R41)</f>
        <v>0</v>
      </c>
      <c r="AN41" s="2">
        <f>SUM(S41:AD41)</f>
        <v>0</v>
      </c>
      <c r="AO41" s="2">
        <f>SUM(Z41:AK41)</f>
        <v>0</v>
      </c>
    </row>
    <row r="42" spans="3:41" ht="11.25" customHeight="1" x14ac:dyDescent="0.2">
      <c r="C42" t="s">
        <v>101</v>
      </c>
      <c r="D42" t="s">
        <v>49</v>
      </c>
      <c r="F42" s="4"/>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f>SUM(G42:R42)</f>
        <v>0</v>
      </c>
      <c r="AN42" s="2">
        <f>SUM(S42:AD42)</f>
        <v>0</v>
      </c>
      <c r="AO42" s="2">
        <f>SUM(Z42:AK42)</f>
        <v>0</v>
      </c>
    </row>
    <row r="43" spans="3:41" ht="11.25" customHeight="1" x14ac:dyDescent="0.2">
      <c r="C43" t="s">
        <v>101</v>
      </c>
      <c r="D43" t="s">
        <v>49</v>
      </c>
      <c r="F43" s="4"/>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f>SUM(G43:R43)</f>
        <v>0</v>
      </c>
      <c r="AN43" s="2">
        <f>SUM(S43:AD43)</f>
        <v>0</v>
      </c>
      <c r="AO43" s="2">
        <f>SUM(Z43:AK43)</f>
        <v>0</v>
      </c>
    </row>
    <row r="44" spans="3:41" ht="11.25" customHeight="1" x14ac:dyDescent="0.2">
      <c r="C44" t="s">
        <v>101</v>
      </c>
      <c r="D44" t="s">
        <v>49</v>
      </c>
      <c r="F44" s="4"/>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f>SUM(G44:R44)</f>
        <v>0</v>
      </c>
      <c r="AN44" s="2">
        <f>SUM(S44:AD44)</f>
        <v>0</v>
      </c>
      <c r="AO44" s="2">
        <f>SUM(Z44:AK44)</f>
        <v>0</v>
      </c>
    </row>
    <row r="45" spans="3:41" ht="11.25" customHeight="1" x14ac:dyDescent="0.2">
      <c r="C45" s="50" t="s">
        <v>106</v>
      </c>
      <c r="D45" s="28"/>
      <c r="E45" s="28"/>
      <c r="F45" s="28"/>
      <c r="G45" s="25">
        <f>SUM(G28:G44)</f>
        <v>0</v>
      </c>
      <c r="H45" s="25">
        <f>SUM(H28:H44)</f>
        <v>0</v>
      </c>
      <c r="I45" s="25">
        <f>SUM(I28:I44)</f>
        <v>0</v>
      </c>
      <c r="J45" s="25">
        <f>SUM(J28:J44)</f>
        <v>0</v>
      </c>
      <c r="K45" s="25">
        <f>SUM(K28:K44)</f>
        <v>0</v>
      </c>
      <c r="L45" s="25">
        <f>SUM(L28:L44)</f>
        <v>0</v>
      </c>
      <c r="M45" s="25">
        <f>SUM(M28:M44)</f>
        <v>0</v>
      </c>
      <c r="N45" s="25">
        <f>SUM(N28:N44)</f>
        <v>0</v>
      </c>
      <c r="O45" s="25">
        <f>SUM(O28:O44)</f>
        <v>0</v>
      </c>
      <c r="P45" s="25">
        <f>SUM(P28:P44)</f>
        <v>0</v>
      </c>
      <c r="Q45" s="25">
        <f>SUM(Q28:Q44)</f>
        <v>0</v>
      </c>
      <c r="R45" s="25">
        <f>SUM(R28:R44)</f>
        <v>0</v>
      </c>
      <c r="S45" s="25">
        <f>SUM(S28:S44)</f>
        <v>0</v>
      </c>
      <c r="T45" s="25">
        <f>SUM(T28:T44)</f>
        <v>0</v>
      </c>
      <c r="U45" s="25">
        <f>SUM(U28:U44)</f>
        <v>0</v>
      </c>
      <c r="V45" s="25">
        <f>SUM(V28:V44)</f>
        <v>0</v>
      </c>
      <c r="W45" s="25">
        <f>SUM(W28:W44)</f>
        <v>0</v>
      </c>
      <c r="X45" s="25">
        <f>SUM(X28:X44)</f>
        <v>0</v>
      </c>
      <c r="Y45" s="25">
        <f>SUM(Y28:Y44)</f>
        <v>0</v>
      </c>
      <c r="Z45" s="25">
        <f>SUM(Z28:Z44)</f>
        <v>0</v>
      </c>
      <c r="AA45" s="25">
        <f>SUM(AA28:AA44)</f>
        <v>0</v>
      </c>
      <c r="AB45" s="25">
        <f>SUM(AB28:AB44)</f>
        <v>0</v>
      </c>
      <c r="AC45" s="25">
        <f>SUM(AC28:AC44)</f>
        <v>0</v>
      </c>
      <c r="AD45" s="25">
        <f>SUM(AD28:AD44)</f>
        <v>0</v>
      </c>
      <c r="AE45" s="25">
        <f>SUM(AE28:AE44)</f>
        <v>0</v>
      </c>
      <c r="AF45" s="25">
        <f>SUM(AF28:AF44)</f>
        <v>0</v>
      </c>
      <c r="AG45" s="25">
        <f>SUM(AG28:AG44)</f>
        <v>0</v>
      </c>
      <c r="AH45" s="25">
        <f>SUM(AH28:AH44)</f>
        <v>0</v>
      </c>
      <c r="AI45" s="25">
        <f>SUM(AI28:AI44)</f>
        <v>0</v>
      </c>
      <c r="AJ45" s="25">
        <f>SUM(AJ28:AJ44)</f>
        <v>0</v>
      </c>
      <c r="AK45" s="25">
        <f>SUM(AK28:AK44)</f>
        <v>0</v>
      </c>
      <c r="AL45" s="25"/>
      <c r="AM45" s="25">
        <f>SUM(AM28:AM44)</f>
        <v>0</v>
      </c>
      <c r="AN45" s="25">
        <f>SUM(AN28:AN44)</f>
        <v>0</v>
      </c>
      <c r="AO45" s="25">
        <f>SUM(AO28:AO44)</f>
        <v>0</v>
      </c>
    </row>
    <row r="46" spans="3:41" ht="6" customHeight="1" x14ac:dyDescent="0.2"/>
    <row r="47" spans="3:41" ht="11.25" customHeight="1" x14ac:dyDescent="0.2">
      <c r="C47" s="7" t="s">
        <v>102</v>
      </c>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row>
    <row r="48" spans="3:41" ht="11.25" customHeight="1" x14ac:dyDescent="0.2">
      <c r="C48" t="s">
        <v>101</v>
      </c>
      <c r="D48" t="s">
        <v>48</v>
      </c>
      <c r="F48" s="4"/>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f>SUM(G48:R48)</f>
        <v>0</v>
      </c>
      <c r="AN48" s="2">
        <f>SUM(S48:AD48)</f>
        <v>0</v>
      </c>
      <c r="AO48" s="2">
        <f>SUM(Z48:AK48)</f>
        <v>0</v>
      </c>
    </row>
    <row r="49" spans="3:41" ht="11.25" customHeight="1" x14ac:dyDescent="0.2">
      <c r="C49" t="s">
        <v>101</v>
      </c>
      <c r="D49" t="s">
        <v>48</v>
      </c>
      <c r="F49" s="4"/>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f>SUM(G49:R49)</f>
        <v>0</v>
      </c>
      <c r="AN49" s="2">
        <f>SUM(S49:AD49)</f>
        <v>0</v>
      </c>
      <c r="AO49" s="2">
        <f>SUM(Z49:AK49)</f>
        <v>0</v>
      </c>
    </row>
    <row r="50" spans="3:41" ht="11.25" customHeight="1" x14ac:dyDescent="0.2">
      <c r="C50" t="s">
        <v>101</v>
      </c>
      <c r="D50" t="s">
        <v>48</v>
      </c>
      <c r="F50" s="4"/>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f>SUM(G50:R50)</f>
        <v>0</v>
      </c>
      <c r="AN50" s="2">
        <f>SUM(S50:AD50)</f>
        <v>0</v>
      </c>
      <c r="AO50" s="2">
        <f>SUM(Z50:AK50)</f>
        <v>0</v>
      </c>
    </row>
    <row r="51" spans="3:41" ht="11.25" customHeight="1" x14ac:dyDescent="0.2">
      <c r="C51" t="s">
        <v>101</v>
      </c>
      <c r="D51" t="s">
        <v>48</v>
      </c>
      <c r="F51" s="4"/>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f>SUM(G51:R51)</f>
        <v>0</v>
      </c>
      <c r="AN51" s="2">
        <f>SUM(S51:AD51)</f>
        <v>0</v>
      </c>
      <c r="AO51" s="2">
        <f>SUM(Z51:AK51)</f>
        <v>0</v>
      </c>
    </row>
    <row r="52" spans="3:41" ht="11.25" customHeight="1" x14ac:dyDescent="0.2">
      <c r="C52" t="s">
        <v>101</v>
      </c>
      <c r="D52" t="s">
        <v>48</v>
      </c>
      <c r="F52" s="4"/>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f>SUM(G52:R52)</f>
        <v>0</v>
      </c>
      <c r="AN52" s="2">
        <f>SUM(S52:AD52)</f>
        <v>0</v>
      </c>
      <c r="AO52" s="2">
        <f>SUM(Z52:AK52)</f>
        <v>0</v>
      </c>
    </row>
    <row r="53" spans="3:41" ht="11.25" customHeight="1" x14ac:dyDescent="0.2">
      <c r="C53" t="s">
        <v>101</v>
      </c>
      <c r="D53" t="s">
        <v>48</v>
      </c>
      <c r="F53" s="4"/>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f>SUM(G53:R53)</f>
        <v>0</v>
      </c>
      <c r="AN53" s="2">
        <f>SUM(S53:AD53)</f>
        <v>0</v>
      </c>
      <c r="AO53" s="2">
        <f>SUM(Z53:AK53)</f>
        <v>0</v>
      </c>
    </row>
    <row r="54" spans="3:41" ht="11.25" customHeight="1" x14ac:dyDescent="0.2">
      <c r="C54" t="s">
        <v>101</v>
      </c>
      <c r="D54" t="s">
        <v>48</v>
      </c>
      <c r="F54" s="4"/>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f>SUM(G54:R54)</f>
        <v>0</v>
      </c>
      <c r="AN54" s="2">
        <f>SUM(S54:AD54)</f>
        <v>0</v>
      </c>
      <c r="AO54" s="2">
        <f>SUM(Z54:AK54)</f>
        <v>0</v>
      </c>
    </row>
    <row r="55" spans="3:41" ht="11.25" customHeight="1" x14ac:dyDescent="0.2">
      <c r="C55" t="s">
        <v>101</v>
      </c>
      <c r="D55" t="s">
        <v>48</v>
      </c>
      <c r="F55" s="4"/>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f>SUM(G55:R55)</f>
        <v>0</v>
      </c>
      <c r="AN55" s="2">
        <f>SUM(S55:AD55)</f>
        <v>0</v>
      </c>
      <c r="AO55" s="2">
        <f>SUM(Z55:AK55)</f>
        <v>0</v>
      </c>
    </row>
    <row r="56" spans="3:41" ht="11.25" customHeight="1" x14ac:dyDescent="0.2">
      <c r="C56" t="s">
        <v>101</v>
      </c>
      <c r="D56" t="s">
        <v>48</v>
      </c>
      <c r="F56" s="4"/>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f>SUM(G56:R56)</f>
        <v>0</v>
      </c>
      <c r="AN56" s="2">
        <f>SUM(S56:AD56)</f>
        <v>0</v>
      </c>
      <c r="AO56" s="2">
        <f>SUM(Z56:AK56)</f>
        <v>0</v>
      </c>
    </row>
    <row r="57" spans="3:41" ht="11.25" customHeight="1" x14ac:dyDescent="0.2">
      <c r="C57" s="41" t="s">
        <v>99</v>
      </c>
      <c r="D57" s="28"/>
      <c r="E57" s="28"/>
      <c r="F57" s="28"/>
      <c r="G57" s="25">
        <f>SUM(G48:G56)</f>
        <v>0</v>
      </c>
      <c r="H57" s="25">
        <f>SUM(H48:H56)</f>
        <v>0</v>
      </c>
      <c r="I57" s="25">
        <f>SUM(I48:I56)</f>
        <v>0</v>
      </c>
      <c r="J57" s="25">
        <f>SUM(J48:J56)</f>
        <v>0</v>
      </c>
      <c r="K57" s="25">
        <f>SUM(K48:K56)</f>
        <v>0</v>
      </c>
      <c r="L57" s="25">
        <f>SUM(L48:L56)</f>
        <v>0</v>
      </c>
      <c r="M57" s="25">
        <f>SUM(M48:M56)</f>
        <v>0</v>
      </c>
      <c r="N57" s="25">
        <f>SUM(N48:N56)</f>
        <v>0</v>
      </c>
      <c r="O57" s="25">
        <f>SUM(O48:O56)</f>
        <v>0</v>
      </c>
      <c r="P57" s="25">
        <f>SUM(P48:P56)</f>
        <v>0</v>
      </c>
      <c r="Q57" s="25">
        <f>SUM(Q48:Q56)</f>
        <v>0</v>
      </c>
      <c r="R57" s="25">
        <f>SUM(R48:R56)</f>
        <v>0</v>
      </c>
      <c r="S57" s="25">
        <f>SUM(S48:S56)</f>
        <v>0</v>
      </c>
      <c r="T57" s="25">
        <f>SUM(T48:T56)</f>
        <v>0</v>
      </c>
      <c r="U57" s="25">
        <f>SUM(U48:U56)</f>
        <v>0</v>
      </c>
      <c r="V57" s="25">
        <f>SUM(V48:V56)</f>
        <v>0</v>
      </c>
      <c r="W57" s="25">
        <f>SUM(W48:W56)</f>
        <v>0</v>
      </c>
      <c r="X57" s="25">
        <f>SUM(X48:X56)</f>
        <v>0</v>
      </c>
      <c r="Y57" s="25">
        <f>SUM(Y48:Y56)</f>
        <v>0</v>
      </c>
      <c r="Z57" s="25">
        <f>SUM(Z48:Z56)</f>
        <v>0</v>
      </c>
      <c r="AA57" s="25">
        <f>SUM(AA48:AA56)</f>
        <v>0</v>
      </c>
      <c r="AB57" s="25">
        <f>SUM(AB48:AB56)</f>
        <v>0</v>
      </c>
      <c r="AC57" s="25">
        <f>SUM(AC48:AC56)</f>
        <v>0</v>
      </c>
      <c r="AD57" s="25">
        <f>SUM(AD48:AD56)</f>
        <v>0</v>
      </c>
      <c r="AE57" s="25">
        <f>SUM(AE48:AE56)</f>
        <v>0</v>
      </c>
      <c r="AF57" s="25">
        <f>SUM(AF48:AF56)</f>
        <v>0</v>
      </c>
      <c r="AG57" s="25">
        <f>SUM(AG48:AG56)</f>
        <v>0</v>
      </c>
      <c r="AH57" s="25">
        <f>SUM(AH48:AH56)</f>
        <v>0</v>
      </c>
      <c r="AI57" s="25">
        <f>SUM(AI48:AI56)</f>
        <v>0</v>
      </c>
      <c r="AJ57" s="25">
        <f>SUM(AJ48:AJ56)</f>
        <v>0</v>
      </c>
      <c r="AK57" s="25">
        <f>SUM(AK48:AK56)</f>
        <v>0</v>
      </c>
      <c r="AL57" s="25"/>
      <c r="AM57" s="25">
        <f>SUM(AM48:AM56)</f>
        <v>0</v>
      </c>
      <c r="AN57" s="25">
        <f>SUM(AN48:AN56)</f>
        <v>0</v>
      </c>
      <c r="AO57" s="25">
        <f>SUM(AO48:AO56)</f>
        <v>0</v>
      </c>
    </row>
    <row r="58" spans="3:41" ht="12" customHeight="1" thickBot="1" x14ac:dyDescent="0.3">
      <c r="C58" s="40" t="s">
        <v>442</v>
      </c>
      <c r="D58" s="49"/>
      <c r="E58" s="49"/>
      <c r="F58" s="49"/>
      <c r="G58" s="39">
        <f>+G15+G25+G45+G57</f>
        <v>0</v>
      </c>
      <c r="H58" s="39">
        <f>+H15+H25+H45+H57</f>
        <v>0</v>
      </c>
      <c r="I58" s="39">
        <f>+I15+I25+I45+I57</f>
        <v>0.375</v>
      </c>
      <c r="J58" s="39">
        <f>+J15+J25+J45+J57</f>
        <v>0</v>
      </c>
      <c r="K58" s="39">
        <f>+K15+K25+K45+K57</f>
        <v>0</v>
      </c>
      <c r="L58" s="39">
        <f>+L15+L25+L45+L57</f>
        <v>0.375</v>
      </c>
      <c r="M58" s="39">
        <f>+M15+M25+M45+M57</f>
        <v>0</v>
      </c>
      <c r="N58" s="39">
        <f>+N15+N25+N45+N57</f>
        <v>0</v>
      </c>
      <c r="O58" s="39">
        <f>+O15+O25+O45+O57</f>
        <v>0.375</v>
      </c>
      <c r="P58" s="39">
        <f>+P15+P25+P45+P57</f>
        <v>0</v>
      </c>
      <c r="Q58" s="39">
        <f>+Q15+Q25+Q45+Q57</f>
        <v>0</v>
      </c>
      <c r="R58" s="39">
        <f>+R15+R25+R45+R57</f>
        <v>4.8230000000000004</v>
      </c>
      <c r="S58" s="39">
        <f>+S15+S25+S45+S57</f>
        <v>0</v>
      </c>
      <c r="T58" s="39">
        <f>+T15+T25+T45+T57</f>
        <v>0</v>
      </c>
      <c r="U58" s="39">
        <f>+U15+U25+U45+U57</f>
        <v>0</v>
      </c>
      <c r="V58" s="39">
        <f>+V15+V25+V45+V57</f>
        <v>0</v>
      </c>
      <c r="W58" s="39">
        <f>+W15+W25+W45+W57</f>
        <v>0</v>
      </c>
      <c r="X58" s="39">
        <f>+X15+X25+X45+X57</f>
        <v>59.13</v>
      </c>
      <c r="Y58" s="39">
        <f>+Y15+Y25+Y45+Y57</f>
        <v>0</v>
      </c>
      <c r="Z58" s="39">
        <f>+Z15+Z25+Z45+Z57</f>
        <v>0</v>
      </c>
      <c r="AA58" s="39">
        <f>+AA15+AA25+AA45+AA57</f>
        <v>122.369</v>
      </c>
      <c r="AB58" s="39">
        <f>+AB15+AB25+AB45+AB57</f>
        <v>0</v>
      </c>
      <c r="AC58" s="39">
        <f>+AC15+AC25+AC45+AC57</f>
        <v>0</v>
      </c>
      <c r="AD58" s="39">
        <f>+AD15+AD25+AD45+AD57</f>
        <v>4.0809999999999995</v>
      </c>
      <c r="AE58" s="39">
        <f>+AE15+AE25+AE45+AE57</f>
        <v>29</v>
      </c>
      <c r="AF58" s="39">
        <f>+AF15+AF25+AF45+AF57</f>
        <v>0</v>
      </c>
      <c r="AG58" s="39">
        <f>+AG15+AG25+AG45+AG57</f>
        <v>0</v>
      </c>
      <c r="AH58" s="39">
        <f>+AH15+AH25+AH45+AH57</f>
        <v>0</v>
      </c>
      <c r="AI58" s="39">
        <f>+AI15+AI25+AI45+AI57</f>
        <v>0</v>
      </c>
      <c r="AJ58" s="39">
        <f>+AJ15+AJ25+AJ45+AJ57</f>
        <v>15.176</v>
      </c>
      <c r="AK58" s="39">
        <f>+AK15+AK25+AK45+AK57</f>
        <v>0</v>
      </c>
      <c r="AL58" s="39"/>
      <c r="AM58" s="39">
        <f>+AM15+AM25+AM45+AM57</f>
        <v>5.9480000000000004</v>
      </c>
      <c r="AN58" s="39">
        <f>+AN15+AN25+AN45+AN57</f>
        <v>185.57999999999998</v>
      </c>
      <c r="AO58" s="39">
        <f>+AO15+AO25+AO45+AO57</f>
        <v>170.62599999999998</v>
      </c>
    </row>
    <row r="59" spans="3:41" ht="6" customHeight="1" x14ac:dyDescent="0.2"/>
    <row r="60" spans="3:41" ht="11.25" customHeight="1" outlineLevel="1" x14ac:dyDescent="0.2">
      <c r="C60" t="s">
        <v>441</v>
      </c>
      <c r="G60" s="2">
        <f>SUM('QE1'!E10:E12)-G15</f>
        <v>0</v>
      </c>
      <c r="H60" s="2">
        <f>SUM('QE1'!F10:F12)-H15</f>
        <v>0</v>
      </c>
      <c r="I60" s="2">
        <f>SUM('QE1'!G10:G12)-I15</f>
        <v>0</v>
      </c>
      <c r="J60" s="2">
        <f>SUM('QE1'!H10:H12)-J15</f>
        <v>0</v>
      </c>
      <c r="K60" s="2">
        <f>SUM('QE1'!I10:I12)-K15</f>
        <v>0</v>
      </c>
      <c r="L60" s="2">
        <f>SUM('QE1'!J10:J12)-L15</f>
        <v>0</v>
      </c>
      <c r="M60" s="2">
        <f>SUM('QE1'!K10:K12)-M15</f>
        <v>0</v>
      </c>
      <c r="N60" s="2">
        <f>SUM('QE1'!L10:L12)-N15</f>
        <v>0</v>
      </c>
      <c r="O60" s="2">
        <f>SUM('QE1'!M10:M12)-O15</f>
        <v>0</v>
      </c>
      <c r="P60" s="2">
        <f>SUM('QE1'!N10:N12)-P15</f>
        <v>0</v>
      </c>
      <c r="Q60" s="2">
        <f>SUM('QE1'!O10:O12)-Q15</f>
        <v>0</v>
      </c>
      <c r="R60" s="2">
        <f>SUM('QE1'!P10:P12)-R15</f>
        <v>0</v>
      </c>
      <c r="S60" s="2">
        <f>SUM('QE1'!Q10:Q12)-S15</f>
        <v>0</v>
      </c>
      <c r="T60" s="2">
        <f>SUM('QE1'!R10:R12)-T15</f>
        <v>0</v>
      </c>
      <c r="U60" s="2">
        <f>SUM('QE1'!S10:S12)-U15</f>
        <v>0</v>
      </c>
      <c r="V60" s="2">
        <f>SUM('QE1'!T10:T12)-V15</f>
        <v>0</v>
      </c>
      <c r="W60" s="2">
        <f>SUM('QE1'!U10:U12)-W15</f>
        <v>0</v>
      </c>
      <c r="X60" s="2">
        <f>SUM('QE1'!V10:V12)-X15</f>
        <v>0</v>
      </c>
      <c r="Y60" s="2">
        <f>SUM('QE1'!W10:W12)-Y15</f>
        <v>0</v>
      </c>
      <c r="Z60" s="2">
        <f>SUM('QE1'!X10:X12)-Z15</f>
        <v>0</v>
      </c>
      <c r="AA60" s="2">
        <f>SUM('QE1'!Y10:Y12)-AA15</f>
        <v>0</v>
      </c>
      <c r="AB60" s="2">
        <f>SUM('QE1'!Z10:Z12)-AB15</f>
        <v>0</v>
      </c>
      <c r="AC60" s="2">
        <f>SUM('QE1'!AA10:AA12)-AC15</f>
        <v>0</v>
      </c>
      <c r="AD60" s="2">
        <f>SUM('QE1'!AB10:AB12)-AD15</f>
        <v>0</v>
      </c>
      <c r="AE60" s="2">
        <f>SUM('QE1'!AC10:AC12)-AE15</f>
        <v>0</v>
      </c>
      <c r="AF60" s="2">
        <f>SUM('QE1'!AD10:AD12)-AF15</f>
        <v>0</v>
      </c>
      <c r="AG60" s="2">
        <f>SUM('QE1'!AE10:AE12)-AG15</f>
        <v>0</v>
      </c>
      <c r="AH60" s="2">
        <f>SUM('QE1'!AF10:AF12)-AH15</f>
        <v>0</v>
      </c>
      <c r="AI60" s="2">
        <f>SUM('QE1'!AG10:AG12)-AI15</f>
        <v>0</v>
      </c>
      <c r="AJ60" s="2">
        <f>SUM('QE1'!AH10:AH12)-AJ15</f>
        <v>0</v>
      </c>
      <c r="AK60" s="2">
        <f>SUM('QE1'!AI10:AI12)-AK15</f>
        <v>0</v>
      </c>
      <c r="AL60" s="2"/>
      <c r="AM60" s="2">
        <f>SUM('QE1'!AK10:AK12)-AM15</f>
        <v>0</v>
      </c>
      <c r="AN60" s="2">
        <f>SUM('QE1'!AL10:AL12)-AN15</f>
        <v>0</v>
      </c>
      <c r="AO60" s="2">
        <f>SUM('QE1'!AM10:AM12)-AO15</f>
        <v>0</v>
      </c>
    </row>
    <row r="61" spans="3:41" ht="11.25" customHeight="1" outlineLevel="1" x14ac:dyDescent="0.2">
      <c r="C61" t="s">
        <v>40</v>
      </c>
      <c r="G61" s="2">
        <f>'QE1'!E21-G25</f>
        <v>0</v>
      </c>
      <c r="H61" s="2">
        <f>'QE1'!F21-H25</f>
        <v>0</v>
      </c>
      <c r="I61" s="2">
        <f>'QE1'!G21-I25</f>
        <v>0</v>
      </c>
      <c r="J61" s="2">
        <f>'QE1'!H21-J25</f>
        <v>0</v>
      </c>
      <c r="K61" s="2">
        <f>'QE1'!I21-K25</f>
        <v>0</v>
      </c>
      <c r="L61" s="2">
        <f>'QE1'!J21-L25</f>
        <v>0</v>
      </c>
      <c r="M61" s="2">
        <f>'QE1'!K21-M25</f>
        <v>0</v>
      </c>
      <c r="N61" s="2">
        <f>'QE1'!L21-N25</f>
        <v>0</v>
      </c>
      <c r="O61" s="2">
        <f>'QE1'!M21-O25</f>
        <v>0</v>
      </c>
      <c r="P61" s="2">
        <f>'QE1'!N21-P25</f>
        <v>0</v>
      </c>
      <c r="Q61" s="2">
        <f>'QE1'!O21-Q25</f>
        <v>0</v>
      </c>
      <c r="R61" s="2">
        <f>'QE1'!P21-R25</f>
        <v>0</v>
      </c>
      <c r="S61" s="2">
        <f>'QE1'!Q21-S25</f>
        <v>0</v>
      </c>
      <c r="T61" s="2">
        <f>'QE1'!R21-T25</f>
        <v>0</v>
      </c>
      <c r="U61" s="2">
        <f>'QE1'!S21-U25</f>
        <v>0</v>
      </c>
      <c r="V61" s="2">
        <f>'QE1'!T21-V25</f>
        <v>0</v>
      </c>
      <c r="W61" s="2">
        <f>'QE1'!U21-W25</f>
        <v>0</v>
      </c>
      <c r="X61" s="2">
        <f>'QE1'!V21-X25</f>
        <v>0</v>
      </c>
      <c r="Y61" s="2">
        <f>'QE1'!W21-Y25</f>
        <v>0</v>
      </c>
      <c r="Z61" s="2">
        <f>'QE1'!X21-Z25</f>
        <v>0</v>
      </c>
      <c r="AA61" s="2">
        <f>'QE1'!Y21-AA25</f>
        <v>0</v>
      </c>
      <c r="AB61" s="2">
        <f>'QE1'!Z21-AB25</f>
        <v>0</v>
      </c>
      <c r="AC61" s="2">
        <f>'QE1'!AA21-AC25</f>
        <v>0</v>
      </c>
      <c r="AD61" s="2">
        <f>'QE1'!AB21-AD25</f>
        <v>0</v>
      </c>
      <c r="AE61" s="2">
        <f>'QE1'!AC21-AE25</f>
        <v>0</v>
      </c>
      <c r="AF61" s="2">
        <f>'QE1'!AD21-AF25</f>
        <v>0</v>
      </c>
      <c r="AG61" s="2">
        <f>'QE1'!AE21-AG25</f>
        <v>0</v>
      </c>
      <c r="AH61" s="2">
        <f>'QE1'!AF21-AH25</f>
        <v>0</v>
      </c>
      <c r="AI61" s="2">
        <f>'QE1'!AG21-AI25</f>
        <v>0</v>
      </c>
      <c r="AJ61" s="2">
        <f>'QE1'!AH21-AJ25</f>
        <v>0</v>
      </c>
      <c r="AK61" s="2">
        <f>'QE1'!AI21-AK25</f>
        <v>0</v>
      </c>
      <c r="AL61" s="2"/>
      <c r="AM61" s="2">
        <f>'QE1'!AK21-AM25</f>
        <v>0</v>
      </c>
      <c r="AN61" s="2">
        <f>'QE1'!AL21-AN25</f>
        <v>0</v>
      </c>
      <c r="AO61" s="2">
        <f>'QE1'!AM21-AO25</f>
        <v>0</v>
      </c>
    </row>
    <row r="62" spans="3:41" ht="11.25" customHeight="1" outlineLevel="1" x14ac:dyDescent="0.2">
      <c r="C62" t="s">
        <v>39</v>
      </c>
      <c r="G62" s="2">
        <f>'QE1'!E41-G45</f>
        <v>0</v>
      </c>
      <c r="H62" s="2">
        <f>'QE1'!F41-H45</f>
        <v>0</v>
      </c>
      <c r="I62" s="2">
        <f>'QE1'!G41-I45</f>
        <v>0</v>
      </c>
      <c r="J62" s="2">
        <f>'QE1'!H41-J45</f>
        <v>0</v>
      </c>
      <c r="K62" s="2">
        <f>'QE1'!I41-K45</f>
        <v>0</v>
      </c>
      <c r="L62" s="2">
        <f>'QE1'!J41-L45</f>
        <v>0</v>
      </c>
      <c r="M62" s="2">
        <f>'QE1'!K41-M45</f>
        <v>0</v>
      </c>
      <c r="N62" s="2">
        <f>'QE1'!L41-N45</f>
        <v>0</v>
      </c>
      <c r="O62" s="2">
        <f>'QE1'!M41-O45</f>
        <v>0</v>
      </c>
      <c r="P62" s="2">
        <f>'QE1'!N41-P45</f>
        <v>0</v>
      </c>
      <c r="Q62" s="2">
        <f>'QE1'!O41-Q45</f>
        <v>0</v>
      </c>
      <c r="R62" s="2">
        <f>'QE1'!P41-R45</f>
        <v>0</v>
      </c>
      <c r="S62" s="2">
        <f>'QE1'!Q41-S45</f>
        <v>0</v>
      </c>
      <c r="T62" s="2">
        <f>'QE1'!R41-T45</f>
        <v>0</v>
      </c>
      <c r="U62" s="2">
        <f>'QE1'!S41-U45</f>
        <v>0</v>
      </c>
      <c r="V62" s="2">
        <f>'QE1'!T41-V45</f>
        <v>0</v>
      </c>
      <c r="W62" s="2">
        <f>'QE1'!U41-W45</f>
        <v>0</v>
      </c>
      <c r="X62" s="2">
        <f>'QE1'!V41-X45</f>
        <v>0</v>
      </c>
      <c r="Y62" s="2">
        <f>'QE1'!W41-Y45</f>
        <v>0</v>
      </c>
      <c r="Z62" s="2">
        <f>'QE1'!X41-Z45</f>
        <v>0</v>
      </c>
      <c r="AA62" s="2">
        <f>'QE1'!Y41-AA45</f>
        <v>0</v>
      </c>
      <c r="AB62" s="2">
        <f>'QE1'!Z41-AB45</f>
        <v>0</v>
      </c>
      <c r="AC62" s="2">
        <f>'QE1'!AA41-AC45</f>
        <v>0</v>
      </c>
      <c r="AD62" s="2">
        <f>'QE1'!AB41-AD45</f>
        <v>0</v>
      </c>
      <c r="AE62" s="2">
        <f>'QE1'!AC41-AE45</f>
        <v>0</v>
      </c>
      <c r="AF62" s="2">
        <f>'QE1'!AD41-AF45</f>
        <v>0</v>
      </c>
      <c r="AG62" s="2">
        <f>'QE1'!AE41-AG45</f>
        <v>0</v>
      </c>
      <c r="AH62" s="2">
        <f>'QE1'!AF41-AH45</f>
        <v>0</v>
      </c>
      <c r="AI62" s="2">
        <f>'QE1'!AG41-AI45</f>
        <v>0</v>
      </c>
      <c r="AJ62" s="2">
        <f>'QE1'!AH41-AJ45</f>
        <v>0</v>
      </c>
      <c r="AK62" s="2">
        <f>'QE1'!AI41-AK45</f>
        <v>0</v>
      </c>
      <c r="AL62" s="2"/>
      <c r="AM62" s="2">
        <f>'QE1'!AK41-AM45</f>
        <v>0</v>
      </c>
      <c r="AN62" s="2">
        <f>'QE1'!AL41-AN45</f>
        <v>0</v>
      </c>
      <c r="AO62" s="2">
        <f>'QE1'!AM41-AO45</f>
        <v>0</v>
      </c>
    </row>
    <row r="63" spans="3:41" ht="11.25" customHeight="1" outlineLevel="1" x14ac:dyDescent="0.2">
      <c r="C63" t="s">
        <v>38</v>
      </c>
      <c r="G63" s="2">
        <f>'QE1'!E50-G57</f>
        <v>0</v>
      </c>
      <c r="H63" s="2">
        <f>'QE1'!F50-H57</f>
        <v>0</v>
      </c>
      <c r="I63" s="2">
        <f>'QE1'!G50-I57</f>
        <v>0</v>
      </c>
      <c r="J63" s="2">
        <f>'QE1'!H50-J57</f>
        <v>0</v>
      </c>
      <c r="K63" s="2">
        <f>'QE1'!I50-K57</f>
        <v>0</v>
      </c>
      <c r="L63" s="2">
        <f>'QE1'!J50-L57</f>
        <v>0</v>
      </c>
      <c r="M63" s="2">
        <f>'QE1'!K50-M57</f>
        <v>0</v>
      </c>
      <c r="N63" s="2">
        <f>'QE1'!L50-N57</f>
        <v>0</v>
      </c>
      <c r="O63" s="2">
        <f>'QE1'!M50-O57</f>
        <v>0</v>
      </c>
      <c r="P63" s="2">
        <f>'QE1'!N50-P57</f>
        <v>0</v>
      </c>
      <c r="Q63" s="2">
        <f>'QE1'!O50-Q57</f>
        <v>0</v>
      </c>
      <c r="R63" s="2">
        <f>'QE1'!P50-R57</f>
        <v>0</v>
      </c>
      <c r="S63" s="2">
        <f>'QE1'!Q50-S57</f>
        <v>0</v>
      </c>
      <c r="T63" s="2">
        <f>'QE1'!R50-T57</f>
        <v>0</v>
      </c>
      <c r="U63" s="2">
        <f>'QE1'!S50-U57</f>
        <v>0</v>
      </c>
      <c r="V63" s="2">
        <f>'QE1'!T50-V57</f>
        <v>0</v>
      </c>
      <c r="W63" s="2">
        <f>'QE1'!U50-W57</f>
        <v>0</v>
      </c>
      <c r="X63" s="2">
        <f>'QE1'!V50-X57</f>
        <v>0</v>
      </c>
      <c r="Y63" s="2">
        <f>'QE1'!W50-Y57</f>
        <v>0</v>
      </c>
      <c r="Z63" s="2">
        <f>'QE1'!X50-Z57</f>
        <v>0</v>
      </c>
      <c r="AA63" s="2">
        <f>'QE1'!Y50-AA57</f>
        <v>0</v>
      </c>
      <c r="AB63" s="2">
        <f>'QE1'!Z50-AB57</f>
        <v>0</v>
      </c>
      <c r="AC63" s="2">
        <f>'QE1'!AA50-AC57</f>
        <v>0</v>
      </c>
      <c r="AD63" s="2">
        <f>'QE1'!AB50-AD57</f>
        <v>0</v>
      </c>
      <c r="AE63" s="2">
        <f>'QE1'!AC50-AE57</f>
        <v>0</v>
      </c>
      <c r="AF63" s="2">
        <f>'QE1'!AD50-AF57</f>
        <v>0</v>
      </c>
      <c r="AG63" s="2">
        <f>'QE1'!AE50-AG57</f>
        <v>0</v>
      </c>
      <c r="AH63" s="2">
        <f>'QE1'!AF50-AH57</f>
        <v>0</v>
      </c>
      <c r="AI63" s="2">
        <f>'QE1'!AG50-AI57</f>
        <v>0</v>
      </c>
      <c r="AJ63" s="2">
        <f>'QE1'!AH50-AJ57</f>
        <v>0</v>
      </c>
      <c r="AK63" s="2">
        <f>'QE1'!AI50-AK57</f>
        <v>0</v>
      </c>
      <c r="AL63" s="2"/>
      <c r="AM63" s="2">
        <f>'QE1'!AK50-AM57</f>
        <v>0</v>
      </c>
      <c r="AN63" s="2">
        <f>'QE1'!AL50-AN57</f>
        <v>0</v>
      </c>
      <c r="AO63" s="2">
        <f>'QE1'!AM50-AO57</f>
        <v>0</v>
      </c>
    </row>
    <row r="65" spans="3:41" ht="13.5" x14ac:dyDescent="0.55000000000000004">
      <c r="C65" s="34" t="s">
        <v>440</v>
      </c>
      <c r="D65" s="31"/>
      <c r="E65" s="31"/>
      <c r="F65" s="31"/>
      <c r="G65" s="36" t="s">
        <v>439</v>
      </c>
      <c r="H65" s="36"/>
      <c r="I65" s="36"/>
      <c r="J65" s="36"/>
      <c r="K65" s="36"/>
      <c r="L65" s="36"/>
      <c r="M65" s="36"/>
      <c r="N65" s="36"/>
      <c r="O65" s="36"/>
      <c r="P65" s="36"/>
      <c r="Q65" s="36"/>
      <c r="R65" s="36"/>
      <c r="S65" s="36" t="s">
        <v>32</v>
      </c>
      <c r="T65" s="36"/>
      <c r="U65" s="36"/>
      <c r="V65" s="36"/>
      <c r="W65" s="36"/>
      <c r="X65" s="36"/>
      <c r="Y65" s="36"/>
      <c r="Z65" s="36"/>
      <c r="AA65" s="36"/>
      <c r="AB65" s="36"/>
      <c r="AC65" s="36"/>
      <c r="AD65" s="36"/>
      <c r="AE65" s="36" t="s">
        <v>31</v>
      </c>
      <c r="AF65" s="36"/>
      <c r="AG65" s="36"/>
      <c r="AH65" s="36"/>
      <c r="AI65" s="36"/>
      <c r="AJ65" s="36"/>
      <c r="AK65" s="36"/>
      <c r="AL65" s="31"/>
      <c r="AM65" s="31"/>
      <c r="AN65" s="31"/>
      <c r="AO65" s="31"/>
    </row>
    <row r="66" spans="3:41" ht="10.5" x14ac:dyDescent="0.25">
      <c r="C66" s="34" t="str">
        <f>C8</f>
        <v>($ in 000s)</v>
      </c>
      <c r="D66" s="34" t="s">
        <v>438</v>
      </c>
      <c r="E66" s="34" t="s">
        <v>420</v>
      </c>
      <c r="F66" s="34" t="s">
        <v>33</v>
      </c>
      <c r="G66" s="32">
        <f>TB!K1</f>
        <v>45046</v>
      </c>
      <c r="H66" s="32">
        <f>TB!L1</f>
        <v>45077</v>
      </c>
      <c r="I66" s="32">
        <f>TB!M1</f>
        <v>45107</v>
      </c>
      <c r="J66" s="32">
        <f>TB!N1</f>
        <v>45138</v>
      </c>
      <c r="K66" s="32">
        <f>TB!O1</f>
        <v>45169</v>
      </c>
      <c r="L66" s="32">
        <f>TB!P1</f>
        <v>45199</v>
      </c>
      <c r="M66" s="32">
        <f>TB!Q1</f>
        <v>45230</v>
      </c>
      <c r="N66" s="32">
        <f>TB!R1</f>
        <v>45260</v>
      </c>
      <c r="O66" s="32">
        <f>TB!S1</f>
        <v>45291</v>
      </c>
      <c r="P66" s="32">
        <f>TB!T1</f>
        <v>45322</v>
      </c>
      <c r="Q66" s="32">
        <f>TB!U1</f>
        <v>45351</v>
      </c>
      <c r="R66" s="32">
        <f>TB!V1</f>
        <v>45382</v>
      </c>
      <c r="S66" s="32">
        <f>TB!W1</f>
        <v>45412</v>
      </c>
      <c r="T66" s="32">
        <f>TB!X1</f>
        <v>45443</v>
      </c>
      <c r="U66" s="32">
        <f>TB!Y1</f>
        <v>45473</v>
      </c>
      <c r="V66" s="32">
        <f>TB!Z1</f>
        <v>45504</v>
      </c>
      <c r="W66" s="32">
        <f>TB!AA1</f>
        <v>45535</v>
      </c>
      <c r="X66" s="32">
        <f>TB!AB1</f>
        <v>45565</v>
      </c>
      <c r="Y66" s="32">
        <f>TB!AC1</f>
        <v>45596</v>
      </c>
      <c r="Z66" s="32">
        <f>TB!AD1</f>
        <v>45626</v>
      </c>
      <c r="AA66" s="32">
        <f>TB!AE1</f>
        <v>45657</v>
      </c>
      <c r="AB66" s="32">
        <f>TB!AF1</f>
        <v>45688</v>
      </c>
      <c r="AC66" s="32">
        <f>TB!AG1</f>
        <v>45716</v>
      </c>
      <c r="AD66" s="32">
        <f>TB!AH1</f>
        <v>45747</v>
      </c>
      <c r="AE66" s="32">
        <f>TB!AI1</f>
        <v>45777</v>
      </c>
      <c r="AF66" s="32">
        <f>TB!AJ1</f>
        <v>45808</v>
      </c>
      <c r="AG66" s="32">
        <f>TB!AK1</f>
        <v>45838</v>
      </c>
      <c r="AH66" s="32">
        <f>TB!AL1</f>
        <v>45869</v>
      </c>
      <c r="AI66" s="32">
        <f>TB!AM1</f>
        <v>45900</v>
      </c>
      <c r="AJ66" s="32">
        <f>TB!AN1</f>
        <v>45930</v>
      </c>
      <c r="AK66" s="32">
        <f>TB!AO1</f>
        <v>45961</v>
      </c>
      <c r="AL66" s="31"/>
      <c r="AM66" s="32">
        <f>R66</f>
        <v>45382</v>
      </c>
      <c r="AN66" s="32">
        <f>AD66</f>
        <v>45747</v>
      </c>
      <c r="AO66" s="32">
        <f>AK66</f>
        <v>45961</v>
      </c>
    </row>
    <row r="67" spans="3:41" ht="11.25" customHeight="1" x14ac:dyDescent="0.2">
      <c r="C67" t="s">
        <v>437</v>
      </c>
      <c r="G67" s="29">
        <f>'BS1'!E13</f>
        <v>1932.9507000000001</v>
      </c>
      <c r="H67" s="29">
        <f>'BS1'!F13</f>
        <v>1864.09961</v>
      </c>
      <c r="I67" s="29">
        <f>'BS1'!G13</f>
        <v>2052.4213500000001</v>
      </c>
      <c r="J67" s="29">
        <f>'BS1'!H13</f>
        <v>2274.0476399999998</v>
      </c>
      <c r="K67" s="29">
        <f>'BS1'!I13</f>
        <v>2353.3169099999996</v>
      </c>
      <c r="L67" s="29">
        <f>'BS1'!J13</f>
        <v>2350.7603999999997</v>
      </c>
      <c r="M67" s="29">
        <f>'BS1'!K13</f>
        <v>2553.9765699999998</v>
      </c>
      <c r="N67" s="29">
        <f>'BS1'!L13</f>
        <v>3200.33</v>
      </c>
      <c r="O67" s="29">
        <f>'BS1'!M13</f>
        <v>3862.94</v>
      </c>
      <c r="P67" s="29">
        <f>'BS1'!N13</f>
        <v>3695.8572799999997</v>
      </c>
      <c r="Q67" s="29">
        <f>'BS1'!O13</f>
        <v>3727.9847599999998</v>
      </c>
      <c r="R67" s="29">
        <f>'BS1'!P13</f>
        <v>3099.3656900000001</v>
      </c>
      <c r="S67" s="29">
        <f>'BS1'!Q13</f>
        <v>3094.8509199999999</v>
      </c>
      <c r="T67" s="29">
        <f>'BS1'!R13</f>
        <v>3174.9021499999999</v>
      </c>
      <c r="U67" s="29">
        <f>'BS1'!S13</f>
        <v>3059.7787999999996</v>
      </c>
      <c r="V67" s="29">
        <f>'BS1'!T13</f>
        <v>2859.8872399999996</v>
      </c>
      <c r="W67" s="29">
        <f>'BS1'!U13</f>
        <v>2952.40452</v>
      </c>
      <c r="X67" s="29">
        <f>'BS1'!V13</f>
        <v>2719.1369800000002</v>
      </c>
      <c r="Y67" s="29">
        <f>'BS1'!W13</f>
        <v>2606.9300699999999</v>
      </c>
      <c r="Z67" s="29">
        <f>'BS1'!X13</f>
        <v>3315.6637699999997</v>
      </c>
      <c r="AA67" s="29">
        <f>'BS1'!Y13</f>
        <v>3809.9636999999998</v>
      </c>
      <c r="AB67" s="29">
        <f>'BS1'!Z13</f>
        <v>3651.1874199999997</v>
      </c>
      <c r="AC67" s="29">
        <f>'BS1'!AA13</f>
        <v>3523.0547499999998</v>
      </c>
      <c r="AD67" s="29">
        <f>'BS1'!AB13</f>
        <v>3459.2895200000003</v>
      </c>
      <c r="AE67" s="29">
        <f>'BS1'!AC13</f>
        <v>3102.6164100000001</v>
      </c>
      <c r="AF67" s="29">
        <f>'BS1'!AD13</f>
        <v>2940.1249900000003</v>
      </c>
      <c r="AG67" s="29">
        <f>'BS1'!AE13</f>
        <v>3106.6871700000002</v>
      </c>
      <c r="AH67" s="29">
        <f>'BS1'!AF13</f>
        <v>2794.3529800000001</v>
      </c>
      <c r="AI67" s="29">
        <f>'BS1'!AG13</f>
        <v>2707.1296000000002</v>
      </c>
      <c r="AJ67" s="29">
        <f>'BS1'!AH13</f>
        <v>2848.1308700000004</v>
      </c>
      <c r="AK67" s="29">
        <f>'BS1'!AI13</f>
        <v>2539.1379900000002</v>
      </c>
      <c r="AL67" s="29"/>
      <c r="AM67" s="29">
        <f>R67</f>
        <v>3099.3656900000001</v>
      </c>
      <c r="AN67" s="29">
        <f>AD67</f>
        <v>3459.2895200000003</v>
      </c>
      <c r="AO67" s="29">
        <f>AK67</f>
        <v>2539.1379900000002</v>
      </c>
    </row>
    <row r="68" spans="3:41" ht="11.25" customHeight="1" x14ac:dyDescent="0.2">
      <c r="C68" s="17" t="s">
        <v>436</v>
      </c>
      <c r="D68" s="17"/>
      <c r="E68" s="17"/>
      <c r="F68" s="17"/>
      <c r="G68" s="14">
        <f>'BS1'!E25</f>
        <v>1449.09602</v>
      </c>
      <c r="H68" s="14">
        <f>'BS1'!F25</f>
        <v>1527.2330399999998</v>
      </c>
      <c r="I68" s="14">
        <f>'BS1'!G25</f>
        <v>1615.99803</v>
      </c>
      <c r="J68" s="14">
        <f>'BS1'!H25</f>
        <v>1559.42353</v>
      </c>
      <c r="K68" s="14">
        <f>'BS1'!I25</f>
        <v>1550.2368299999998</v>
      </c>
      <c r="L68" s="14">
        <f>'BS1'!J25</f>
        <v>1604.0057199999999</v>
      </c>
      <c r="M68" s="14">
        <f>'BS1'!K25</f>
        <v>1719.67443</v>
      </c>
      <c r="N68" s="14">
        <f>'BS1'!L25</f>
        <v>1691.65897</v>
      </c>
      <c r="O68" s="14">
        <f>'BS1'!M25</f>
        <v>1538.5094199999999</v>
      </c>
      <c r="P68" s="14">
        <f>'BS1'!N25</f>
        <v>1625.1228800000001</v>
      </c>
      <c r="Q68" s="14">
        <f>'BS1'!O25</f>
        <v>1889.50245</v>
      </c>
      <c r="R68" s="14">
        <f>'BS1'!P25</f>
        <v>1245.3871800000002</v>
      </c>
      <c r="S68" s="14">
        <f>'BS1'!Q25</f>
        <v>1328.51061</v>
      </c>
      <c r="T68" s="14">
        <f>'BS1'!R25</f>
        <v>1324.2310900000002</v>
      </c>
      <c r="U68" s="14">
        <f>'BS1'!S25</f>
        <v>1358.1352899999999</v>
      </c>
      <c r="V68" s="14">
        <f>'BS1'!T25</f>
        <v>1322.16176</v>
      </c>
      <c r="W68" s="14">
        <f>'BS1'!U25</f>
        <v>1399.5944999999999</v>
      </c>
      <c r="X68" s="14">
        <f>'BS1'!V25</f>
        <v>1375.3744400000003</v>
      </c>
      <c r="Y68" s="14">
        <f>'BS1'!W25</f>
        <v>1440.63051</v>
      </c>
      <c r="Z68" s="14">
        <f>'BS1'!X25</f>
        <v>1542.6405500000001</v>
      </c>
      <c r="AA68" s="14">
        <f>'BS1'!Y25</f>
        <v>1539.61178</v>
      </c>
      <c r="AB68" s="14">
        <f>'BS1'!Z25</f>
        <v>1185.71164</v>
      </c>
      <c r="AC68" s="14">
        <f>'BS1'!AA25</f>
        <v>1057.1979899999999</v>
      </c>
      <c r="AD68" s="14">
        <f>'BS1'!AB25</f>
        <v>1174.25425</v>
      </c>
      <c r="AE68" s="14">
        <f>'BS1'!AC25</f>
        <v>1219.6444799999999</v>
      </c>
      <c r="AF68" s="14">
        <f>'BS1'!AD25</f>
        <v>1353.3332499999999</v>
      </c>
      <c r="AG68" s="14">
        <f>'BS1'!AE25</f>
        <v>1433.7202699999998</v>
      </c>
      <c r="AH68" s="14">
        <f>'BS1'!AF25</f>
        <v>1143.8601100000001</v>
      </c>
      <c r="AI68" s="14">
        <f>'BS1'!AG25</f>
        <v>1289.4297900000001</v>
      </c>
      <c r="AJ68" s="14">
        <f>'BS1'!AH25</f>
        <v>1292.4159099999999</v>
      </c>
      <c r="AK68" s="14">
        <f>'BS1'!AI25</f>
        <v>1285.7402099999999</v>
      </c>
      <c r="AL68" s="14"/>
      <c r="AM68" s="14">
        <f>R68</f>
        <v>1245.3871800000002</v>
      </c>
      <c r="AN68" s="14">
        <f>AD68</f>
        <v>1174.25425</v>
      </c>
      <c r="AO68" s="14">
        <f>AK68</f>
        <v>1285.7402099999999</v>
      </c>
    </row>
    <row r="69" spans="3:41" s="108" customFormat="1" ht="12" customHeight="1" thickBot="1" x14ac:dyDescent="0.3">
      <c r="C69" s="110" t="s">
        <v>435</v>
      </c>
      <c r="D69" s="110"/>
      <c r="E69" s="110"/>
      <c r="F69" s="110"/>
      <c r="G69" s="109">
        <f>G67-G68</f>
        <v>483.85468000000014</v>
      </c>
      <c r="H69" s="109">
        <f>H67-H68</f>
        <v>336.86657000000014</v>
      </c>
      <c r="I69" s="109">
        <f>I67-I68</f>
        <v>436.4233200000001</v>
      </c>
      <c r="J69" s="109">
        <f>J67-J68</f>
        <v>714.62410999999975</v>
      </c>
      <c r="K69" s="109">
        <f>K67-K68</f>
        <v>803.08007999999973</v>
      </c>
      <c r="L69" s="109">
        <f>L67-L68</f>
        <v>746.75467999999978</v>
      </c>
      <c r="M69" s="109">
        <f>M67-M68</f>
        <v>834.30213999999978</v>
      </c>
      <c r="N69" s="109">
        <f>N67-N68</f>
        <v>1508.67103</v>
      </c>
      <c r="O69" s="109">
        <f>O67-O68</f>
        <v>2324.4305800000002</v>
      </c>
      <c r="P69" s="109">
        <f>P67-P68</f>
        <v>2070.7343999999994</v>
      </c>
      <c r="Q69" s="109">
        <f>Q67-Q68</f>
        <v>1838.4823099999999</v>
      </c>
      <c r="R69" s="109">
        <f>R67-R68</f>
        <v>1853.9785099999999</v>
      </c>
      <c r="S69" s="109">
        <f>S67-S68</f>
        <v>1766.3403099999998</v>
      </c>
      <c r="T69" s="109">
        <f>T67-T68</f>
        <v>1850.6710599999997</v>
      </c>
      <c r="U69" s="109">
        <f>U67-U68</f>
        <v>1701.6435099999997</v>
      </c>
      <c r="V69" s="109">
        <f>V67-V68</f>
        <v>1537.7254799999996</v>
      </c>
      <c r="W69" s="109">
        <f>W67-W68</f>
        <v>1552.8100200000001</v>
      </c>
      <c r="X69" s="109">
        <f>X67-X68</f>
        <v>1343.7625399999999</v>
      </c>
      <c r="Y69" s="109">
        <f>Y67-Y68</f>
        <v>1166.2995599999999</v>
      </c>
      <c r="Z69" s="109">
        <f>Z67-Z68</f>
        <v>1773.0232199999996</v>
      </c>
      <c r="AA69" s="109">
        <f>AA67-AA68</f>
        <v>2270.3519200000001</v>
      </c>
      <c r="AB69" s="109">
        <f>AB67-AB68</f>
        <v>2465.4757799999998</v>
      </c>
      <c r="AC69" s="109">
        <f>AC67-AC68</f>
        <v>2465.8567599999997</v>
      </c>
      <c r="AD69" s="109">
        <f>AD67-AD68</f>
        <v>2285.0352700000003</v>
      </c>
      <c r="AE69" s="109">
        <f>AE67-AE68</f>
        <v>1882.9719300000002</v>
      </c>
      <c r="AF69" s="109">
        <f>AF67-AF68</f>
        <v>1586.7917400000003</v>
      </c>
      <c r="AG69" s="109">
        <f>AG67-AG68</f>
        <v>1672.9669000000004</v>
      </c>
      <c r="AH69" s="109">
        <f>AH67-AH68</f>
        <v>1650.49287</v>
      </c>
      <c r="AI69" s="109">
        <f>AI67-AI68</f>
        <v>1417.6998100000001</v>
      </c>
      <c r="AJ69" s="109">
        <f>AJ67-AJ68</f>
        <v>1555.7149600000005</v>
      </c>
      <c r="AK69" s="109">
        <f>AK67-AK68</f>
        <v>1253.3977800000002</v>
      </c>
      <c r="AL69" s="109"/>
      <c r="AM69" s="109">
        <f>AM67-AM68</f>
        <v>1853.9785099999999</v>
      </c>
      <c r="AN69" s="109">
        <f>AN67-AN68</f>
        <v>2285.0352700000003</v>
      </c>
      <c r="AO69" s="109">
        <f>AO67-AO68</f>
        <v>1253.3977800000002</v>
      </c>
    </row>
    <row r="70" spans="3:41" ht="6" customHeight="1" x14ac:dyDescent="0.2"/>
    <row r="71" spans="3:41" ht="11.25" customHeight="1" outlineLevel="1" x14ac:dyDescent="0.2">
      <c r="C71" s="7" t="s">
        <v>147</v>
      </c>
      <c r="F71" s="4"/>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row>
    <row r="72" spans="3:41" ht="11.25" customHeight="1" outlineLevel="1" x14ac:dyDescent="0.2">
      <c r="C72" t="s">
        <v>146</v>
      </c>
      <c r="D72" t="s">
        <v>434</v>
      </c>
      <c r="F72" s="4"/>
      <c r="G72" s="29">
        <f>-'BS1'!E9</f>
        <v>-1634.4889000000001</v>
      </c>
      <c r="H72" s="29">
        <f>-'BS1'!F9</f>
        <v>-1515.8343100000002</v>
      </c>
      <c r="I72" s="29">
        <f>-'BS1'!G9</f>
        <v>-1285.8185500000002</v>
      </c>
      <c r="J72" s="29">
        <f>-'BS1'!H9</f>
        <v>-1744.66732</v>
      </c>
      <c r="K72" s="29">
        <f>-'BS1'!I9</f>
        <v>-1893.5655899999999</v>
      </c>
      <c r="L72" s="29">
        <f>-'BS1'!J9</f>
        <v>-1712.3810799999999</v>
      </c>
      <c r="M72" s="29">
        <f>-'BS1'!K9</f>
        <v>-1802.0490499999999</v>
      </c>
      <c r="N72" s="29">
        <f>-'BS1'!L9</f>
        <v>-1828.55198</v>
      </c>
      <c r="O72" s="29">
        <f>-'BS1'!M9</f>
        <v>-2956.0589800000002</v>
      </c>
      <c r="P72" s="29">
        <f>-'BS1'!N9</f>
        <v>-3328.94526</v>
      </c>
      <c r="Q72" s="29">
        <f>-'BS1'!O9</f>
        <v>-3360.91174</v>
      </c>
      <c r="R72" s="29">
        <f>-'BS1'!P9</f>
        <v>-2467.13717</v>
      </c>
      <c r="S72" s="29">
        <f>-'BS1'!Q9</f>
        <v>-2552.3519000000001</v>
      </c>
      <c r="T72" s="29">
        <f>-'BS1'!R9</f>
        <v>-2457.46513</v>
      </c>
      <c r="U72" s="29">
        <f>-'BS1'!S9</f>
        <v>-2590.8992799999996</v>
      </c>
      <c r="V72" s="29">
        <f>-'BS1'!T9</f>
        <v>-2431.6507199999996</v>
      </c>
      <c r="W72" s="29">
        <f>-'BS1'!U9</f>
        <v>-2430.7370000000001</v>
      </c>
      <c r="X72" s="29">
        <f>-'BS1'!V9</f>
        <v>-2168.6964600000001</v>
      </c>
      <c r="Y72" s="29">
        <f>-'BS1'!W9</f>
        <v>-2132.2815499999997</v>
      </c>
      <c r="Z72" s="29">
        <f>-'BS1'!X9</f>
        <v>-2394.8332499999997</v>
      </c>
      <c r="AA72" s="29">
        <f>-'BS1'!Y9</f>
        <v>-2701.4361799999997</v>
      </c>
      <c r="AB72" s="29">
        <f>-'BS1'!Z9</f>
        <v>-3318.5348999999997</v>
      </c>
      <c r="AC72" s="29">
        <f>-'BS1'!AA9</f>
        <v>-2791.1657299999997</v>
      </c>
      <c r="AD72" s="29">
        <f>-'BS1'!AB9</f>
        <v>-2857.098</v>
      </c>
      <c r="AE72" s="29">
        <f>-'BS1'!AC9</f>
        <v>-2540.75189</v>
      </c>
      <c r="AF72" s="29">
        <f>-'BS1'!AD9</f>
        <v>-2423.83347</v>
      </c>
      <c r="AG72" s="29">
        <f>-'BS1'!AE9</f>
        <v>-2106.0055499999999</v>
      </c>
      <c r="AH72" s="29">
        <f>-'BS1'!AF9</f>
        <v>-2154.0578599999999</v>
      </c>
      <c r="AI72" s="29">
        <f>-'BS1'!AG9</f>
        <v>-2093.9210800000001</v>
      </c>
      <c r="AJ72" s="29">
        <f>-'BS1'!AH9</f>
        <v>-2007.01935</v>
      </c>
      <c r="AK72" s="29">
        <f>-'BS1'!AI9</f>
        <v>-1764.08347</v>
      </c>
      <c r="AL72" s="29"/>
      <c r="AM72" s="29">
        <f>R72</f>
        <v>-2467.13717</v>
      </c>
      <c r="AN72" s="29">
        <f>AD72</f>
        <v>-2857.098</v>
      </c>
      <c r="AO72" s="29">
        <f>AK72</f>
        <v>-1764.08347</v>
      </c>
    </row>
    <row r="73" spans="3:41" ht="11.25" customHeight="1" outlineLevel="1" x14ac:dyDescent="0.2">
      <c r="C73" t="s">
        <v>145</v>
      </c>
      <c r="D73" t="s">
        <v>434</v>
      </c>
      <c r="F73" s="4"/>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f>R73</f>
        <v>0</v>
      </c>
      <c r="AN73" s="2">
        <f>AD73</f>
        <v>0</v>
      </c>
      <c r="AO73" s="2">
        <f>AK73</f>
        <v>0</v>
      </c>
    </row>
    <row r="74" spans="3:41" ht="11.25" customHeight="1" outlineLevel="1" x14ac:dyDescent="0.2">
      <c r="C74" t="s">
        <v>144</v>
      </c>
      <c r="D74" t="s">
        <v>434</v>
      </c>
      <c r="F74" s="4"/>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f>R74</f>
        <v>0</v>
      </c>
      <c r="AN74" s="2">
        <f>AD74</f>
        <v>0</v>
      </c>
      <c r="AO74" s="2">
        <f>AK74</f>
        <v>0</v>
      </c>
    </row>
    <row r="75" spans="3:41" ht="11.25" customHeight="1" outlineLevel="1" x14ac:dyDescent="0.2">
      <c r="C75" s="17" t="s">
        <v>143</v>
      </c>
      <c r="D75" s="17" t="s">
        <v>434</v>
      </c>
      <c r="E75" s="17"/>
      <c r="F75" s="15"/>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f>R75</f>
        <v>0</v>
      </c>
      <c r="AN75" s="14">
        <f>AD75</f>
        <v>0</v>
      </c>
      <c r="AO75" s="14">
        <f>AK75</f>
        <v>0</v>
      </c>
    </row>
    <row r="76" spans="3:41" ht="11.25" customHeight="1" x14ac:dyDescent="0.25">
      <c r="C76" s="17" t="s">
        <v>142</v>
      </c>
      <c r="D76" s="17"/>
      <c r="E76" s="17"/>
      <c r="F76" s="107" t="s">
        <v>112</v>
      </c>
      <c r="G76" s="14">
        <f>SUM(G72:G75)</f>
        <v>-1634.4889000000001</v>
      </c>
      <c r="H76" s="14">
        <f>SUM(H72:H75)</f>
        <v>-1515.8343100000002</v>
      </c>
      <c r="I76" s="14">
        <f>SUM(I72:I75)</f>
        <v>-1285.8185500000002</v>
      </c>
      <c r="J76" s="14">
        <f>SUM(J72:J75)</f>
        <v>-1744.66732</v>
      </c>
      <c r="K76" s="14">
        <f>SUM(K72:K75)</f>
        <v>-1893.5655899999999</v>
      </c>
      <c r="L76" s="14">
        <f>SUM(L72:L75)</f>
        <v>-1712.3810799999999</v>
      </c>
      <c r="M76" s="14">
        <f>SUM(M72:M75)</f>
        <v>-1802.0490499999999</v>
      </c>
      <c r="N76" s="14">
        <f>SUM(N72:N75)</f>
        <v>-1828.55198</v>
      </c>
      <c r="O76" s="14">
        <f>SUM(O72:O75)</f>
        <v>-2956.0589800000002</v>
      </c>
      <c r="P76" s="14">
        <f>SUM(P72:P75)</f>
        <v>-3328.94526</v>
      </c>
      <c r="Q76" s="14">
        <f>SUM(Q72:Q75)</f>
        <v>-3360.91174</v>
      </c>
      <c r="R76" s="14">
        <f>SUM(R72:R75)</f>
        <v>-2467.13717</v>
      </c>
      <c r="S76" s="14">
        <f>SUM(S72:S75)</f>
        <v>-2552.3519000000001</v>
      </c>
      <c r="T76" s="14">
        <f>SUM(T72:T75)</f>
        <v>-2457.46513</v>
      </c>
      <c r="U76" s="14">
        <f>SUM(U72:U75)</f>
        <v>-2590.8992799999996</v>
      </c>
      <c r="V76" s="14">
        <f>SUM(V72:V75)</f>
        <v>-2431.6507199999996</v>
      </c>
      <c r="W76" s="14">
        <f>SUM(W72:W75)</f>
        <v>-2430.7370000000001</v>
      </c>
      <c r="X76" s="14">
        <f>SUM(X72:X75)</f>
        <v>-2168.6964600000001</v>
      </c>
      <c r="Y76" s="14">
        <f>SUM(Y72:Y75)</f>
        <v>-2132.2815499999997</v>
      </c>
      <c r="Z76" s="14">
        <f>SUM(Z72:Z75)</f>
        <v>-2394.8332499999997</v>
      </c>
      <c r="AA76" s="14">
        <f>SUM(AA72:AA75)</f>
        <v>-2701.4361799999997</v>
      </c>
      <c r="AB76" s="14">
        <f>SUM(AB72:AB75)</f>
        <v>-3318.5348999999997</v>
      </c>
      <c r="AC76" s="14">
        <f>SUM(AC72:AC75)</f>
        <v>-2791.1657299999997</v>
      </c>
      <c r="AD76" s="14">
        <f>SUM(AD72:AD75)</f>
        <v>-2857.098</v>
      </c>
      <c r="AE76" s="14">
        <f>SUM(AE72:AE75)</f>
        <v>-2540.75189</v>
      </c>
      <c r="AF76" s="14">
        <f>SUM(AF72:AF75)</f>
        <v>-2423.83347</v>
      </c>
      <c r="AG76" s="14">
        <f>SUM(AG72:AG75)</f>
        <v>-2106.0055499999999</v>
      </c>
      <c r="AH76" s="14">
        <f>SUM(AH72:AH75)</f>
        <v>-2154.0578599999999</v>
      </c>
      <c r="AI76" s="14">
        <f>SUM(AI72:AI75)</f>
        <v>-2093.9210800000001</v>
      </c>
      <c r="AJ76" s="14">
        <f>SUM(AJ72:AJ75)</f>
        <v>-2007.01935</v>
      </c>
      <c r="AK76" s="14">
        <f>SUM(AK72:AK75)</f>
        <v>-1764.08347</v>
      </c>
      <c r="AL76" s="14"/>
      <c r="AM76" s="14">
        <f>SUM(AM72:AM75)</f>
        <v>-2467.13717</v>
      </c>
      <c r="AN76" s="14">
        <f>SUM(AN72:AN75)</f>
        <v>-2857.098</v>
      </c>
      <c r="AO76" s="14">
        <f>SUM(AO72:AO75)</f>
        <v>-1764.08347</v>
      </c>
    </row>
    <row r="77" spans="3:41" ht="12" customHeight="1" thickBot="1" x14ac:dyDescent="0.3">
      <c r="C77" s="67" t="s">
        <v>433</v>
      </c>
      <c r="D77" s="67"/>
      <c r="E77" s="67"/>
      <c r="F77" s="67"/>
      <c r="G77" s="10">
        <f>G69+G76</f>
        <v>-1150.6342199999999</v>
      </c>
      <c r="H77" s="10">
        <f>H69+H76</f>
        <v>-1178.96774</v>
      </c>
      <c r="I77" s="10">
        <f>I69+I76</f>
        <v>-849.39523000000008</v>
      </c>
      <c r="J77" s="10">
        <f>J69+J76</f>
        <v>-1030.0432100000003</v>
      </c>
      <c r="K77" s="10">
        <f>K69+K76</f>
        <v>-1090.4855100000002</v>
      </c>
      <c r="L77" s="10">
        <f>L69+L76</f>
        <v>-965.6264000000001</v>
      </c>
      <c r="M77" s="10">
        <f>M69+M76</f>
        <v>-967.74691000000007</v>
      </c>
      <c r="N77" s="10">
        <f>N69+N76</f>
        <v>-319.88094999999998</v>
      </c>
      <c r="O77" s="10">
        <f>O69+O76</f>
        <v>-631.62840000000006</v>
      </c>
      <c r="P77" s="10">
        <f>P69+P76</f>
        <v>-1258.2108600000006</v>
      </c>
      <c r="Q77" s="10">
        <f>Q69+Q76</f>
        <v>-1522.4294300000001</v>
      </c>
      <c r="R77" s="10">
        <f>R69+R76</f>
        <v>-613.15866000000005</v>
      </c>
      <c r="S77" s="10">
        <f>S69+S76</f>
        <v>-786.0115900000003</v>
      </c>
      <c r="T77" s="10">
        <f>T69+T76</f>
        <v>-606.79407000000037</v>
      </c>
      <c r="U77" s="10">
        <f>U69+U76</f>
        <v>-889.25576999999998</v>
      </c>
      <c r="V77" s="10">
        <f>V69+V76</f>
        <v>-893.92524000000003</v>
      </c>
      <c r="W77" s="10">
        <f>W69+W76</f>
        <v>-877.92697999999996</v>
      </c>
      <c r="X77" s="10">
        <f>X69+X76</f>
        <v>-824.93392000000017</v>
      </c>
      <c r="Y77" s="10">
        <f>Y69+Y76</f>
        <v>-965.98198999999977</v>
      </c>
      <c r="Z77" s="10">
        <f>Z69+Z76</f>
        <v>-621.8100300000001</v>
      </c>
      <c r="AA77" s="10">
        <f>AA69+AA76</f>
        <v>-431.08425999999963</v>
      </c>
      <c r="AB77" s="10">
        <f>AB69+AB76</f>
        <v>-853.05911999999989</v>
      </c>
      <c r="AC77" s="10">
        <f>AC69+AC76</f>
        <v>-325.30897000000004</v>
      </c>
      <c r="AD77" s="10">
        <f>AD69+AD76</f>
        <v>-572.06272999999965</v>
      </c>
      <c r="AE77" s="10">
        <f>AE69+AE76</f>
        <v>-657.77995999999985</v>
      </c>
      <c r="AF77" s="10">
        <f>AF69+AF76</f>
        <v>-837.04172999999969</v>
      </c>
      <c r="AG77" s="10">
        <f>AG69+AG76</f>
        <v>-433.03864999999951</v>
      </c>
      <c r="AH77" s="10">
        <f>AH69+AH76</f>
        <v>-503.56498999999985</v>
      </c>
      <c r="AI77" s="10">
        <f>AI69+AI76</f>
        <v>-676.22127</v>
      </c>
      <c r="AJ77" s="10">
        <f>AJ69+AJ76</f>
        <v>-451.30438999999956</v>
      </c>
      <c r="AK77" s="10">
        <f>AK69+AK76</f>
        <v>-510.68568999999979</v>
      </c>
      <c r="AL77" s="10"/>
      <c r="AM77" s="10">
        <f>AM69+AM76</f>
        <v>-613.15866000000005</v>
      </c>
      <c r="AN77" s="10">
        <f>AN69+AN76</f>
        <v>-572.06272999999965</v>
      </c>
      <c r="AO77" s="10">
        <f>AO69+AO76</f>
        <v>-510.68568999999979</v>
      </c>
    </row>
    <row r="78" spans="3:41" ht="6" customHeight="1" x14ac:dyDescent="0.2"/>
    <row r="79" spans="3:41" ht="11.25" customHeight="1" x14ac:dyDescent="0.2">
      <c r="C79" s="7" t="s">
        <v>432</v>
      </c>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row>
    <row r="80" spans="3:41" ht="11.25" customHeight="1" x14ac:dyDescent="0.25">
      <c r="C80" t="s">
        <v>101</v>
      </c>
      <c r="D80" t="s">
        <v>49</v>
      </c>
      <c r="F80" s="52" t="s">
        <v>111</v>
      </c>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f>R80</f>
        <v>0</v>
      </c>
      <c r="AN80" s="2">
        <f>AD80</f>
        <v>0</v>
      </c>
      <c r="AO80" s="2">
        <f>AK80</f>
        <v>0</v>
      </c>
    </row>
    <row r="81" spans="3:41" ht="11.25" customHeight="1" x14ac:dyDescent="0.25">
      <c r="C81" t="s">
        <v>101</v>
      </c>
      <c r="D81" t="s">
        <v>49</v>
      </c>
      <c r="F81" s="52" t="s">
        <v>110</v>
      </c>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f>R81</f>
        <v>0</v>
      </c>
      <c r="AN81" s="2">
        <f>AD81</f>
        <v>0</v>
      </c>
      <c r="AO81" s="2">
        <f>AK81</f>
        <v>0</v>
      </c>
    </row>
    <row r="82" spans="3:41" ht="11.25" customHeight="1" x14ac:dyDescent="0.25">
      <c r="C82" t="s">
        <v>101</v>
      </c>
      <c r="D82" t="s">
        <v>49</v>
      </c>
      <c r="F82" s="52" t="s">
        <v>109</v>
      </c>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f>R82</f>
        <v>0</v>
      </c>
      <c r="AN82" s="2">
        <f>AD82</f>
        <v>0</v>
      </c>
      <c r="AO82" s="2">
        <f>AK82</f>
        <v>0</v>
      </c>
    </row>
    <row r="83" spans="3:41" ht="11.25" customHeight="1" x14ac:dyDescent="0.25">
      <c r="C83" t="s">
        <v>101</v>
      </c>
      <c r="D83" t="s">
        <v>49</v>
      </c>
      <c r="F83" s="52" t="s">
        <v>108</v>
      </c>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f>R83</f>
        <v>0</v>
      </c>
      <c r="AN83" s="2">
        <f>AD83</f>
        <v>0</v>
      </c>
      <c r="AO83" s="2">
        <f>AK83</f>
        <v>0</v>
      </c>
    </row>
    <row r="84" spans="3:41" ht="11.25" customHeight="1" x14ac:dyDescent="0.25">
      <c r="C84" t="s">
        <v>101</v>
      </c>
      <c r="D84" t="s">
        <v>49</v>
      </c>
      <c r="F84" s="5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f>R84</f>
        <v>0</v>
      </c>
      <c r="AN84" s="2">
        <f>AD84</f>
        <v>0</v>
      </c>
      <c r="AO84" s="2">
        <f>AK84</f>
        <v>0</v>
      </c>
    </row>
    <row r="85" spans="3:41" ht="11.25" customHeight="1" x14ac:dyDescent="0.25">
      <c r="C85" t="s">
        <v>101</v>
      </c>
      <c r="D85" t="s">
        <v>49</v>
      </c>
      <c r="F85" s="5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f>R85</f>
        <v>0</v>
      </c>
      <c r="AN85" s="2">
        <f>AD85</f>
        <v>0</v>
      </c>
      <c r="AO85" s="2">
        <f>AK85</f>
        <v>0</v>
      </c>
    </row>
    <row r="86" spans="3:41" ht="6" customHeight="1" x14ac:dyDescent="0.2"/>
    <row r="87" spans="3:41" ht="11.25" customHeight="1" x14ac:dyDescent="0.2">
      <c r="C87" s="7" t="s">
        <v>107</v>
      </c>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row>
    <row r="88" spans="3:41" ht="11.25" customHeight="1" x14ac:dyDescent="0.25">
      <c r="C88" t="s">
        <v>101</v>
      </c>
      <c r="D88" t="s">
        <v>49</v>
      </c>
      <c r="F88" s="5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f>R88</f>
        <v>0</v>
      </c>
      <c r="AN88" s="2">
        <f>AD88</f>
        <v>0</v>
      </c>
      <c r="AO88" s="2">
        <f>AK88</f>
        <v>0</v>
      </c>
    </row>
    <row r="89" spans="3:41" ht="11.25" customHeight="1" x14ac:dyDescent="0.25">
      <c r="C89" t="s">
        <v>101</v>
      </c>
      <c r="D89" t="s">
        <v>49</v>
      </c>
      <c r="F89" s="5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f>R89</f>
        <v>0</v>
      </c>
      <c r="AN89" s="2">
        <f>AD89</f>
        <v>0</v>
      </c>
      <c r="AO89" s="2">
        <f>AK89</f>
        <v>0</v>
      </c>
    </row>
    <row r="90" spans="3:41" ht="11.25" customHeight="1" x14ac:dyDescent="0.25">
      <c r="C90" t="s">
        <v>101</v>
      </c>
      <c r="D90" t="s">
        <v>49</v>
      </c>
      <c r="F90" s="5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f>R90</f>
        <v>0</v>
      </c>
      <c r="AN90" s="2">
        <f>AD90</f>
        <v>0</v>
      </c>
      <c r="AO90" s="2">
        <f>AK90</f>
        <v>0</v>
      </c>
    </row>
    <row r="91" spans="3:41" ht="11.25" customHeight="1" x14ac:dyDescent="0.25">
      <c r="C91" t="s">
        <v>101</v>
      </c>
      <c r="D91" t="s">
        <v>49</v>
      </c>
      <c r="F91" s="5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f>R91</f>
        <v>0</v>
      </c>
      <c r="AN91" s="2">
        <f>AD91</f>
        <v>0</v>
      </c>
      <c r="AO91" s="2">
        <f>AK91</f>
        <v>0</v>
      </c>
    </row>
    <row r="92" spans="3:41" ht="11.25" customHeight="1" x14ac:dyDescent="0.25">
      <c r="C92" t="s">
        <v>101</v>
      </c>
      <c r="D92" t="s">
        <v>49</v>
      </c>
      <c r="F92" s="5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f>R92</f>
        <v>0</v>
      </c>
      <c r="AN92" s="2">
        <f>AD92</f>
        <v>0</v>
      </c>
      <c r="AO92" s="2">
        <f>AK92</f>
        <v>0</v>
      </c>
    </row>
    <row r="93" spans="3:41" ht="11.25" customHeight="1" x14ac:dyDescent="0.25">
      <c r="C93" t="s">
        <v>101</v>
      </c>
      <c r="D93" t="s">
        <v>49</v>
      </c>
      <c r="F93" s="5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f>R93</f>
        <v>0</v>
      </c>
      <c r="AN93" s="2">
        <f>AD93</f>
        <v>0</v>
      </c>
      <c r="AO93" s="2">
        <f>AK93</f>
        <v>0</v>
      </c>
    </row>
    <row r="94" spans="3:41" ht="11.25" customHeight="1" thickBot="1" x14ac:dyDescent="0.3">
      <c r="C94" s="40" t="s">
        <v>431</v>
      </c>
      <c r="D94" s="49"/>
      <c r="E94" s="49"/>
      <c r="F94" s="49"/>
      <c r="G94" s="39">
        <f>SUM(G80:G93)</f>
        <v>0</v>
      </c>
      <c r="H94" s="39">
        <f>SUM(H80:H93)</f>
        <v>0</v>
      </c>
      <c r="I94" s="39">
        <f>SUM(I80:I93)</f>
        <v>0</v>
      </c>
      <c r="J94" s="39">
        <f>SUM(J80:J93)</f>
        <v>0</v>
      </c>
      <c r="K94" s="39">
        <f>SUM(K80:K93)</f>
        <v>0</v>
      </c>
      <c r="L94" s="39">
        <f>SUM(L80:L93)</f>
        <v>0</v>
      </c>
      <c r="M94" s="39">
        <f>SUM(M80:M93)</f>
        <v>0</v>
      </c>
      <c r="N94" s="39">
        <f>SUM(N80:N93)</f>
        <v>0</v>
      </c>
      <c r="O94" s="39">
        <f>SUM(O80:O93)</f>
        <v>0</v>
      </c>
      <c r="P94" s="39">
        <f>SUM(P80:P93)</f>
        <v>0</v>
      </c>
      <c r="Q94" s="39">
        <f>SUM(Q80:Q93)</f>
        <v>0</v>
      </c>
      <c r="R94" s="39">
        <f>SUM(R80:R93)</f>
        <v>0</v>
      </c>
      <c r="S94" s="39">
        <f>SUM(S80:S93)</f>
        <v>0</v>
      </c>
      <c r="T94" s="39">
        <f>SUM(T80:T93)</f>
        <v>0</v>
      </c>
      <c r="U94" s="39">
        <f>SUM(U80:U93)</f>
        <v>0</v>
      </c>
      <c r="V94" s="39">
        <f>SUM(V80:V93)</f>
        <v>0</v>
      </c>
      <c r="W94" s="39">
        <f>SUM(W80:W93)</f>
        <v>0</v>
      </c>
      <c r="X94" s="39">
        <f>SUM(X80:X93)</f>
        <v>0</v>
      </c>
      <c r="Y94" s="39">
        <f>SUM(Y80:Y93)</f>
        <v>0</v>
      </c>
      <c r="Z94" s="39">
        <f>SUM(Z80:Z93)</f>
        <v>0</v>
      </c>
      <c r="AA94" s="39">
        <f>SUM(AA80:AA93)</f>
        <v>0</v>
      </c>
      <c r="AB94" s="39">
        <f>SUM(AB80:AB93)</f>
        <v>0</v>
      </c>
      <c r="AC94" s="39">
        <f>SUM(AC80:AC93)</f>
        <v>0</v>
      </c>
      <c r="AD94" s="39">
        <f>SUM(AD80:AD93)</f>
        <v>0</v>
      </c>
      <c r="AE94" s="39">
        <f>SUM(AE80:AE93)</f>
        <v>0</v>
      </c>
      <c r="AF94" s="39">
        <f>SUM(AF80:AF93)</f>
        <v>0</v>
      </c>
      <c r="AG94" s="39">
        <f>SUM(AG80:AG93)</f>
        <v>0</v>
      </c>
      <c r="AH94" s="39">
        <f>SUM(AH80:AH93)</f>
        <v>0</v>
      </c>
      <c r="AI94" s="39">
        <f>SUM(AI80:AI93)</f>
        <v>0</v>
      </c>
      <c r="AJ94" s="39">
        <f>SUM(AJ80:AJ93)</f>
        <v>0</v>
      </c>
      <c r="AK94" s="39">
        <f>SUM(AK80:AK93)</f>
        <v>0</v>
      </c>
      <c r="AL94" s="39"/>
      <c r="AM94" s="39">
        <f>SUM(AM80:AM93)</f>
        <v>0</v>
      </c>
      <c r="AN94" s="39">
        <f>SUM(AN80:AN93)</f>
        <v>0</v>
      </c>
      <c r="AO94" s="39">
        <f>SUM(AO80:AO93)</f>
        <v>0</v>
      </c>
    </row>
    <row r="95" spans="3:41" ht="6" customHeight="1" x14ac:dyDescent="0.2"/>
    <row r="97" spans="3:41" ht="11.25" customHeight="1" x14ac:dyDescent="0.2">
      <c r="C97" t="s">
        <v>430</v>
      </c>
      <c r="G97" s="2">
        <f>+'NWC1'!E72-G94</f>
        <v>0</v>
      </c>
      <c r="H97" s="2">
        <f>+'NWC1'!F72-H94</f>
        <v>0</v>
      </c>
      <c r="I97" s="2">
        <f>+'NWC1'!G72-I94</f>
        <v>0</v>
      </c>
      <c r="J97" s="2">
        <f>+'NWC1'!H72-J94</f>
        <v>0</v>
      </c>
      <c r="K97" s="2">
        <f>+'NWC1'!I72-K94</f>
        <v>0</v>
      </c>
      <c r="L97" s="2">
        <f>+'NWC1'!J72-L94</f>
        <v>0</v>
      </c>
      <c r="M97" s="2">
        <f>+'NWC1'!K72-M94</f>
        <v>0</v>
      </c>
      <c r="N97" s="2">
        <f>+'NWC1'!L72-N94</f>
        <v>0</v>
      </c>
      <c r="O97" s="2">
        <f>+'NWC1'!M72-O94</f>
        <v>0</v>
      </c>
      <c r="P97" s="2">
        <f>+'NWC1'!N72-P94</f>
        <v>0</v>
      </c>
      <c r="Q97" s="2">
        <f>+'NWC1'!O72-Q94</f>
        <v>0</v>
      </c>
      <c r="R97" s="2">
        <f>+'NWC1'!P72-R94</f>
        <v>0</v>
      </c>
      <c r="S97" s="2">
        <f>+'NWC1'!Q72-S94</f>
        <v>0</v>
      </c>
      <c r="T97" s="2">
        <f>+'NWC1'!R72-T94</f>
        <v>0</v>
      </c>
      <c r="U97" s="2">
        <f>+'NWC1'!S72-U94</f>
        <v>0</v>
      </c>
      <c r="V97" s="2">
        <f>+'NWC1'!T72-V94</f>
        <v>0</v>
      </c>
      <c r="W97" s="2">
        <f>+'NWC1'!U72-W94</f>
        <v>0</v>
      </c>
      <c r="X97" s="2">
        <f>+'NWC1'!V72-X94</f>
        <v>0</v>
      </c>
      <c r="Y97" s="2">
        <f>+'NWC1'!W72-Y94</f>
        <v>0</v>
      </c>
      <c r="Z97" s="2">
        <f>+'NWC1'!X72-Z94</f>
        <v>0</v>
      </c>
      <c r="AA97" s="2">
        <f>+'NWC1'!Y72-AA94</f>
        <v>0</v>
      </c>
      <c r="AB97" s="2">
        <f>+'NWC1'!Z72-AB94</f>
        <v>0</v>
      </c>
      <c r="AC97" s="2">
        <f>+'NWC1'!AA72-AC94</f>
        <v>0</v>
      </c>
      <c r="AD97" s="2">
        <f>+'NWC1'!AB72-AD94</f>
        <v>0</v>
      </c>
      <c r="AE97" s="2">
        <f>+'NWC1'!AC72-AE94</f>
        <v>0</v>
      </c>
      <c r="AF97" s="2">
        <f>+'NWC1'!AD72-AF94</f>
        <v>0</v>
      </c>
      <c r="AG97" s="2">
        <f>+'NWC1'!AE72-AG94</f>
        <v>0</v>
      </c>
      <c r="AH97" s="2">
        <f>+'NWC1'!AF72-AH94</f>
        <v>0</v>
      </c>
      <c r="AI97" s="2">
        <f>+'NWC1'!AG72-AI94</f>
        <v>0</v>
      </c>
      <c r="AJ97" s="2">
        <f>+'NWC1'!AH72-AJ94</f>
        <v>0</v>
      </c>
      <c r="AK97" s="2">
        <f>+'NWC1'!AI72-AK94</f>
        <v>0</v>
      </c>
      <c r="AL97" s="2"/>
      <c r="AM97" s="2">
        <f>+'NWC1'!AK72-AM94</f>
        <v>0</v>
      </c>
      <c r="AN97" s="2">
        <f>+'NWC1'!AL72-AN94</f>
        <v>0</v>
      </c>
      <c r="AO97" s="2">
        <f>+'NWC1'!AM72-AO94</f>
        <v>0</v>
      </c>
    </row>
    <row r="98" spans="3:41" ht="11.25" customHeight="1" x14ac:dyDescent="0.2">
      <c r="C98" t="s">
        <v>430</v>
      </c>
      <c r="G98" s="2">
        <f>'NWC1'!E56-G77</f>
        <v>0</v>
      </c>
      <c r="H98" s="2">
        <f>'NWC1'!F56-H77</f>
        <v>0</v>
      </c>
      <c r="I98" s="2">
        <f>'NWC1'!G56-I77</f>
        <v>0</v>
      </c>
      <c r="J98" s="2">
        <f>'NWC1'!H56-J77</f>
        <v>0</v>
      </c>
      <c r="K98" s="2">
        <f>'NWC1'!I56-K77</f>
        <v>0</v>
      </c>
      <c r="L98" s="2">
        <f>'NWC1'!J56-L77</f>
        <v>0</v>
      </c>
      <c r="M98" s="2">
        <f>'NWC1'!K56-M77</f>
        <v>0</v>
      </c>
      <c r="N98" s="2">
        <f>'NWC1'!L56-N77</f>
        <v>0</v>
      </c>
      <c r="O98" s="2">
        <f>'NWC1'!M56-O77</f>
        <v>0</v>
      </c>
      <c r="P98" s="2">
        <f>'NWC1'!N56-P77</f>
        <v>0</v>
      </c>
      <c r="Q98" s="2">
        <f>'NWC1'!O56-Q77</f>
        <v>0</v>
      </c>
      <c r="R98" s="2">
        <f>'NWC1'!P56-R77</f>
        <v>0</v>
      </c>
      <c r="S98" s="2">
        <f>'NWC1'!Q56-S77</f>
        <v>0</v>
      </c>
      <c r="T98" s="2">
        <f>'NWC1'!R56-T77</f>
        <v>0</v>
      </c>
      <c r="U98" s="2">
        <f>'NWC1'!S56-U77</f>
        <v>0</v>
      </c>
      <c r="V98" s="2">
        <f>'NWC1'!T56-V77</f>
        <v>0</v>
      </c>
      <c r="W98" s="2">
        <f>'NWC1'!U56-W77</f>
        <v>0</v>
      </c>
      <c r="X98" s="2">
        <f>'NWC1'!V56-X77</f>
        <v>0</v>
      </c>
      <c r="Y98" s="2">
        <f>'NWC1'!W56-Y77</f>
        <v>0</v>
      </c>
      <c r="Z98" s="2">
        <f>'NWC1'!X56-Z77</f>
        <v>0</v>
      </c>
      <c r="AA98" s="2">
        <f>'NWC1'!Y56-AA77</f>
        <v>0</v>
      </c>
      <c r="AB98" s="2">
        <f>'NWC1'!Z56-AB77</f>
        <v>0</v>
      </c>
      <c r="AC98" s="2">
        <f>'NWC1'!AA56-AC77</f>
        <v>0</v>
      </c>
      <c r="AD98" s="2">
        <f>'NWC1'!AB56-AD77</f>
        <v>0</v>
      </c>
      <c r="AE98" s="2">
        <f>'NWC1'!AC56-AE77</f>
        <v>0</v>
      </c>
      <c r="AF98" s="2">
        <f>'NWC1'!AD56-AF77</f>
        <v>0</v>
      </c>
      <c r="AG98" s="2">
        <f>'NWC1'!AE56-AG77</f>
        <v>0</v>
      </c>
      <c r="AH98" s="2">
        <f>'NWC1'!AF56-AH77</f>
        <v>0</v>
      </c>
      <c r="AI98" s="2">
        <f>'NWC1'!AG56-AI77</f>
        <v>0</v>
      </c>
      <c r="AJ98" s="2">
        <f>'NWC1'!AH56-AJ77</f>
        <v>0</v>
      </c>
      <c r="AK98" s="2">
        <f>'NWC1'!AI56-AK77</f>
        <v>0</v>
      </c>
      <c r="AL98" s="2"/>
      <c r="AM98" s="2">
        <f>'NWC1'!AK56-AM77</f>
        <v>0</v>
      </c>
      <c r="AN98" s="2">
        <f>'NWC1'!AL56-AN77</f>
        <v>0</v>
      </c>
      <c r="AO98" s="2">
        <f>'NWC1'!AM56-AO77</f>
        <v>0</v>
      </c>
    </row>
  </sheetData>
  <pageMargins left="0.7" right="0.7" top="0.75" bottom="0.75" header="0.3" footer="0.3"/>
  <pageSetup scale="43" orientation="landscape" r:id="rId1"/>
  <customProperties>
    <customPr name="OrphanNamesChecked" r:id="rId2"/>
  </customProperties>
  <extLst>
    <ext xmlns:x14="http://schemas.microsoft.com/office/spreadsheetml/2009/9/main" uri="{78C0D931-6437-407d-A8EE-F0AAD7539E65}">
      <x14:conditionalFormattings>
        <x14:conditionalFormatting xmlns:xm="http://schemas.microsoft.com/office/excel/2006/main">
          <x14:cfRule type="containsText" priority="1" operator="containsText" id="{CE0D662C-74D2-4F04-9FC2-959DDBC87740}">
            <xm:f>NOT(ISERROR(SEARCH("NO",A1)))</xm:f>
            <xm:f>"NO"</xm:f>
            <x14:dxf>
              <font>
                <b/>
                <i val="0"/>
                <color rgb="FFFF0000"/>
              </font>
            </x14:dxf>
          </x14:cfRule>
          <xm:sqref>A1:A2</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6AD5845B83E7443BBFFFABC94DF4484" ma:contentTypeVersion="6" ma:contentTypeDescription="Create a new document." ma:contentTypeScope="" ma:versionID="e0c20bff57e773969b8934e304d60797">
  <xsd:schema xmlns:xsd="http://www.w3.org/2001/XMLSchema" xmlns:xs="http://www.w3.org/2001/XMLSchema" xmlns:p="http://schemas.microsoft.com/office/2006/metadata/properties" xmlns:ns3="a2388bc1-cb0a-4c92-a25b-d8cc3e5c7c05" targetNamespace="http://schemas.microsoft.com/office/2006/metadata/properties" ma:root="true" ma:fieldsID="bad56725fb3d2a66ccbdafb82d4d54f4" ns3:_="">
    <xsd:import namespace="a2388bc1-cb0a-4c92-a25b-d8cc3e5c7c05"/>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2388bc1-cb0a-4c92-a25b-d8cc3e5c7c05"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a2388bc1-cb0a-4c92-a25b-d8cc3e5c7c05" xsi:nil="true"/>
  </documentManagement>
</p:properties>
</file>

<file path=customXml/itemProps1.xml><?xml version="1.0" encoding="utf-8"?>
<ds:datastoreItem xmlns:ds="http://schemas.openxmlformats.org/officeDocument/2006/customXml" ds:itemID="{6EC75B8A-FB90-410B-85D7-A87F9193C0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2388bc1-cb0a-4c92-a25b-d8cc3e5c7c0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D2B06D2-9976-4266-9390-D49C27856CAD}">
  <ds:schemaRefs>
    <ds:schemaRef ds:uri="http://schemas.microsoft.com/sharepoint/v3/contenttype/forms"/>
  </ds:schemaRefs>
</ds:datastoreItem>
</file>

<file path=customXml/itemProps3.xml><?xml version="1.0" encoding="utf-8"?>
<ds:datastoreItem xmlns:ds="http://schemas.openxmlformats.org/officeDocument/2006/customXml" ds:itemID="{5820355E-F154-4772-8C36-D867F0BFFC10}">
  <ds:schemaRefs>
    <ds:schemaRef ds:uri="a2388bc1-cb0a-4c92-a25b-d8cc3e5c7c05"/>
    <ds:schemaRef ds:uri="http://schemas.microsoft.com/office/2006/documentManagement/types"/>
    <ds:schemaRef ds:uri="http://www.w3.org/XML/1998/namespace"/>
    <ds:schemaRef ds:uri="http://schemas.microsoft.com/office/infopath/2007/PartnerControls"/>
    <ds:schemaRef ds:uri="http://purl.org/dc/terms/"/>
    <ds:schemaRef ds:uri="http://schemas.microsoft.com/office/2006/metadata/properties"/>
    <ds:schemaRef ds:uri="http://schemas.openxmlformats.org/package/2006/metadata/core-properties"/>
    <ds:schemaRef ds:uri="http://purl.org/dc/dcmityp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14</vt:i4>
      </vt:variant>
    </vt:vector>
  </HeadingPairs>
  <TitlesOfParts>
    <vt:vector size="35" baseType="lpstr">
      <vt:lpstr>RPL&gt;&gt;</vt:lpstr>
      <vt:lpstr>RPL1</vt:lpstr>
      <vt:lpstr>RPL2</vt:lpstr>
      <vt:lpstr>QE&gt;&gt;</vt:lpstr>
      <vt:lpstr>QE1</vt:lpstr>
      <vt:lpstr>NWC&gt;&gt;</vt:lpstr>
      <vt:lpstr>NWC1</vt:lpstr>
      <vt:lpstr>NWC2</vt:lpstr>
      <vt:lpstr>DDL</vt:lpstr>
      <vt:lpstr>NWC_Metrics</vt:lpstr>
      <vt:lpstr>PL&gt;&gt;</vt:lpstr>
      <vt:lpstr>PL1</vt:lpstr>
      <vt:lpstr>PL Leads&gt;&gt;</vt:lpstr>
      <vt:lpstr>PL2</vt:lpstr>
      <vt:lpstr>BS&gt;&gt;</vt:lpstr>
      <vt:lpstr>BS1</vt:lpstr>
      <vt:lpstr>BS Leads&gt;&gt;</vt:lpstr>
      <vt:lpstr>BS2</vt:lpstr>
      <vt:lpstr>Equity RF</vt:lpstr>
      <vt:lpstr>TB</vt:lpstr>
      <vt:lpstr>ADJ</vt:lpstr>
      <vt:lpstr>ADJ!Print_Area</vt:lpstr>
      <vt:lpstr>'BS1'!Print_Area</vt:lpstr>
      <vt:lpstr>'BS2'!Print_Area</vt:lpstr>
      <vt:lpstr>DDL!Print_Area</vt:lpstr>
      <vt:lpstr>'Equity RF'!Print_Area</vt:lpstr>
      <vt:lpstr>NWC_Metrics!Print_Area</vt:lpstr>
      <vt:lpstr>'NWC1'!Print_Area</vt:lpstr>
      <vt:lpstr>'NWC2'!Print_Area</vt:lpstr>
      <vt:lpstr>'PL1'!Print_Area</vt:lpstr>
      <vt:lpstr>'PL2'!Print_Area</vt:lpstr>
      <vt:lpstr>'QE1'!Print_Area</vt:lpstr>
      <vt:lpstr>'RPL1'!Print_Area</vt:lpstr>
      <vt:lpstr>'RPL2'!Print_Area</vt:lpstr>
      <vt:lpstr>TB!Print_Area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Office</cp:lastModifiedBy>
  <dcterms:created xsi:type="dcterms:W3CDTF">2025-12-16T06:39:49Z</dcterms:created>
  <dcterms:modified xsi:type="dcterms:W3CDTF">2025-12-16T06:44:03Z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0x010100E6AD5845B83E7443BBFFFABC94DF4484</vt:lpwstr>
  </property>
</Properties>
</file>